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A6A1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JUSTES" sheetId="4" state="visible" r:id="rId4"/>
    <sheet xmlns:r="http://schemas.openxmlformats.org/officeDocument/2006/relationships" name="AYUDA" sheetId="5" state="visible" r:id="rId5"/>
  </sheets>
  <definedNames>
    <definedName name="NombreNegocio">'AJUSTES'!$C$7</definedName>
    <definedName name="AnioCtl">'AJUSTES'!$C$8</definedName>
    <definedName name="Moneda">'AJUSTES'!$C$9</definedName>
    <definedName name="Decimales">'AJUSTES'!$C$10</definedName>
    <definedName name="TasaGeneral">'AJUSTES'!$C$13</definedName>
    <definedName name="TasaReducida">'AJUSTES'!$C$14</definedName>
    <definedName name="Arrastre">'AJUSTES'!$C$18</definedName>
    <definedName name="SaldoIni">'AJUSTES'!$C$19</definedName>
    <definedName name="MesN">'RESUMEN'!$P$6</definedName>
    <definedName name="FIni">'RESUMEN'!$P$7</definedName>
    <definedName name="FFin">'RESUMEN'!$P$8</definedName>
    <definedName name="_xlnm.Print_Area" localSheetId="0">'CALCULADORA'!$A$1:$M$39</definedName>
    <definedName name="_xlnm._FilterDatabase" localSheetId="1" hidden="1">'REGISTRO'!$B$6:$H$306</definedName>
    <definedName name="_xlnm.Print_Titles" localSheetId="1">'REGISTRO'!$6:$6</definedName>
    <definedName name="_xlnm.Print_Area" localSheetId="1">'REGISTRO'!$A$1:$H$310</definedName>
    <definedName name="_xlnm.Print_Area" localSheetId="2">'RESUMEN'!$A$1:$M$61</definedName>
    <definedName name="_xlnm.Print_Area" localSheetId="3">'AJUSTES'!$A$1:$D$25</definedName>
    <definedName name="_xlnm.Print_Area" localSheetId="4">'AYUDA'!$A$1:$H$39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;[Red]-#,##0;&quot;-&quot;"/>
    <numFmt numFmtId="166" formatCode="0.0%;[Red]-0.0%;&quot;-&quot;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E08A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5B4FD6"/>
      <sz val="9"/>
      <u val="single"/>
    </font>
    <font>
      <name val="Arial"/>
      <i val="1"/>
      <color rgb="005F6178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2E2A6B"/>
      <sz val="9"/>
    </font>
    <font>
      <name val="Arial"/>
      <color rgb="005F6178"/>
      <sz val="8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2E2A6B"/>
      <sz val="10"/>
    </font>
    <font>
      <name val="Arial"/>
      <b val="1"/>
      <color rgb="005F6178"/>
      <sz val="8"/>
    </font>
    <font>
      <name val="Arial"/>
      <b val="1"/>
      <color rgb="005B4FD6"/>
      <sz val="20"/>
    </font>
    <font>
      <name val="Arial"/>
      <b val="1"/>
      <color rgb="00B8860B"/>
      <sz val="20"/>
    </font>
    <font>
      <name val="Arial"/>
      <b val="1"/>
      <color rgb="00D9486F"/>
      <sz val="20"/>
    </font>
    <font>
      <name val="Arial"/>
      <b val="1"/>
      <color rgb="001B7F72"/>
      <sz val="20"/>
    </font>
    <font>
      <name val="Arial"/>
      <b val="1"/>
      <color rgb="00000000"/>
      <sz val="11"/>
    </font>
    <font>
      <name val="Arial"/>
      <color rgb="005F6178"/>
      <sz val="9"/>
    </font>
    <font>
      <name val="Arial"/>
      <b val="1"/>
      <color rgb="00000000"/>
      <sz val="9"/>
    </font>
    <font>
      <name val="Arial"/>
      <b val="1"/>
      <color rgb="002E2A6B"/>
      <sz val="12"/>
    </font>
    <font>
      <name val="Arial"/>
      <b val="1"/>
      <color rgb="002E2A6B"/>
      <sz val="11"/>
    </font>
    <font>
      <name val="Arial"/>
      <b val="1"/>
      <color rgb="00000000"/>
      <sz val="12"/>
    </font>
    <font>
      <name val="Arial"/>
      <b val="1"/>
      <color rgb="002E2A6B"/>
      <sz val="20"/>
    </font>
    <font>
      <name val="Arial"/>
      <i val="1"/>
      <color rgb="005F6178"/>
      <sz val="8"/>
    </font>
    <font>
      <name val="Arial"/>
      <b val="1"/>
      <color rgb="005B4FD6"/>
      <sz val="11"/>
      <u val="single"/>
    </font>
  </fonts>
  <fills count="10">
    <fill>
      <patternFill/>
    </fill>
    <fill>
      <patternFill patternType="gray125"/>
    </fill>
    <fill>
      <patternFill patternType="solid">
        <fgColor rgb="002E2A6B"/>
        <bgColor rgb="002E2A6B"/>
      </patternFill>
    </fill>
    <fill>
      <patternFill patternType="solid">
        <fgColor rgb="005B4FD6"/>
        <bgColor rgb="005B4FD6"/>
      </patternFill>
    </fill>
    <fill>
      <patternFill patternType="solid">
        <fgColor rgb="00F0B429"/>
        <bgColor rgb="00F0B429"/>
      </patternFill>
    </fill>
    <fill>
      <patternFill patternType="solid">
        <fgColor rgb="00E6E2FF"/>
        <bgColor rgb="00E6E2FF"/>
      </patternFill>
    </fill>
    <fill>
      <patternFill patternType="solid">
        <fgColor rgb="00EFEFF6"/>
        <bgColor rgb="00EFEFF6"/>
      </patternFill>
    </fill>
    <fill>
      <patternFill patternType="solid">
        <fgColor rgb="00F5F4FB"/>
        <bgColor rgb="00F5F4FB"/>
      </patternFill>
    </fill>
    <fill>
      <patternFill patternType="solid">
        <fgColor rgb="00E3E0F7"/>
        <bgColor rgb="00E3E0F7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thin">
        <color rgb="00C9D3EA"/>
      </left>
      <right style="thin">
        <color rgb="00C9D3EA"/>
      </right>
      <top style="thin">
        <color rgb="00C9D3EA"/>
      </top>
      <bottom style="thin">
        <color rgb="00C9D3EA"/>
      </bottom>
    </border>
    <border>
      <left style="thick">
        <color rgb="00F0B429"/>
      </left>
    </border>
    <border>
      <left style="thick">
        <color rgb="005B4FD6"/>
      </left>
    </border>
    <border>
      <left style="thick">
        <color rgb="00D9486F"/>
      </left>
    </border>
    <border>
      <left style="thick">
        <color rgb="002A9D8F"/>
      </left>
    </border>
    <border>
      <left style="thick">
        <color rgb="002E2A6B"/>
      </left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3" fontId="25" fillId="5" borderId="1" applyAlignment="1" applyProtection="1" pivotButton="0" quotePrefix="0" xfId="0">
      <alignment horizontal="right" vertical="center"/>
      <protection locked="0" hidden="0"/>
    </xf>
    <xf numFmtId="0" fontId="7" fillId="0" borderId="0" applyAlignment="1" pivotButton="0" quotePrefix="0" xfId="0">
      <alignment horizontal="left" vertical="center" wrapText="1"/>
    </xf>
    <xf numFmtId="0" fontId="9" fillId="5" borderId="1" applyAlignment="1" applyProtection="1" pivotButton="0" quotePrefix="0" xfId="0">
      <alignment horizontal="center" vertical="center"/>
      <protection locked="0" hidden="0"/>
    </xf>
    <xf numFmtId="0" fontId="25" fillId="5" borderId="1" applyAlignment="1" applyProtection="1" pivotButton="0" quotePrefix="0" xfId="0">
      <alignment horizontal="center" vertical="center"/>
      <protection locked="0" hidden="0"/>
    </xf>
    <xf numFmtId="0" fontId="15" fillId="7" borderId="6" applyAlignment="1" pivotButton="0" quotePrefix="0" xfId="0">
      <alignment horizontal="center" vertical="center"/>
    </xf>
    <xf numFmtId="0" fontId="15" fillId="7" borderId="4" applyAlignment="1" pivotButton="0" quotePrefix="0" xfId="0">
      <alignment horizontal="center" vertical="center"/>
    </xf>
    <xf numFmtId="0" fontId="15" fillId="7" borderId="3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165" fontId="26" fillId="7" borderId="6" applyAlignment="1" pivotButton="0" quotePrefix="0" xfId="0">
      <alignment horizontal="center" vertical="center"/>
    </xf>
    <xf numFmtId="165" fontId="18" fillId="7" borderId="4" applyAlignment="1" pivotButton="0" quotePrefix="0" xfId="0">
      <alignment horizontal="center" vertical="center"/>
    </xf>
    <xf numFmtId="165" fontId="16" fillId="7" borderId="3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0" fontId="11" fillId="7" borderId="6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165" fontId="5" fillId="9" borderId="1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164" fontId="13" fillId="5" borderId="1" applyAlignment="1" applyProtection="1" pivotButton="0" quotePrefix="0" xfId="0">
      <alignment horizontal="center" vertical="center"/>
      <protection locked="0" hidden="0"/>
    </xf>
    <xf numFmtId="0" fontId="13" fillId="5" borderId="1" applyAlignment="1" applyProtection="1" pivotButton="0" quotePrefix="0" xfId="0">
      <alignment horizontal="center" vertical="center"/>
      <protection locked="0" hidden="0"/>
    </xf>
    <xf numFmtId="0" fontId="13" fillId="5" borderId="1" applyAlignment="1" applyProtection="1" pivotButton="0" quotePrefix="0" xfId="0">
      <alignment horizontal="left" vertical="center"/>
      <protection locked="0" hidden="0"/>
    </xf>
    <xf numFmtId="3" fontId="13" fillId="5" borderId="1" applyAlignment="1" applyProtection="1" pivotButton="0" quotePrefix="0" xfId="0">
      <alignment horizontal="right" vertical="center"/>
      <protection locked="0" hidden="0"/>
    </xf>
    <xf numFmtId="165" fontId="13" fillId="6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5" fillId="7" borderId="5" applyAlignment="1" pivotButton="0" quotePrefix="0" xfId="0">
      <alignment horizontal="center" vertical="center"/>
    </xf>
    <xf numFmtId="165" fontId="17" fillId="7" borderId="2" applyAlignment="1" pivotButton="0" quotePrefix="0" xfId="0">
      <alignment horizontal="center" vertical="center"/>
    </xf>
    <xf numFmtId="165" fontId="19" fillId="7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5" fontId="13" fillId="9" borderId="1" applyAlignment="1" pivotButton="0" quotePrefix="0" xfId="0">
      <alignment horizontal="right" vertical="center"/>
    </xf>
    <xf numFmtId="165" fontId="21" fillId="9" borderId="1" applyAlignment="1" pivotButton="0" quotePrefix="0" xfId="0">
      <alignment horizontal="right" vertical="center"/>
    </xf>
    <xf numFmtId="165" fontId="22" fillId="9" borderId="1" applyAlignment="1" pivotButton="0" quotePrefix="0" xfId="0">
      <alignment horizontal="right" vertical="center"/>
    </xf>
    <xf numFmtId="0" fontId="15" fillId="7" borderId="2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165" fontId="13" fillId="7" borderId="1" applyAlignment="1" pivotButton="0" quotePrefix="0" xfId="0">
      <alignment horizontal="right" vertical="center"/>
    </xf>
    <xf numFmtId="165" fontId="21" fillId="7" borderId="1" applyAlignment="1" pivotButton="0" quotePrefix="0" xfId="0">
      <alignment horizontal="right" vertical="center"/>
    </xf>
    <xf numFmtId="165" fontId="22" fillId="7" borderId="1" applyAlignment="1" pivotButton="0" quotePrefix="0" xfId="0">
      <alignment horizontal="right" vertical="center"/>
    </xf>
    <xf numFmtId="165" fontId="23" fillId="7" borderId="2" applyAlignment="1" pivotButton="0" quotePrefix="0" xfId="0">
      <alignment horizontal="left" vertical="center"/>
    </xf>
    <xf numFmtId="0" fontId="23" fillId="7" borderId="2" applyAlignment="1" pivotButton="0" quotePrefix="0" xfId="0">
      <alignment horizontal="left" vertical="center"/>
    </xf>
    <xf numFmtId="1" fontId="23" fillId="7" borderId="2" applyAlignment="1" pivotButton="0" quotePrefix="0" xfId="0">
      <alignment horizontal="left" vertical="center"/>
    </xf>
    <xf numFmtId="166" fontId="23" fillId="7" borderId="2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165" fontId="22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vertical="center"/>
    </xf>
    <xf numFmtId="0" fontId="7" fillId="0" borderId="0" applyAlignment="1" pivotButton="0" quotePrefix="0" xfId="0">
      <alignment horizontal="left" vertical="top" wrapText="1"/>
    </xf>
    <xf numFmtId="0" fontId="12" fillId="2" borderId="1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5" fillId="5" borderId="1" applyAlignment="1" applyProtection="1" pivotButton="0" quotePrefix="0" xfId="0">
      <alignment horizontal="left" vertical="center"/>
      <protection locked="0" hidden="0"/>
    </xf>
    <xf numFmtId="1" fontId="5" fillId="5" borderId="1" applyAlignment="1" applyProtection="1" pivotButton="0" quotePrefix="0" xfId="0">
      <alignment horizontal="right" vertical="center"/>
      <protection locked="0" hidden="0"/>
    </xf>
    <xf numFmtId="1" fontId="5" fillId="6" borderId="1" applyAlignment="1" pivotButton="0" quotePrefix="0" xfId="0">
      <alignment horizontal="left" vertical="center"/>
    </xf>
    <xf numFmtId="9" fontId="5" fillId="6" borderId="1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3" fontId="5" fillId="5" borderId="1" applyAlignment="1" applyProtection="1" pivotButton="0" quotePrefix="0" xfId="0">
      <alignment horizontal="right" vertical="center"/>
      <protection locked="0" hidden="0"/>
    </xf>
    <xf numFmtId="0" fontId="5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8">
    <dxf>
      <font>
        <b val="1"/>
      </font>
      <fill>
        <patternFill patternType="solid">
          <fgColor rgb="00FFF1C2"/>
          <bgColor rgb="00FFF1C2"/>
        </patternFill>
      </fill>
    </dxf>
    <dxf>
      <font>
        <b val="1"/>
        <color rgb="0017653B"/>
      </font>
    </dxf>
    <dxf>
      <font>
        <b val="1"/>
        <color rgb="005B4FD6"/>
      </font>
    </dxf>
    <dxf>
      <fill>
        <patternFill patternType="solid">
          <fgColor rgb="00FFE3CF"/>
          <bgColor rgb="00FFE3CF"/>
        </patternFill>
      </fill>
    </dxf>
    <dxf>
      <font>
        <i val="1"/>
        <color rgb="009A9FB8"/>
      </font>
    </dxf>
    <dxf>
      <font>
        <b val="1"/>
        <color rgb="00B00020"/>
      </font>
      <fill>
        <patternFill patternType="solid">
          <fgColor rgb="00FBD5D5"/>
          <bgColor rgb="00FBD5D5"/>
        </patternFill>
      </fill>
    </dxf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Precio sin IVA + IVA, según la tasa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'CALCULADORA'!D21</f>
            </strRef>
          </tx>
          <spPr>
            <a:solidFill xmlns:a="http://schemas.openxmlformats.org/drawingml/2006/main">
              <a:srgbClr val="5B4FD6"/>
            </a:solidFill>
            <a:ln xmlns:a="http://schemas.openxmlformats.org/drawingml/2006/main">
              <a:prstDash val="solid"/>
            </a:ln>
          </spPr>
          <cat>
            <numRef>
              <f>'CALCULADORA'!$B$22:$B$24</f>
            </numRef>
          </cat>
          <val>
            <numRef>
              <f>'CALCULADORA'!$D$22:$D$24</f>
            </numRef>
          </val>
        </ser>
        <ser>
          <idx val="1"/>
          <order val="1"/>
          <tx>
            <strRef>
              <f>'CALCULADORA'!E21</f>
            </strRef>
          </tx>
          <spPr>
            <a:solidFill xmlns:a="http://schemas.openxmlformats.org/drawingml/2006/main">
              <a:srgbClr val="F0B429"/>
            </a:solidFill>
            <a:ln xmlns:a="http://schemas.openxmlformats.org/drawingml/2006/main">
              <a:prstDash val="solid"/>
            </a:ln>
          </spPr>
          <cat>
            <numRef>
              <f>'CALCULADORA'!$B$22:$B$24</f>
            </numRef>
          </cat>
          <val>
            <numRef>
              <f>'CALCULADORA'!$E$22:$E$24</f>
            </numRef>
          </val>
        </ser>
        <gapWidth val="7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IVA débito, crédito y a pagar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'RESUMEN'!E16</f>
            </strRef>
          </tx>
          <spPr>
            <a:solidFill xmlns:a="http://schemas.openxmlformats.org/drawingml/2006/main">
              <a:srgbClr val="5B4FD6"/>
            </a:solidFill>
            <a:ln xmlns:a="http://schemas.openxmlformats.org/drawingml/2006/main">
              <a:prstDash val="solid"/>
            </a:ln>
          </spPr>
          <cat>
            <numRef>
              <f>'RESUMEN'!$B$17:$B$28</f>
            </numRef>
          </cat>
          <val>
            <numRef>
              <f>'RESUMEN'!$E$17:$E$28</f>
            </numRef>
          </val>
        </ser>
        <ser>
          <idx val="1"/>
          <order val="1"/>
          <tx>
            <strRef>
              <f>'RESUMEN'!F16</f>
            </strRef>
          </tx>
          <spPr>
            <a:solidFill xmlns:a="http://schemas.openxmlformats.org/drawingml/2006/main">
              <a:srgbClr val="F0B429"/>
            </a:solidFill>
            <a:ln xmlns:a="http://schemas.openxmlformats.org/drawingml/2006/main">
              <a:prstDash val="solid"/>
            </a:ln>
          </spPr>
          <cat>
            <numRef>
              <f>'RESUMEN'!$B$17:$B$28</f>
            </numRef>
          </cat>
          <val>
            <numRef>
              <f>'RESUMEN'!$F$17:$F$28</f>
            </numRef>
          </val>
        </ser>
        <gapWidth val="60"/>
        <axId val="10"/>
        <axId val="100"/>
      </barChart>
      <lineChart>
        <grouping val="standard"/>
        <ser>
          <idx val="2"/>
          <order val="2"/>
          <tx>
            <strRef>
              <f>'RESUMEN'!H16</f>
            </strRef>
          </tx>
          <spPr>
            <a:ln xmlns:a="http://schemas.openxmlformats.org/drawingml/2006/main" w="28000">
              <a:solidFill>
                <a:srgbClr val="D9486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D9486F"/>
              </a:solidFill>
              <a:ln xmlns:a="http://schemas.openxmlformats.org/drawingml/2006/main">
                <a:prstDash val="solid"/>
              </a:ln>
            </spPr>
          </marker>
          <val>
            <numRef>
              <f>'RESUMEN'!$H$17:$H$28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Tus ventas según la tasa de IVA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B4FD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0B42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9AEDB"/>
              </a:solidFill>
              <a:ln xmlns:a="http://schemas.openxmlformats.org/drawingml/2006/main">
                <a:prstDash val="solid"/>
              </a:ln>
            </spPr>
          </dPt>
          <cat>
            <numRef>
              <f>'RESUMEN'!$B$52:$B$54</f>
            </numRef>
          </cat>
          <val>
            <numRef>
              <f>'RESUMEN'!$D$52:$D$54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19</row>
      <rowOff>0</rowOff>
    </from>
    <ext cx="4824000" cy="248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31</row>
      <rowOff>0</rowOff>
    </from>
    <ext cx="5832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31</row>
      <rowOff>0</rowOff>
    </from>
    <ext cx="4031999" cy="302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/Relationships>
</file>

<file path=xl/worksheets/sheet1.xml><?xml version="1.0" encoding="utf-8"?>
<worksheet xmlns="http://schemas.openxmlformats.org/spreadsheetml/2006/main">
  <sheetPr>
    <tabColor rgb="005B4FD6"/>
    <outlinePr summaryBelow="1" summaryRight="1"/>
    <pageSetUpPr fitToPage="1"/>
  </sheetPr>
  <dimension ref="B1:P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</cols>
  <sheetData>
    <row r="1" ht="30" customHeight="1">
      <c r="B1" s="1" t="inlineStr">
        <is>
          <t>MIX SHOP DIGITAL</t>
        </is>
      </c>
      <c r="F1" s="2" t="inlineStr">
        <is>
          <t>CALCULADORA DE IVA PARAGUAY</t>
        </is>
      </c>
    </row>
    <row r="2" ht="18" customHeight="1">
      <c r="B2" s="3" t="inlineStr">
        <is>
          <t>Herramientas inteligentes que simplifican tu vida.</t>
        </is>
      </c>
      <c r="F2" s="4" t="inlineStr">
        <is>
          <t>Calculá el IVA en 3 pasos</t>
        </is>
      </c>
    </row>
    <row r="3" ht="4" customHeight="1">
      <c r="B3" s="5" t="n"/>
    </row>
    <row r="4" ht="20" customHeight="1">
      <c r="C4" s="6" t="inlineStr">
        <is>
          <t>Completá las 3 celdas amarillas y mirá el resultado al instante. Para tu IVA del mes, usá REGISTRO y RESUMEN.</t>
        </is>
      </c>
    </row>
    <row r="5" ht="22" customHeight="1">
      <c r="B5" s="7" t="inlineStr">
        <is>
          <t>+ Registro de facturas</t>
        </is>
      </c>
      <c r="E5" s="8" t="inlineStr">
        <is>
          <t>Resumen</t>
        </is>
      </c>
      <c r="G5" s="9" t="inlineStr">
        <is>
          <t>Ajustes</t>
        </is>
      </c>
      <c r="I5" s="9" t="inlineStr">
        <is>
          <t>Ayuda</t>
        </is>
      </c>
    </row>
    <row r="7">
      <c r="B7" s="10" t="inlineStr">
        <is>
          <t>1. INGRESÁ EL MONTO</t>
        </is>
      </c>
    </row>
    <row r="8" ht="8" customHeight="1"/>
    <row r="9" ht="26" customHeight="1">
      <c r="B9" s="11" t="inlineStr">
        <is>
          <t>Monto</t>
        </is>
      </c>
      <c r="D9" s="12" t="n">
        <v>1100000</v>
      </c>
      <c r="G9" s="13" t="inlineStr">
        <is>
          <t>Escribí el monto tal como figura en la factura o en tu lista de precios. Elegí si ya incluye el IVA y qué tasa corresponde.</t>
        </is>
      </c>
      <c r="P9">
        <f>IF($D$11="10 %",TasaGeneral,IF($D$11="5 %",TasaReducida,0))</f>
        <v/>
      </c>
    </row>
    <row r="10" ht="26" customHeight="1">
      <c r="B10" s="11" t="inlineStr">
        <is>
          <t>El monto…</t>
        </is>
      </c>
      <c r="D10" s="14" t="inlineStr">
        <is>
          <t>Con IVA incluido</t>
        </is>
      </c>
      <c r="P10">
        <f>IF(LEFT($D$10,3)="Con",1,0)</f>
        <v/>
      </c>
    </row>
    <row r="11" ht="26" customHeight="1">
      <c r="B11" s="11" t="inlineStr">
        <is>
          <t>Tasa de IVA</t>
        </is>
      </c>
      <c r="D11" s="15" t="inlineStr">
        <is>
          <t>10 %</t>
        </is>
      </c>
    </row>
    <row r="12" ht="8" customHeight="1"/>
    <row r="13" ht="16" customHeight="1">
      <c r="B13" s="16" t="inlineStr">
        <is>
          <t>PRECIO SIN IVA</t>
        </is>
      </c>
      <c r="E13" s="17" t="inlineStr">
        <is>
          <t>IVA</t>
        </is>
      </c>
      <c r="H13" s="18" t="inlineStr">
        <is>
          <t>TOTAL (CON IVA)</t>
        </is>
      </c>
      <c r="K13" s="19" t="inlineStr">
        <is>
          <t>TASA APLICADA</t>
        </is>
      </c>
    </row>
    <row r="14" ht="30" customHeight="1">
      <c r="B14" s="20">
        <f>H14-E14</f>
        <v/>
      </c>
      <c r="E14" s="21">
        <f>IF(N(D9)=0,0,IF(P10=1,ROUND(D9*P9/(1+P9),Decimales),ROUND(D9*P9,Decimales)))</f>
        <v/>
      </c>
      <c r="H14" s="22">
        <f>IF(N(D9)=0,0,IF(P10=1,D9,ROUND(D9*(1+P9),Decimales)))</f>
        <v/>
      </c>
      <c r="K14" s="23">
        <f>IF(D11="","-",D11)</f>
        <v/>
      </c>
    </row>
    <row r="15" ht="15" customHeight="1">
      <c r="B15" s="24">
        <f>Moneda</f>
        <v/>
      </c>
      <c r="E15" s="25">
        <f>Moneda</f>
        <v/>
      </c>
      <c r="H15" s="26">
        <f>Moneda</f>
        <v/>
      </c>
      <c r="K15" s="27" t="inlineStr">
        <is>
          <t>de IVA</t>
        </is>
      </c>
    </row>
    <row r="16" ht="8" customHeight="1"/>
    <row r="17" ht="24" customHeight="1">
      <c r="B17" s="28">
        <f>IF(N(D9)=0,"Escribí un monto para calcular el IVA.","De "&amp;FIXED(H14,Decimales)&amp;" "&amp;Moneda&amp;" de total, "&amp;FIXED(E14,Decimales)&amp;" es IVA y "&amp;FIXED(B14,Decimales)&amp;" es el precio sin IVA.")</f>
        <v/>
      </c>
    </row>
    <row r="19">
      <c r="B19" s="29" t="inlineStr">
        <is>
          <t>2. COMPARÁ LAS TASAS CON EL MISMO MONTO</t>
        </is>
      </c>
    </row>
    <row r="20" ht="8" customHeight="1"/>
    <row r="21" ht="26" customHeight="1">
      <c r="B21" s="30" t="inlineStr">
        <is>
          <t>Tasa</t>
        </is>
      </c>
      <c r="D21" s="30" t="inlineStr">
        <is>
          <t>Precio sin IVA</t>
        </is>
      </c>
      <c r="E21" s="30" t="inlineStr">
        <is>
          <t>IVA</t>
        </is>
      </c>
      <c r="F21" s="30" t="inlineStr">
        <is>
          <t>Total</t>
        </is>
      </c>
    </row>
    <row r="22" ht="22" customHeight="1">
      <c r="B22" s="31" t="inlineStr">
        <is>
          <t>Tasa 10 %</t>
        </is>
      </c>
      <c r="D22" s="32">
        <f>F22-E22</f>
        <v/>
      </c>
      <c r="E22" s="32">
        <f>IF(N($D$9)=0,0,IF($P$10=1,ROUND($D$9*$P22/(1+$P22),Decimales),ROUND($D$9*$P22,Decimales)))</f>
        <v/>
      </c>
      <c r="F22" s="32">
        <f>IF(N($D$9)=0,0,IF($P$10=1,$D$9,ROUND($D$9*(1+$P22),Decimales)))</f>
        <v/>
      </c>
      <c r="P22">
        <f>TasaGeneral</f>
        <v/>
      </c>
    </row>
    <row r="23" ht="22" customHeight="1">
      <c r="B23" s="31" t="inlineStr">
        <is>
          <t>Tasa 5 %</t>
        </is>
      </c>
      <c r="D23" s="32">
        <f>F23-E23</f>
        <v/>
      </c>
      <c r="E23" s="32">
        <f>IF(N($D$9)=0,0,IF($P$10=1,ROUND($D$9*$P23/(1+$P23),Decimales),ROUND($D$9*$P23,Decimales)))</f>
        <v/>
      </c>
      <c r="F23" s="32">
        <f>IF(N($D$9)=0,0,IF($P$10=1,$D$9,ROUND($D$9*(1+$P23),Decimales)))</f>
        <v/>
      </c>
      <c r="P23">
        <f>TasaReducida</f>
        <v/>
      </c>
    </row>
    <row r="24" ht="22" customHeight="1">
      <c r="B24" s="31" t="inlineStr">
        <is>
          <t>Exenta</t>
        </is>
      </c>
      <c r="D24" s="32">
        <f>F24-E24</f>
        <v/>
      </c>
      <c r="E24" s="32">
        <f>IF(N($D$9)=0,0,IF($P$10=1,ROUND($D$9*$P24/(1+$P24),Decimales),ROUND($D$9*$P24,Decimales)))</f>
        <v/>
      </c>
      <c r="F24" s="32">
        <f>IF(N($D$9)=0,0,IF($P$10=1,$D$9,ROUND($D$9*(1+$P24),Decimales)))</f>
        <v/>
      </c>
      <c r="P24" t="n">
        <v>0</v>
      </c>
    </row>
    <row r="25">
      <c r="B25" s="33" t="inlineStr">
        <is>
          <t>La fila resaltada es la tasa que elegiste.</t>
        </is>
      </c>
    </row>
    <row r="27">
      <c r="B27" s="10" t="inlineStr">
        <is>
          <t>¿CÓMO SE CALCULA?</t>
        </is>
      </c>
    </row>
    <row r="28">
      <c r="B28" s="34" t="inlineStr">
        <is>
          <t>IVA 10 % incluido:  IVA = total × 10 ÷ 110</t>
        </is>
      </c>
    </row>
    <row r="29">
      <c r="B29" s="34" t="inlineStr">
        <is>
          <t>IVA 5 % incluido:  IVA = total × 5 ÷ 105</t>
        </is>
      </c>
    </row>
    <row r="30">
      <c r="B30" s="34" t="inlineStr">
        <is>
          <t>Precio sin IVA:  IVA = precio × 10 % (o × 5 %)</t>
        </is>
      </c>
    </row>
    <row r="31">
      <c r="B31" s="34" t="inlineStr">
        <is>
          <t>Exenta:  no se suma IVA</t>
        </is>
      </c>
    </row>
    <row r="36" ht="8" customHeight="1">
      <c r="B36" s="35" t="n"/>
    </row>
    <row r="37" ht="16" customHeight="1">
      <c r="B37" s="36" t="inlineStr">
        <is>
          <t>MIX SHOP DIGITAL  ·  Herramientas inteligentes que simplifican tu vida.</t>
        </is>
      </c>
    </row>
    <row r="38" ht="16" customHeight="1">
      <c r="B38" s="37" t="inlineStr">
        <is>
          <t>Versión gratuita  ·  ¿Sos contador o llevás tus propios impuestos? Conocé ContadorPy Pro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A6A1"/>
  <mergeCells count="45">
    <mergeCell ref="B14:D14"/>
    <mergeCell ref="D10:E10"/>
    <mergeCell ref="E13:G13"/>
    <mergeCell ref="B25:F25"/>
    <mergeCell ref="E5:F5"/>
    <mergeCell ref="B13:D13"/>
    <mergeCell ref="B22:C22"/>
    <mergeCell ref="B31:F31"/>
    <mergeCell ref="B17:M17"/>
    <mergeCell ref="E15:G15"/>
    <mergeCell ref="B27:F27"/>
    <mergeCell ref="B38:M38"/>
    <mergeCell ref="B21:C21"/>
    <mergeCell ref="C4:M4"/>
    <mergeCell ref="B11:C11"/>
    <mergeCell ref="B19:M19"/>
    <mergeCell ref="B37:M37"/>
    <mergeCell ref="D11:E11"/>
    <mergeCell ref="H13:J13"/>
    <mergeCell ref="G9:M11"/>
    <mergeCell ref="K14:M14"/>
    <mergeCell ref="B23:C23"/>
    <mergeCell ref="B15:D15"/>
    <mergeCell ref="H15:J15"/>
    <mergeCell ref="F2:M2"/>
    <mergeCell ref="B5:D5"/>
    <mergeCell ref="B29:F29"/>
    <mergeCell ref="H14:J14"/>
    <mergeCell ref="K13:M13"/>
    <mergeCell ref="B28:F28"/>
    <mergeCell ref="B10:C10"/>
    <mergeCell ref="G5:H5"/>
    <mergeCell ref="B36:M36"/>
    <mergeCell ref="I5:J5"/>
    <mergeCell ref="B2:E2"/>
    <mergeCell ref="B9:C9"/>
    <mergeCell ref="D9:E9"/>
    <mergeCell ref="K15:M15"/>
    <mergeCell ref="B30:F30"/>
    <mergeCell ref="B24:C24"/>
    <mergeCell ref="B1:E1"/>
    <mergeCell ref="B7:M7"/>
    <mergeCell ref="E14:G14"/>
    <mergeCell ref="B3:M3"/>
    <mergeCell ref="F1:M1"/>
  </mergeCells>
  <conditionalFormatting sqref="B22:F22">
    <cfRule type="expression" priority="1" dxfId="0">
      <formula>$D$11="10 %"</formula>
    </cfRule>
  </conditionalFormatting>
  <conditionalFormatting sqref="B23:F23">
    <cfRule type="expression" priority="2" dxfId="0">
      <formula>$D$11="5 %"</formula>
    </cfRule>
  </conditionalFormatting>
  <conditionalFormatting sqref="B24:F24">
    <cfRule type="expression" priority="3" dxfId="0">
      <formula>$D$11="Exenta"</formula>
    </cfRule>
  </conditionalFormatting>
  <dataValidations count="3">
    <dataValidation sqref="D9" showDropDown="0" showInputMessage="1" showErrorMessage="1" allowBlank="1" errorTitle="Dato no válido" error="Ingresá un monto positivo, sin signo menos ni texto." promptTitle="Monto" prompt="Escribí el monto tal como figura en la factura o en tu lista de precios." type="decimal" operator="greaterThanOrEqual">
      <formula1>0</formula1>
    </dataValidation>
    <dataValidation sqref="D10" showDropDown="0" showInputMessage="1" showErrorMessage="1" allowBlank="0" errorTitle="Valor no válido" error="Elegí un valor de la lista desplegable." promptTitle="El monto…" prompt="¿El monto que escribiste ya incluye el IVA?" type="list" errorStyle="stop">
      <formula1>"Con IVA incluido,Sin IVA (precio neto)"</formula1>
    </dataValidation>
    <dataValidation sqref="D11" showDropDown="0" showInputMessage="1" showErrorMessage="1" allowBlank="0" errorTitle="Valor no válido" error="Elegí un valor de la lista desplegable." promptTitle="Tasa de IVA" prompt="10 %: tasa general. 5 %: tasa reducida. Exenta: no paga IVA." type="list" errorStyle="stop">
      <formula1>"10 %,5 %,Exenta"</formula1>
    </dataValidation>
  </dataValidations>
  <hyperlinks>
    <hyperlink ref="B5" location="'REGISTRO'!A1" display="+ Registro de facturas"/>
    <hyperlink ref="E5" location="'RESUMEN'!A1" display="Resumen"/>
    <hyperlink ref="G5" location="'AJUSTES'!A1" display="Ajustes"/>
    <hyperlink ref="I5" location="'AYUDA'!A1" display="Ayuda"/>
    <hyperlink xmlns:r="http://schemas.openxmlformats.org/officeDocument/2006/relationships" ref="B38" r:id="rId1"/>
  </hyperlinks>
  <printOptions horizontalCentered="1"/>
  <pageMargins left="0.75" right="0.75" top="1" bottom="1" header="0.5" footer="0.5"/>
  <pageSetup orientation="portrait" paperSize="9" fitToHeight="1" fitToWidth="1"/>
  <headerFooter>
    <oddHeader>&amp;C&amp;"Arial,Bold"&amp;14 &amp;K2E2A6BMIX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5B4FD6"/>
    <outlinePr summaryBelow="1" summaryRight="1"/>
    <pageSetUpPr fitToPage="1"/>
  </sheetPr>
  <dimension ref="B1:H31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2" customWidth="1" min="3" max="3"/>
    <col width="38" customWidth="1" min="4" max="4"/>
    <col width="12" customWidth="1" min="5" max="5"/>
    <col width="20" customWidth="1" min="6" max="6"/>
    <col width="17" customWidth="1" min="7" max="7"/>
    <col width="15" customWidth="1" min="8" max="8"/>
  </cols>
  <sheetData>
    <row r="1" ht="30" customHeight="1">
      <c r="B1" s="1" t="inlineStr">
        <is>
          <t>MIX SHOP DIGITAL</t>
        </is>
      </c>
      <c r="E1" s="2" t="inlineStr">
        <is>
          <t>REGISTRO</t>
        </is>
      </c>
    </row>
    <row r="2" ht="18" customHeight="1">
      <c r="B2" s="3" t="inlineStr">
        <is>
          <t>Herramientas inteligentes que simplifican tu vida.</t>
        </is>
      </c>
      <c r="E2" s="4" t="inlineStr">
        <is>
          <t>Anotá tus ventas y compras</t>
        </is>
      </c>
    </row>
    <row r="3" ht="4" customHeight="1">
      <c r="B3" s="5" t="n"/>
    </row>
    <row r="4" ht="20" customHeight="1">
      <c r="B4" s="38" t="inlineStr">
        <is>
          <t>← VOLVER</t>
        </is>
      </c>
      <c r="C4" s="6" t="inlineStr">
        <is>
          <t>Una fila por factura. Completá solamente las celdas amarillas: el IVA se calcula solo.</t>
        </is>
      </c>
    </row>
    <row r="5">
      <c r="B5" s="39">
        <f>"Registros: "&amp;COUNT(F7:F306)&amp;" de 300   ·   IVA ventas del año: "&amp;FIXED(RESUMEN!E29,Decimales)&amp;"   ·   IVA compras del año: "&amp;FIXED(RESUMEN!F29,Decimales)&amp;" "&amp;Moneda&amp;IF(SUMPRODUCT(--(F7:F306&lt;&gt;""),--((B7:B306="")+(C7:C306="")+(E7:E306="")&gt;0))&gt;0,"   ·   ⚠ Hay filas incompletas","")</f>
        <v/>
      </c>
    </row>
    <row r="6" ht="30" customHeight="1">
      <c r="B6" s="40" t="inlineStr">
        <is>
          <t>Fecha</t>
        </is>
      </c>
      <c r="C6" s="40" t="inlineStr">
        <is>
          <t>Tipo</t>
        </is>
      </c>
      <c r="D6" s="40" t="inlineStr">
        <is>
          <t>Detalle (opcional)</t>
        </is>
      </c>
      <c r="E6" s="40" t="inlineStr">
        <is>
          <t>Tasa de IVA</t>
        </is>
      </c>
      <c r="F6" s="40" t="inlineStr">
        <is>
          <t>Monto total (con IVA)</t>
        </is>
      </c>
      <c r="G6" s="40" t="inlineStr">
        <is>
          <t>Precio sin IVA</t>
        </is>
      </c>
      <c r="H6" s="40" t="inlineStr">
        <is>
          <t>IVA</t>
        </is>
      </c>
    </row>
    <row r="7">
      <c r="B7" s="41" t="n">
        <v>46023</v>
      </c>
      <c r="C7" s="42" t="inlineStr">
        <is>
          <t>Venta</t>
        </is>
      </c>
      <c r="D7" s="43" t="inlineStr">
        <is>
          <t>Ejemplo: venta a cliente</t>
        </is>
      </c>
      <c r="E7" s="42" t="inlineStr">
        <is>
          <t>10 %</t>
        </is>
      </c>
      <c r="F7" s="44" t="n">
        <v>1190000</v>
      </c>
      <c r="G7" s="45">
        <f>IF(H7="","",F7-H7)</f>
        <v/>
      </c>
      <c r="H7" s="45">
        <f>IF(OR($F7="",$E7=""),"",IF($E7="10 %",ROUND($F7*TasaGeneral/(1+TasaGeneral),Decimales),IF($E7="5 %",ROUND($F7*TasaReducida/(1+TasaReducida),Decimales),0)))</f>
        <v/>
      </c>
    </row>
    <row r="8">
      <c r="B8" s="41" t="n">
        <v>46023</v>
      </c>
      <c r="C8" s="42" t="inlineStr">
        <is>
          <t>Venta</t>
        </is>
      </c>
      <c r="D8" s="43" t="inlineStr">
        <is>
          <t>Ejemplo: venta a cliente</t>
        </is>
      </c>
      <c r="E8" s="42" t="inlineStr">
        <is>
          <t>10 %</t>
        </is>
      </c>
      <c r="F8" s="44" t="n">
        <v>1884000</v>
      </c>
      <c r="G8" s="45">
        <f>IF(H8="","",F8-H8)</f>
        <v/>
      </c>
      <c r="H8" s="45">
        <f>IF(OR($F8="",$E8=""),"",IF($E8="10 %",ROUND($F8*TasaGeneral/(1+TasaGeneral),Decimales),IF($E8="5 %",ROUND($F8*TasaReducida/(1+TasaReducida),Decimales),0)))</f>
        <v/>
      </c>
    </row>
    <row r="9">
      <c r="B9" s="41" t="n">
        <v>46027</v>
      </c>
      <c r="C9" s="42" t="inlineStr">
        <is>
          <t>Venta</t>
        </is>
      </c>
      <c r="D9" s="43" t="inlineStr">
        <is>
          <t>Ejemplo: venta a cliente</t>
        </is>
      </c>
      <c r="E9" s="42" t="inlineStr">
        <is>
          <t>10 %</t>
        </is>
      </c>
      <c r="F9" s="44" t="n">
        <v>2906000</v>
      </c>
      <c r="G9" s="45">
        <f>IF(H9="","",F9-H9)</f>
        <v/>
      </c>
      <c r="H9" s="45">
        <f>IF(OR($F9="",$E9=""),"",IF($E9="10 %",ROUND($F9*TasaGeneral/(1+TasaGeneral),Decimales),IF($E9="5 %",ROUND($F9*TasaReducida/(1+TasaReducida),Decimales),0)))</f>
        <v/>
      </c>
    </row>
    <row r="10">
      <c r="B10" s="41" t="n">
        <v>46030</v>
      </c>
      <c r="C10" s="42" t="inlineStr">
        <is>
          <t>Venta</t>
        </is>
      </c>
      <c r="D10" s="43" t="inlineStr">
        <is>
          <t>Ejemplo: venta a cliente</t>
        </is>
      </c>
      <c r="E10" s="42" t="inlineStr">
        <is>
          <t>10 %</t>
        </is>
      </c>
      <c r="F10" s="44" t="n">
        <v>2840000</v>
      </c>
      <c r="G10" s="45">
        <f>IF(H10="","",F10-H10)</f>
        <v/>
      </c>
      <c r="H10" s="45">
        <f>IF(OR($F10="",$E10=""),"",IF($E10="10 %",ROUND($F10*TasaGeneral/(1+TasaGeneral),Decimales),IF($E10="5 %",ROUND($F10*TasaReducida/(1+TasaReducida),Decimales),0)))</f>
        <v/>
      </c>
    </row>
    <row r="11">
      <c r="B11" s="41" t="n">
        <v>46031</v>
      </c>
      <c r="C11" s="42" t="inlineStr">
        <is>
          <t>Venta</t>
        </is>
      </c>
      <c r="D11" s="43" t="inlineStr">
        <is>
          <t>Ejemplo: venta a cliente</t>
        </is>
      </c>
      <c r="E11" s="42" t="inlineStr">
        <is>
          <t>10 %</t>
        </is>
      </c>
      <c r="F11" s="44" t="n">
        <v>2954000</v>
      </c>
      <c r="G11" s="45">
        <f>IF(H11="","",F11-H11)</f>
        <v/>
      </c>
      <c r="H11" s="45">
        <f>IF(OR($F11="",$E11=""),"",IF($E11="10 %",ROUND($F11*TasaGeneral/(1+TasaGeneral),Decimales),IF($E11="5 %",ROUND($F11*TasaReducida/(1+TasaReducida),Decimales),0)))</f>
        <v/>
      </c>
    </row>
    <row r="12">
      <c r="B12" s="41" t="n">
        <v>46033</v>
      </c>
      <c r="C12" s="42" t="inlineStr">
        <is>
          <t>Compra</t>
        </is>
      </c>
      <c r="D12" s="43" t="inlineStr">
        <is>
          <t>Ejemplo: flete</t>
        </is>
      </c>
      <c r="E12" s="42" t="inlineStr">
        <is>
          <t>10 %</t>
        </is>
      </c>
      <c r="F12" s="44" t="n">
        <v>1431000</v>
      </c>
      <c r="G12" s="45">
        <f>IF(H12="","",F12-H12)</f>
        <v/>
      </c>
      <c r="H12" s="45">
        <f>IF(OR($F12="",$E12=""),"",IF($E12="10 %",ROUND($F12*TasaGeneral/(1+TasaGeneral),Decimales),IF($E12="5 %",ROUND($F12*TasaReducida/(1+TasaReducida),Decimales),0)))</f>
        <v/>
      </c>
    </row>
    <row r="13">
      <c r="B13" s="41" t="n">
        <v>46041</v>
      </c>
      <c r="C13" s="42" t="inlineStr">
        <is>
          <t>Compra</t>
        </is>
      </c>
      <c r="D13" s="43" t="inlineStr">
        <is>
          <t>Ejemplo: publicidad</t>
        </is>
      </c>
      <c r="E13" s="42" t="inlineStr">
        <is>
          <t>5 %</t>
        </is>
      </c>
      <c r="F13" s="44" t="n">
        <v>1685000</v>
      </c>
      <c r="G13" s="45">
        <f>IF(H13="","",F13-H13)</f>
        <v/>
      </c>
      <c r="H13" s="45">
        <f>IF(OR($F13="",$E13=""),"",IF($E13="10 %",ROUND($F13*TasaGeneral/(1+TasaGeneral),Decimales),IF($E13="5 %",ROUND($F13*TasaReducida/(1+TasaReducida),Decimales),0)))</f>
        <v/>
      </c>
    </row>
    <row r="14">
      <c r="B14" s="41" t="n">
        <v>46042</v>
      </c>
      <c r="C14" s="42" t="inlineStr">
        <is>
          <t>Compra</t>
        </is>
      </c>
      <c r="D14" s="43" t="inlineStr">
        <is>
          <t>Ejemplo: mercadería</t>
        </is>
      </c>
      <c r="E14" s="42" t="inlineStr">
        <is>
          <t>10 %</t>
        </is>
      </c>
      <c r="F14" s="44" t="n">
        <v>1621000</v>
      </c>
      <c r="G14" s="45">
        <f>IF(H14="","",F14-H14)</f>
        <v/>
      </c>
      <c r="H14" s="45">
        <f>IF(OR($F14="",$E14=""),"",IF($E14="10 %",ROUND($F14*TasaGeneral/(1+TasaGeneral),Decimales),IF($E14="5 %",ROUND($F14*TasaReducida/(1+TasaReducida),Decimales),0)))</f>
        <v/>
      </c>
    </row>
    <row r="15">
      <c r="B15" s="41" t="n">
        <v>46045</v>
      </c>
      <c r="C15" s="42" t="inlineStr">
        <is>
          <t>Venta</t>
        </is>
      </c>
      <c r="D15" s="43" t="inlineStr">
        <is>
          <t>Ejemplo: venta a cliente</t>
        </is>
      </c>
      <c r="E15" s="42" t="inlineStr">
        <is>
          <t>10 %</t>
        </is>
      </c>
      <c r="F15" s="44" t="n">
        <v>2227000</v>
      </c>
      <c r="G15" s="45">
        <f>IF(H15="","",F15-H15)</f>
        <v/>
      </c>
      <c r="H15" s="45">
        <f>IF(OR($F15="",$E15=""),"",IF($E15="10 %",ROUND($F15*TasaGeneral/(1+TasaGeneral),Decimales),IF($E15="5 %",ROUND($F15*TasaReducida/(1+TasaReducida),Decimales),0)))</f>
        <v/>
      </c>
    </row>
    <row r="16">
      <c r="B16" s="41" t="n">
        <v>46046</v>
      </c>
      <c r="C16" s="42" t="inlineStr">
        <is>
          <t>Compra</t>
        </is>
      </c>
      <c r="D16" s="43" t="inlineStr">
        <is>
          <t>Ejemplo: insumos</t>
        </is>
      </c>
      <c r="E16" s="42" t="inlineStr">
        <is>
          <t>10 %</t>
        </is>
      </c>
      <c r="F16" s="44" t="n">
        <v>1128000</v>
      </c>
      <c r="G16" s="45">
        <f>IF(H16="","",F16-H16)</f>
        <v/>
      </c>
      <c r="H16" s="45">
        <f>IF(OR($F16="",$E16=""),"",IF($E16="10 %",ROUND($F16*TasaGeneral/(1+TasaGeneral),Decimales),IF($E16="5 %",ROUND($F16*TasaReducida/(1+TasaReducida),Decimales),0)))</f>
        <v/>
      </c>
    </row>
    <row r="17">
      <c r="B17" s="41" t="n">
        <v>46047</v>
      </c>
      <c r="C17" s="42" t="inlineStr">
        <is>
          <t>Compra</t>
        </is>
      </c>
      <c r="D17" s="43" t="inlineStr">
        <is>
          <t>Ejemplo: servicios</t>
        </is>
      </c>
      <c r="E17" s="42" t="inlineStr">
        <is>
          <t>10 %</t>
        </is>
      </c>
      <c r="F17" s="44" t="n">
        <v>732000</v>
      </c>
      <c r="G17" s="45">
        <f>IF(H17="","",F17-H17)</f>
        <v/>
      </c>
      <c r="H17" s="45">
        <f>IF(OR($F17="",$E17=""),"",IF($E17="10 %",ROUND($F17*TasaGeneral/(1+TasaGeneral),Decimales),IF($E17="5 %",ROUND($F17*TasaReducida/(1+TasaReducida),Decimales),0)))</f>
        <v/>
      </c>
    </row>
    <row r="18">
      <c r="B18" s="41" t="n">
        <v>46057</v>
      </c>
      <c r="C18" s="42" t="inlineStr">
        <is>
          <t>Venta</t>
        </is>
      </c>
      <c r="D18" s="43" t="inlineStr">
        <is>
          <t>Ejemplo: venta a cliente</t>
        </is>
      </c>
      <c r="E18" s="42" t="inlineStr">
        <is>
          <t>10 %</t>
        </is>
      </c>
      <c r="F18" s="44" t="n">
        <v>2263000</v>
      </c>
      <c r="G18" s="45">
        <f>IF(H18="","",F18-H18)</f>
        <v/>
      </c>
      <c r="H18" s="45">
        <f>IF(OR($F18="",$E18=""),"",IF($E18="10 %",ROUND($F18*TasaGeneral/(1+TasaGeneral),Decimales),IF($E18="5 %",ROUND($F18*TasaReducida/(1+TasaReducida),Decimales),0)))</f>
        <v/>
      </c>
    </row>
    <row r="19">
      <c r="B19" s="41" t="n">
        <v>46062</v>
      </c>
      <c r="C19" s="42" t="inlineStr">
        <is>
          <t>Venta</t>
        </is>
      </c>
      <c r="D19" s="43" t="inlineStr">
        <is>
          <t>Ejemplo: venta a cliente</t>
        </is>
      </c>
      <c r="E19" s="42" t="inlineStr">
        <is>
          <t>10 %</t>
        </is>
      </c>
      <c r="F19" s="44" t="n">
        <v>2707000</v>
      </c>
      <c r="G19" s="45">
        <f>IF(H19="","",F19-H19)</f>
        <v/>
      </c>
      <c r="H19" s="45">
        <f>IF(OR($F19="",$E19=""),"",IF($E19="10 %",ROUND($F19*TasaGeneral/(1+TasaGeneral),Decimales),IF($E19="5 %",ROUND($F19*TasaReducida/(1+TasaReducida),Decimales),0)))</f>
        <v/>
      </c>
    </row>
    <row r="20">
      <c r="B20" s="41" t="n">
        <v>46062</v>
      </c>
      <c r="C20" s="42" t="inlineStr">
        <is>
          <t>Compra</t>
        </is>
      </c>
      <c r="D20" s="43" t="inlineStr">
        <is>
          <t>Ejemplo: insumos</t>
        </is>
      </c>
      <c r="E20" s="42" t="inlineStr">
        <is>
          <t>10 %</t>
        </is>
      </c>
      <c r="F20" s="44" t="n">
        <v>1707000</v>
      </c>
      <c r="G20" s="45">
        <f>IF(H20="","",F20-H20)</f>
        <v/>
      </c>
      <c r="H20" s="45">
        <f>IF(OR($F20="",$E20=""),"",IF($E20="10 %",ROUND($F20*TasaGeneral/(1+TasaGeneral),Decimales),IF($E20="5 %",ROUND($F20*TasaReducida/(1+TasaReducida),Decimales),0)))</f>
        <v/>
      </c>
    </row>
    <row r="21">
      <c r="B21" s="41" t="n">
        <v>46064</v>
      </c>
      <c r="C21" s="42" t="inlineStr">
        <is>
          <t>Venta</t>
        </is>
      </c>
      <c r="D21" s="43" t="inlineStr">
        <is>
          <t>Ejemplo: venta a cliente</t>
        </is>
      </c>
      <c r="E21" s="42" t="inlineStr">
        <is>
          <t>10 %</t>
        </is>
      </c>
      <c r="F21" s="44" t="n">
        <v>3026000</v>
      </c>
      <c r="G21" s="45">
        <f>IF(H21="","",F21-H21)</f>
        <v/>
      </c>
      <c r="H21" s="45">
        <f>IF(OR($F21="",$E21=""),"",IF($E21="10 %",ROUND($F21*TasaGeneral/(1+TasaGeneral),Decimales),IF($E21="5 %",ROUND($F21*TasaReducida/(1+TasaReducida),Decimales),0)))</f>
        <v/>
      </c>
    </row>
    <row r="22">
      <c r="B22" s="41" t="n">
        <v>46067</v>
      </c>
      <c r="C22" s="42" t="inlineStr">
        <is>
          <t>Venta</t>
        </is>
      </c>
      <c r="D22" s="43" t="inlineStr">
        <is>
          <t>Ejemplo: venta a cliente</t>
        </is>
      </c>
      <c r="E22" s="42" t="inlineStr">
        <is>
          <t>10 %</t>
        </is>
      </c>
      <c r="F22" s="44" t="n">
        <v>2973000</v>
      </c>
      <c r="G22" s="45">
        <f>IF(H22="","",F22-H22)</f>
        <v/>
      </c>
      <c r="H22" s="45">
        <f>IF(OR($F22="",$E22=""),"",IF($E22="10 %",ROUND($F22*TasaGeneral/(1+TasaGeneral),Decimales),IF($E22="5 %",ROUND($F22*TasaReducida/(1+TasaReducida),Decimales),0)))</f>
        <v/>
      </c>
    </row>
    <row r="23">
      <c r="B23" s="41" t="n">
        <v>46068</v>
      </c>
      <c r="C23" s="42" t="inlineStr">
        <is>
          <t>Compra</t>
        </is>
      </c>
      <c r="D23" s="43" t="inlineStr">
        <is>
          <t>Ejemplo: mercadería</t>
        </is>
      </c>
      <c r="E23" s="42" t="inlineStr">
        <is>
          <t>5 %</t>
        </is>
      </c>
      <c r="F23" s="44" t="n">
        <v>1223000</v>
      </c>
      <c r="G23" s="45">
        <f>IF(H23="","",F23-H23)</f>
        <v/>
      </c>
      <c r="H23" s="45">
        <f>IF(OR($F23="",$E23=""),"",IF($E23="10 %",ROUND($F23*TasaGeneral/(1+TasaGeneral),Decimales),IF($E23="5 %",ROUND($F23*TasaReducida/(1+TasaReducida),Decimales),0)))</f>
        <v/>
      </c>
    </row>
    <row r="24">
      <c r="B24" s="41" t="n">
        <v>46069</v>
      </c>
      <c r="C24" s="42" t="inlineStr">
        <is>
          <t>Compra</t>
        </is>
      </c>
      <c r="D24" s="43" t="inlineStr">
        <is>
          <t>Ejemplo: flete</t>
        </is>
      </c>
      <c r="E24" s="42" t="inlineStr">
        <is>
          <t>10 %</t>
        </is>
      </c>
      <c r="F24" s="44" t="n">
        <v>1633000</v>
      </c>
      <c r="G24" s="45">
        <f>IF(H24="","",F24-H24)</f>
        <v/>
      </c>
      <c r="H24" s="45">
        <f>IF(OR($F24="",$E24=""),"",IF($E24="10 %",ROUND($F24*TasaGeneral/(1+TasaGeneral),Decimales),IF($E24="5 %",ROUND($F24*TasaReducida/(1+TasaReducida),Decimales),0)))</f>
        <v/>
      </c>
    </row>
    <row r="25">
      <c r="B25" s="41" t="n">
        <v>46070</v>
      </c>
      <c r="C25" s="42" t="inlineStr">
        <is>
          <t>Venta</t>
        </is>
      </c>
      <c r="D25" s="43" t="inlineStr">
        <is>
          <t>Ejemplo: venta a cliente</t>
        </is>
      </c>
      <c r="E25" s="42" t="inlineStr">
        <is>
          <t>10 %</t>
        </is>
      </c>
      <c r="F25" s="44" t="n">
        <v>1560000</v>
      </c>
      <c r="G25" s="45">
        <f>IF(H25="","",F25-H25)</f>
        <v/>
      </c>
      <c r="H25" s="45">
        <f>IF(OR($F25="",$E25=""),"",IF($E25="10 %",ROUND($F25*TasaGeneral/(1+TasaGeneral),Decimales),IF($E25="5 %",ROUND($F25*TasaReducida/(1+TasaReducida),Decimales),0)))</f>
        <v/>
      </c>
    </row>
    <row r="26">
      <c r="B26" s="41" t="n">
        <v>46073</v>
      </c>
      <c r="C26" s="42" t="inlineStr">
        <is>
          <t>Compra</t>
        </is>
      </c>
      <c r="D26" s="43" t="inlineStr">
        <is>
          <t>Ejemplo: servicios</t>
        </is>
      </c>
      <c r="E26" s="42" t="inlineStr">
        <is>
          <t>10 %</t>
        </is>
      </c>
      <c r="F26" s="44" t="n">
        <v>954000</v>
      </c>
      <c r="G26" s="45">
        <f>IF(H26="","",F26-H26)</f>
        <v/>
      </c>
      <c r="H26" s="45">
        <f>IF(OR($F26="",$E26=""),"",IF($E26="10 %",ROUND($F26*TasaGeneral/(1+TasaGeneral),Decimales),IF($E26="5 %",ROUND($F26*TasaReducida/(1+TasaReducida),Decimales),0)))</f>
        <v/>
      </c>
    </row>
    <row r="27">
      <c r="B27" s="41" t="n">
        <v>46076</v>
      </c>
      <c r="C27" s="42" t="inlineStr">
        <is>
          <t>Compra</t>
        </is>
      </c>
      <c r="D27" s="43" t="inlineStr">
        <is>
          <t>Ejemplo: publicidad</t>
        </is>
      </c>
      <c r="E27" s="42" t="inlineStr">
        <is>
          <t>10 %</t>
        </is>
      </c>
      <c r="F27" s="44" t="n">
        <v>2193000</v>
      </c>
      <c r="G27" s="45">
        <f>IF(H27="","",F27-H27)</f>
        <v/>
      </c>
      <c r="H27" s="45">
        <f>IF(OR($F27="",$E27=""),"",IF($E27="10 %",ROUND($F27*TasaGeneral/(1+TasaGeneral),Decimales),IF($E27="5 %",ROUND($F27*TasaReducida/(1+TasaReducida),Decimales),0)))</f>
        <v/>
      </c>
    </row>
    <row r="28">
      <c r="B28" s="41" t="n">
        <v>46079</v>
      </c>
      <c r="C28" s="42" t="inlineStr">
        <is>
          <t>Venta</t>
        </is>
      </c>
      <c r="D28" s="43" t="inlineStr">
        <is>
          <t>Ejemplo: venta a cliente</t>
        </is>
      </c>
      <c r="E28" s="42" t="inlineStr">
        <is>
          <t>10 %</t>
        </is>
      </c>
      <c r="F28" s="44" t="n">
        <v>2470000</v>
      </c>
      <c r="G28" s="45">
        <f>IF(H28="","",F28-H28)</f>
        <v/>
      </c>
      <c r="H28" s="45">
        <f>IF(OR($F28="",$E28=""),"",IF($E28="10 %",ROUND($F28*TasaGeneral/(1+TasaGeneral),Decimales),IF($E28="5 %",ROUND($F28*TasaReducida/(1+TasaReducida),Decimales),0)))</f>
        <v/>
      </c>
    </row>
    <row r="29">
      <c r="B29" s="41" t="n">
        <v>46082</v>
      </c>
      <c r="C29" s="42" t="inlineStr">
        <is>
          <t>Venta</t>
        </is>
      </c>
      <c r="D29" s="43" t="inlineStr">
        <is>
          <t>Ejemplo: venta a cliente</t>
        </is>
      </c>
      <c r="E29" s="42" t="inlineStr">
        <is>
          <t>10 %</t>
        </is>
      </c>
      <c r="F29" s="44" t="n">
        <v>2046000</v>
      </c>
      <c r="G29" s="45">
        <f>IF(H29="","",F29-H29)</f>
        <v/>
      </c>
      <c r="H29" s="45">
        <f>IF(OR($F29="",$E29=""),"",IF($E29="10 %",ROUND($F29*TasaGeneral/(1+TasaGeneral),Decimales),IF($E29="5 %",ROUND($F29*TasaReducida/(1+TasaReducida),Decimales),0)))</f>
        <v/>
      </c>
    </row>
    <row r="30">
      <c r="B30" s="41" t="n">
        <v>46083</v>
      </c>
      <c r="C30" s="42" t="inlineStr">
        <is>
          <t>Venta</t>
        </is>
      </c>
      <c r="D30" s="43" t="inlineStr">
        <is>
          <t>Ejemplo: venta a cliente</t>
        </is>
      </c>
      <c r="E30" s="42" t="inlineStr">
        <is>
          <t>Exenta</t>
        </is>
      </c>
      <c r="F30" s="44" t="n">
        <v>1382000</v>
      </c>
      <c r="G30" s="45">
        <f>IF(H30="","",F30-H30)</f>
        <v/>
      </c>
      <c r="H30" s="45">
        <f>IF(OR($F30="",$E30=""),"",IF($E30="10 %",ROUND($F30*TasaGeneral/(1+TasaGeneral),Decimales),IF($E30="5 %",ROUND($F30*TasaReducida/(1+TasaReducida),Decimales),0)))</f>
        <v/>
      </c>
    </row>
    <row r="31">
      <c r="B31" s="41" t="n">
        <v>46083</v>
      </c>
      <c r="C31" s="42" t="inlineStr">
        <is>
          <t>Venta</t>
        </is>
      </c>
      <c r="D31" s="43" t="inlineStr">
        <is>
          <t>Ejemplo: venta a cliente</t>
        </is>
      </c>
      <c r="E31" s="42" t="inlineStr">
        <is>
          <t>10 %</t>
        </is>
      </c>
      <c r="F31" s="44" t="n">
        <v>1250000</v>
      </c>
      <c r="G31" s="45">
        <f>IF(H31="","",F31-H31)</f>
        <v/>
      </c>
      <c r="H31" s="45">
        <f>IF(OR($F31="",$E31=""),"",IF($E31="10 %",ROUND($F31*TasaGeneral/(1+TasaGeneral),Decimales),IF($E31="5 %",ROUND($F31*TasaReducida/(1+TasaReducida),Decimales),0)))</f>
        <v/>
      </c>
    </row>
    <row r="32">
      <c r="B32" s="41" t="n">
        <v>46084</v>
      </c>
      <c r="C32" s="42" t="inlineStr">
        <is>
          <t>Compra</t>
        </is>
      </c>
      <c r="D32" s="43" t="inlineStr">
        <is>
          <t>Ejemplo: mercadería</t>
        </is>
      </c>
      <c r="E32" s="42" t="inlineStr">
        <is>
          <t>10 %</t>
        </is>
      </c>
      <c r="F32" s="44" t="n">
        <v>1426000</v>
      </c>
      <c r="G32" s="45">
        <f>IF(H32="","",F32-H32)</f>
        <v/>
      </c>
      <c r="H32" s="45">
        <f>IF(OR($F32="",$E32=""),"",IF($E32="10 %",ROUND($F32*TasaGeneral/(1+TasaGeneral),Decimales),IF($E32="5 %",ROUND($F32*TasaReducida/(1+TasaReducida),Decimales),0)))</f>
        <v/>
      </c>
    </row>
    <row r="33">
      <c r="B33" s="41" t="n">
        <v>46088</v>
      </c>
      <c r="C33" s="42" t="inlineStr">
        <is>
          <t>Compra</t>
        </is>
      </c>
      <c r="D33" s="43" t="inlineStr">
        <is>
          <t>Ejemplo: publicidad</t>
        </is>
      </c>
      <c r="E33" s="42" t="inlineStr">
        <is>
          <t>Exenta</t>
        </is>
      </c>
      <c r="F33" s="44" t="n">
        <v>1413000</v>
      </c>
      <c r="G33" s="45">
        <f>IF(H33="","",F33-H33)</f>
        <v/>
      </c>
      <c r="H33" s="45">
        <f>IF(OR($F33="",$E33=""),"",IF($E33="10 %",ROUND($F33*TasaGeneral/(1+TasaGeneral),Decimales),IF($E33="5 %",ROUND($F33*TasaReducida/(1+TasaReducida),Decimales),0)))</f>
        <v/>
      </c>
    </row>
    <row r="34">
      <c r="B34" s="41" t="n">
        <v>46093</v>
      </c>
      <c r="C34" s="42" t="inlineStr">
        <is>
          <t>Compra</t>
        </is>
      </c>
      <c r="D34" s="43" t="inlineStr">
        <is>
          <t>Ejemplo: compra de equipos</t>
        </is>
      </c>
      <c r="E34" s="42" t="inlineStr">
        <is>
          <t>10 %</t>
        </is>
      </c>
      <c r="F34" s="44" t="n">
        <v>16500000</v>
      </c>
      <c r="G34" s="45">
        <f>IF(H34="","",F34-H34)</f>
        <v/>
      </c>
      <c r="H34" s="45">
        <f>IF(OR($F34="",$E34=""),"",IF($E34="10 %",ROUND($F34*TasaGeneral/(1+TasaGeneral),Decimales),IF($E34="5 %",ROUND($F34*TasaReducida/(1+TasaReducida),Decimales),0)))</f>
        <v/>
      </c>
    </row>
    <row r="35">
      <c r="B35" s="41" t="n">
        <v>46094</v>
      </c>
      <c r="C35" s="42" t="inlineStr">
        <is>
          <t>Venta</t>
        </is>
      </c>
      <c r="D35" s="43" t="inlineStr">
        <is>
          <t>Ejemplo: venta a cliente</t>
        </is>
      </c>
      <c r="E35" s="42" t="inlineStr">
        <is>
          <t>10 %</t>
        </is>
      </c>
      <c r="F35" s="44" t="n">
        <v>1958000</v>
      </c>
      <c r="G35" s="45">
        <f>IF(H35="","",F35-H35)</f>
        <v/>
      </c>
      <c r="H35" s="45">
        <f>IF(OR($F35="",$E35=""),"",IF($E35="10 %",ROUND($F35*TasaGeneral/(1+TasaGeneral),Decimales),IF($E35="5 %",ROUND($F35*TasaReducida/(1+TasaReducida),Decimales),0)))</f>
        <v/>
      </c>
    </row>
    <row r="36">
      <c r="B36" s="41" t="n">
        <v>46096</v>
      </c>
      <c r="C36" s="42" t="inlineStr">
        <is>
          <t>Compra</t>
        </is>
      </c>
      <c r="D36" s="43" t="inlineStr">
        <is>
          <t>Ejemplo: servicios</t>
        </is>
      </c>
      <c r="E36" s="42" t="inlineStr">
        <is>
          <t>10 %</t>
        </is>
      </c>
      <c r="F36" s="44" t="n">
        <v>811000</v>
      </c>
      <c r="G36" s="45">
        <f>IF(H36="","",F36-H36)</f>
        <v/>
      </c>
      <c r="H36" s="45">
        <f>IF(OR($F36="",$E36=""),"",IF($E36="10 %",ROUND($F36*TasaGeneral/(1+TasaGeneral),Decimales),IF($E36="5 %",ROUND($F36*TasaReducida/(1+TasaReducida),Decimales),0)))</f>
        <v/>
      </c>
    </row>
    <row r="37">
      <c r="B37" s="41" t="n">
        <v>46099</v>
      </c>
      <c r="C37" s="42" t="inlineStr">
        <is>
          <t>Compra</t>
        </is>
      </c>
      <c r="D37" s="43" t="inlineStr">
        <is>
          <t>Ejemplo: insumos</t>
        </is>
      </c>
      <c r="E37" s="42" t="inlineStr">
        <is>
          <t>10 %</t>
        </is>
      </c>
      <c r="F37" s="44" t="n">
        <v>1197000</v>
      </c>
      <c r="G37" s="45">
        <f>IF(H37="","",F37-H37)</f>
        <v/>
      </c>
      <c r="H37" s="45">
        <f>IF(OR($F37="",$E37=""),"",IF($E37="10 %",ROUND($F37*TasaGeneral/(1+TasaGeneral),Decimales),IF($E37="5 %",ROUND($F37*TasaReducida/(1+TasaReducida),Decimales),0)))</f>
        <v/>
      </c>
    </row>
    <row r="38">
      <c r="B38" s="41" t="n">
        <v>46099</v>
      </c>
      <c r="C38" s="42" t="inlineStr">
        <is>
          <t>Compra</t>
        </is>
      </c>
      <c r="D38" s="43" t="inlineStr">
        <is>
          <t>Ejemplo: flete</t>
        </is>
      </c>
      <c r="E38" s="42" t="inlineStr">
        <is>
          <t>10 %</t>
        </is>
      </c>
      <c r="F38" s="44" t="n">
        <v>840000</v>
      </c>
      <c r="G38" s="45">
        <f>IF(H38="","",F38-H38)</f>
        <v/>
      </c>
      <c r="H38" s="45">
        <f>IF(OR($F38="",$E38=""),"",IF($E38="10 %",ROUND($F38*TasaGeneral/(1+TasaGeneral),Decimales),IF($E38="5 %",ROUND($F38*TasaReducida/(1+TasaReducida),Decimales),0)))</f>
        <v/>
      </c>
    </row>
    <row r="39">
      <c r="B39" s="41" t="n">
        <v>46107</v>
      </c>
      <c r="C39" s="42" t="inlineStr">
        <is>
          <t>Venta</t>
        </is>
      </c>
      <c r="D39" s="43" t="inlineStr">
        <is>
          <t>Ejemplo: venta a cliente</t>
        </is>
      </c>
      <c r="E39" s="42" t="inlineStr">
        <is>
          <t>10 %</t>
        </is>
      </c>
      <c r="F39" s="44" t="n">
        <v>2657000</v>
      </c>
      <c r="G39" s="45">
        <f>IF(H39="","",F39-H39)</f>
        <v/>
      </c>
      <c r="H39" s="45">
        <f>IF(OR($F39="",$E39=""),"",IF($E39="10 %",ROUND($F39*TasaGeneral/(1+TasaGeneral),Decimales),IF($E39="5 %",ROUND($F39*TasaReducida/(1+TasaReducida),Decimales),0)))</f>
        <v/>
      </c>
    </row>
    <row r="40">
      <c r="B40" s="41" t="n">
        <v>46107</v>
      </c>
      <c r="C40" s="42" t="inlineStr">
        <is>
          <t>Venta</t>
        </is>
      </c>
      <c r="D40" s="43" t="inlineStr">
        <is>
          <t>Ejemplo: venta a cliente</t>
        </is>
      </c>
      <c r="E40" s="42" t="inlineStr">
        <is>
          <t>Exenta</t>
        </is>
      </c>
      <c r="F40" s="44" t="n">
        <v>2707000</v>
      </c>
      <c r="G40" s="45">
        <f>IF(H40="","",F40-H40)</f>
        <v/>
      </c>
      <c r="H40" s="45">
        <f>IF(OR($F40="",$E40=""),"",IF($E40="10 %",ROUND($F40*TasaGeneral/(1+TasaGeneral),Decimales),IF($E40="5 %",ROUND($F40*TasaReducida/(1+TasaReducida),Decimales),0)))</f>
        <v/>
      </c>
    </row>
    <row r="41">
      <c r="B41" s="41" t="n">
        <v>46114</v>
      </c>
      <c r="C41" s="42" t="inlineStr">
        <is>
          <t>Compra</t>
        </is>
      </c>
      <c r="D41" s="43" t="inlineStr">
        <is>
          <t>Ejemplo: mercadería</t>
        </is>
      </c>
      <c r="E41" s="42" t="inlineStr">
        <is>
          <t>10 %</t>
        </is>
      </c>
      <c r="F41" s="44" t="n">
        <v>2008000</v>
      </c>
      <c r="G41" s="45">
        <f>IF(H41="","",F41-H41)</f>
        <v/>
      </c>
      <c r="H41" s="45">
        <f>IF(OR($F41="",$E41=""),"",IF($E41="10 %",ROUND($F41*TasaGeneral/(1+TasaGeneral),Decimales),IF($E41="5 %",ROUND($F41*TasaReducida/(1+TasaReducida),Decimales),0)))</f>
        <v/>
      </c>
    </row>
    <row r="42">
      <c r="B42" s="41" t="n">
        <v>46116</v>
      </c>
      <c r="C42" s="42" t="inlineStr">
        <is>
          <t>Compra</t>
        </is>
      </c>
      <c r="D42" s="43" t="inlineStr">
        <is>
          <t>Ejemplo: insumos</t>
        </is>
      </c>
      <c r="E42" s="42" t="inlineStr">
        <is>
          <t>10 %</t>
        </is>
      </c>
      <c r="F42" s="44" t="n">
        <v>1686000</v>
      </c>
      <c r="G42" s="45">
        <f>IF(H42="","",F42-H42)</f>
        <v/>
      </c>
      <c r="H42" s="45">
        <f>IF(OR($F42="",$E42=""),"",IF($E42="10 %",ROUND($F42*TasaGeneral/(1+TasaGeneral),Decimales),IF($E42="5 %",ROUND($F42*TasaReducida/(1+TasaReducida),Decimales),0)))</f>
        <v/>
      </c>
    </row>
    <row r="43">
      <c r="B43" s="41" t="n">
        <v>46117</v>
      </c>
      <c r="C43" s="42" t="inlineStr">
        <is>
          <t>Compra</t>
        </is>
      </c>
      <c r="D43" s="43" t="inlineStr">
        <is>
          <t>Ejemplo: servicios</t>
        </is>
      </c>
      <c r="E43" s="42" t="inlineStr">
        <is>
          <t>10 %</t>
        </is>
      </c>
      <c r="F43" s="44" t="n">
        <v>1491000</v>
      </c>
      <c r="G43" s="45">
        <f>IF(H43="","",F43-H43)</f>
        <v/>
      </c>
      <c r="H43" s="45">
        <f>IF(OR($F43="",$E43=""),"",IF($E43="10 %",ROUND($F43*TasaGeneral/(1+TasaGeneral),Decimales),IF($E43="5 %",ROUND($F43*TasaReducida/(1+TasaReducida),Decimales),0)))</f>
        <v/>
      </c>
    </row>
    <row r="44">
      <c r="B44" s="41" t="n">
        <v>46126</v>
      </c>
      <c r="C44" s="42" t="inlineStr">
        <is>
          <t>Venta</t>
        </is>
      </c>
      <c r="D44" s="43" t="inlineStr">
        <is>
          <t>Ejemplo: venta a cliente</t>
        </is>
      </c>
      <c r="E44" s="42" t="inlineStr">
        <is>
          <t>10 %</t>
        </is>
      </c>
      <c r="F44" s="44" t="n">
        <v>2234000</v>
      </c>
      <c r="G44" s="45">
        <f>IF(H44="","",F44-H44)</f>
        <v/>
      </c>
      <c r="H44" s="45">
        <f>IF(OR($F44="",$E44=""),"",IF($E44="10 %",ROUND($F44*TasaGeneral/(1+TasaGeneral),Decimales),IF($E44="5 %",ROUND($F44*TasaReducida/(1+TasaReducida),Decimales),0)))</f>
        <v/>
      </c>
    </row>
    <row r="45">
      <c r="B45" s="41" t="n">
        <v>46126</v>
      </c>
      <c r="C45" s="42" t="inlineStr">
        <is>
          <t>Compra</t>
        </is>
      </c>
      <c r="D45" s="43" t="inlineStr">
        <is>
          <t>Ejemplo: flete</t>
        </is>
      </c>
      <c r="E45" s="42" t="inlineStr">
        <is>
          <t>10 %</t>
        </is>
      </c>
      <c r="F45" s="44" t="n">
        <v>2193000</v>
      </c>
      <c r="G45" s="45">
        <f>IF(H45="","",F45-H45)</f>
        <v/>
      </c>
      <c r="H45" s="45">
        <f>IF(OR($F45="",$E45=""),"",IF($E45="10 %",ROUND($F45*TasaGeneral/(1+TasaGeneral),Decimales),IF($E45="5 %",ROUND($F45*TasaReducida/(1+TasaReducida),Decimales),0)))</f>
        <v/>
      </c>
    </row>
    <row r="46">
      <c r="B46" s="41" t="n">
        <v>46127</v>
      </c>
      <c r="C46" s="42" t="inlineStr">
        <is>
          <t>Venta</t>
        </is>
      </c>
      <c r="D46" s="43" t="inlineStr">
        <is>
          <t>Ejemplo: venta a cliente</t>
        </is>
      </c>
      <c r="E46" s="42" t="inlineStr">
        <is>
          <t>5 %</t>
        </is>
      </c>
      <c r="F46" s="44" t="n">
        <v>3053000</v>
      </c>
      <c r="G46" s="45">
        <f>IF(H46="","",F46-H46)</f>
        <v/>
      </c>
      <c r="H46" s="45">
        <f>IF(OR($F46="",$E46=""),"",IF($E46="10 %",ROUND($F46*TasaGeneral/(1+TasaGeneral),Decimales),IF($E46="5 %",ROUND($F46*TasaReducida/(1+TasaReducida),Decimales),0)))</f>
        <v/>
      </c>
    </row>
    <row r="47">
      <c r="B47" s="41" t="n">
        <v>46130</v>
      </c>
      <c r="C47" s="42" t="inlineStr">
        <is>
          <t>Compra</t>
        </is>
      </c>
      <c r="D47" s="43" t="inlineStr">
        <is>
          <t>Ejemplo: publicidad</t>
        </is>
      </c>
      <c r="E47" s="42" t="inlineStr">
        <is>
          <t>10 %</t>
        </is>
      </c>
      <c r="F47" s="44" t="n">
        <v>1288000</v>
      </c>
      <c r="G47" s="45">
        <f>IF(H47="","",F47-H47)</f>
        <v/>
      </c>
      <c r="H47" s="45">
        <f>IF(OR($F47="",$E47=""),"",IF($E47="10 %",ROUND($F47*TasaGeneral/(1+TasaGeneral),Decimales),IF($E47="5 %",ROUND($F47*TasaReducida/(1+TasaReducida),Decimales),0)))</f>
        <v/>
      </c>
    </row>
    <row r="48">
      <c r="B48" s="41" t="n">
        <v>46132</v>
      </c>
      <c r="C48" s="42" t="inlineStr">
        <is>
          <t>Venta</t>
        </is>
      </c>
      <c r="D48" s="43" t="inlineStr">
        <is>
          <t>Ejemplo: venta a cliente</t>
        </is>
      </c>
      <c r="E48" s="42" t="inlineStr">
        <is>
          <t>10 %</t>
        </is>
      </c>
      <c r="F48" s="44" t="n">
        <v>3895000</v>
      </c>
      <c r="G48" s="45">
        <f>IF(H48="","",F48-H48)</f>
        <v/>
      </c>
      <c r="H48" s="45">
        <f>IF(OR($F48="",$E48=""),"",IF($E48="10 %",ROUND($F48*TasaGeneral/(1+TasaGeneral),Decimales),IF($E48="5 %",ROUND($F48*TasaReducida/(1+TasaReducida),Decimales),0)))</f>
        <v/>
      </c>
    </row>
    <row r="49">
      <c r="B49" s="41" t="n">
        <v>46134</v>
      </c>
      <c r="C49" s="42" t="inlineStr">
        <is>
          <t>Venta</t>
        </is>
      </c>
      <c r="D49" s="43" t="inlineStr">
        <is>
          <t>Ejemplo: venta a cliente</t>
        </is>
      </c>
      <c r="E49" s="42" t="inlineStr">
        <is>
          <t>10 %</t>
        </is>
      </c>
      <c r="F49" s="44" t="n">
        <v>1987000</v>
      </c>
      <c r="G49" s="45">
        <f>IF(H49="","",F49-H49)</f>
        <v/>
      </c>
      <c r="H49" s="45">
        <f>IF(OR($F49="",$E49=""),"",IF($E49="10 %",ROUND($F49*TasaGeneral/(1+TasaGeneral),Decimales),IF($E49="5 %",ROUND($F49*TasaReducida/(1+TasaReducida),Decimales),0)))</f>
        <v/>
      </c>
    </row>
    <row r="50">
      <c r="B50" s="41" t="n">
        <v>46139</v>
      </c>
      <c r="C50" s="42" t="inlineStr">
        <is>
          <t>Venta</t>
        </is>
      </c>
      <c r="D50" s="43" t="inlineStr">
        <is>
          <t>Ejemplo: venta a cliente</t>
        </is>
      </c>
      <c r="E50" s="42" t="inlineStr">
        <is>
          <t>5 %</t>
        </is>
      </c>
      <c r="F50" s="44" t="n">
        <v>3096000</v>
      </c>
      <c r="G50" s="45">
        <f>IF(H50="","",F50-H50)</f>
        <v/>
      </c>
      <c r="H50" s="45">
        <f>IF(OR($F50="",$E50=""),"",IF($E50="10 %",ROUND($F50*TasaGeneral/(1+TasaGeneral),Decimales),IF($E50="5 %",ROUND($F50*TasaReducida/(1+TasaReducida),Decimales),0)))</f>
        <v/>
      </c>
    </row>
    <row r="51">
      <c r="B51" s="41" t="n">
        <v>46139</v>
      </c>
      <c r="C51" s="42" t="inlineStr">
        <is>
          <t>Venta</t>
        </is>
      </c>
      <c r="D51" s="43" t="inlineStr">
        <is>
          <t>Ejemplo: venta a cliente</t>
        </is>
      </c>
      <c r="E51" s="42" t="inlineStr">
        <is>
          <t>10 %</t>
        </is>
      </c>
      <c r="F51" s="44" t="n">
        <v>2735000</v>
      </c>
      <c r="G51" s="45">
        <f>IF(H51="","",F51-H51)</f>
        <v/>
      </c>
      <c r="H51" s="45">
        <f>IF(OR($F51="",$E51=""),"",IF($E51="10 %",ROUND($F51*TasaGeneral/(1+TasaGeneral),Decimales),IF($E51="5 %",ROUND($F51*TasaReducida/(1+TasaReducida),Decimales),0)))</f>
        <v/>
      </c>
    </row>
    <row r="52">
      <c r="B52" s="41" t="n">
        <v>46145</v>
      </c>
      <c r="C52" s="42" t="inlineStr">
        <is>
          <t>Compra</t>
        </is>
      </c>
      <c r="D52" s="43" t="inlineStr">
        <is>
          <t>Ejemplo: flete</t>
        </is>
      </c>
      <c r="E52" s="42" t="inlineStr">
        <is>
          <t>10 %</t>
        </is>
      </c>
      <c r="F52" s="44" t="n">
        <v>1645000</v>
      </c>
      <c r="G52" s="45">
        <f>IF(H52="","",F52-H52)</f>
        <v/>
      </c>
      <c r="H52" s="45">
        <f>IF(OR($F52="",$E52=""),"",IF($E52="10 %",ROUND($F52*TasaGeneral/(1+TasaGeneral),Decimales),IF($E52="5 %",ROUND($F52*TasaReducida/(1+TasaReducida),Decimales),0)))</f>
        <v/>
      </c>
    </row>
    <row r="53">
      <c r="B53" s="41" t="n">
        <v>46148</v>
      </c>
      <c r="C53" s="42" t="inlineStr">
        <is>
          <t>Compra</t>
        </is>
      </c>
      <c r="D53" s="43" t="inlineStr">
        <is>
          <t>Ejemplo: servicios</t>
        </is>
      </c>
      <c r="E53" s="42" t="inlineStr">
        <is>
          <t>10 %</t>
        </is>
      </c>
      <c r="F53" s="44" t="n">
        <v>2228000</v>
      </c>
      <c r="G53" s="45">
        <f>IF(H53="","",F53-H53)</f>
        <v/>
      </c>
      <c r="H53" s="45">
        <f>IF(OR($F53="",$E53=""),"",IF($E53="10 %",ROUND($F53*TasaGeneral/(1+TasaGeneral),Decimales),IF($E53="5 %",ROUND($F53*TasaReducida/(1+TasaReducida),Decimales),0)))</f>
        <v/>
      </c>
    </row>
    <row r="54">
      <c r="B54" s="41" t="n">
        <v>46149</v>
      </c>
      <c r="C54" s="42" t="inlineStr">
        <is>
          <t>Venta</t>
        </is>
      </c>
      <c r="D54" s="43" t="inlineStr">
        <is>
          <t>Ejemplo: venta a cliente</t>
        </is>
      </c>
      <c r="E54" s="42" t="inlineStr">
        <is>
          <t>5 %</t>
        </is>
      </c>
      <c r="F54" s="44" t="n">
        <v>2486000</v>
      </c>
      <c r="G54" s="45">
        <f>IF(H54="","",F54-H54)</f>
        <v/>
      </c>
      <c r="H54" s="45">
        <f>IF(OR($F54="",$E54=""),"",IF($E54="10 %",ROUND($F54*TasaGeneral/(1+TasaGeneral),Decimales),IF($E54="5 %",ROUND($F54*TasaReducida/(1+TasaReducida),Decimales),0)))</f>
        <v/>
      </c>
    </row>
    <row r="55">
      <c r="B55" s="41" t="n">
        <v>46152</v>
      </c>
      <c r="C55" s="42" t="inlineStr">
        <is>
          <t>Compra</t>
        </is>
      </c>
      <c r="D55" s="43" t="inlineStr">
        <is>
          <t>Ejemplo: publicidad</t>
        </is>
      </c>
      <c r="E55" s="42" t="inlineStr">
        <is>
          <t>10 %</t>
        </is>
      </c>
      <c r="F55" s="44" t="n">
        <v>2602000</v>
      </c>
      <c r="G55" s="45">
        <f>IF(H55="","",F55-H55)</f>
        <v/>
      </c>
      <c r="H55" s="45">
        <f>IF(OR($F55="",$E55=""),"",IF($E55="10 %",ROUND($F55*TasaGeneral/(1+TasaGeneral),Decimales),IF($E55="5 %",ROUND($F55*TasaReducida/(1+TasaReducida),Decimales),0)))</f>
        <v/>
      </c>
    </row>
    <row r="56">
      <c r="B56" s="41" t="n">
        <v>46153</v>
      </c>
      <c r="C56" s="42" t="inlineStr">
        <is>
          <t>Venta</t>
        </is>
      </c>
      <c r="D56" s="43" t="inlineStr">
        <is>
          <t>Ejemplo: venta a cliente</t>
        </is>
      </c>
      <c r="E56" s="42" t="inlineStr">
        <is>
          <t>10 %</t>
        </is>
      </c>
      <c r="F56" s="44" t="n">
        <v>1957000</v>
      </c>
      <c r="G56" s="45">
        <f>IF(H56="","",F56-H56)</f>
        <v/>
      </c>
      <c r="H56" s="45">
        <f>IF(OR($F56="",$E56=""),"",IF($E56="10 %",ROUND($F56*TasaGeneral/(1+TasaGeneral),Decimales),IF($E56="5 %",ROUND($F56*TasaReducida/(1+TasaReducida),Decimales),0)))</f>
        <v/>
      </c>
    </row>
    <row r="57">
      <c r="B57" s="41" t="n">
        <v>46158</v>
      </c>
      <c r="C57" s="42" t="inlineStr">
        <is>
          <t>Venta</t>
        </is>
      </c>
      <c r="D57" s="43" t="inlineStr">
        <is>
          <t>Ejemplo: venta a cliente</t>
        </is>
      </c>
      <c r="E57" s="42" t="inlineStr">
        <is>
          <t>10 %</t>
        </is>
      </c>
      <c r="F57" s="44" t="n">
        <v>2531000</v>
      </c>
      <c r="G57" s="45">
        <f>IF(H57="","",F57-H57)</f>
        <v/>
      </c>
      <c r="H57" s="45">
        <f>IF(OR($F57="",$E57=""),"",IF($E57="10 %",ROUND($F57*TasaGeneral/(1+TasaGeneral),Decimales),IF($E57="5 %",ROUND($F57*TasaReducida/(1+TasaReducida),Decimales),0)))</f>
        <v/>
      </c>
    </row>
    <row r="58">
      <c r="B58" s="41" t="n">
        <v>46160</v>
      </c>
      <c r="C58" s="42" t="inlineStr">
        <is>
          <t>Compra</t>
        </is>
      </c>
      <c r="D58" s="43" t="inlineStr">
        <is>
          <t>Ejemplo: insumos</t>
        </is>
      </c>
      <c r="E58" s="42" t="inlineStr">
        <is>
          <t>10 %</t>
        </is>
      </c>
      <c r="F58" s="44" t="n">
        <v>2065000</v>
      </c>
      <c r="G58" s="45">
        <f>IF(H58="","",F58-H58)</f>
        <v/>
      </c>
      <c r="H58" s="45">
        <f>IF(OR($F58="",$E58=""),"",IF($E58="10 %",ROUND($F58*TasaGeneral/(1+TasaGeneral),Decimales),IF($E58="5 %",ROUND($F58*TasaReducida/(1+TasaReducida),Decimales),0)))</f>
        <v/>
      </c>
    </row>
    <row r="59">
      <c r="B59" s="41" t="n">
        <v>46162</v>
      </c>
      <c r="C59" s="42" t="inlineStr">
        <is>
          <t>Compra</t>
        </is>
      </c>
      <c r="D59" s="43" t="inlineStr">
        <is>
          <t>Ejemplo: mercadería</t>
        </is>
      </c>
      <c r="E59" s="42" t="inlineStr">
        <is>
          <t>10 %</t>
        </is>
      </c>
      <c r="F59" s="44" t="n">
        <v>948000</v>
      </c>
      <c r="G59" s="45">
        <f>IF(H59="","",F59-H59)</f>
        <v/>
      </c>
      <c r="H59" s="45">
        <f>IF(OR($F59="",$E59=""),"",IF($E59="10 %",ROUND($F59*TasaGeneral/(1+TasaGeneral),Decimales),IF($E59="5 %",ROUND($F59*TasaReducida/(1+TasaReducida),Decimales),0)))</f>
        <v/>
      </c>
    </row>
    <row r="60">
      <c r="B60" s="41" t="n">
        <v>46165</v>
      </c>
      <c r="C60" s="42" t="inlineStr">
        <is>
          <t>Venta</t>
        </is>
      </c>
      <c r="D60" s="43" t="inlineStr">
        <is>
          <t>Ejemplo: venta a cliente</t>
        </is>
      </c>
      <c r="E60" s="42" t="inlineStr">
        <is>
          <t>10 %</t>
        </is>
      </c>
      <c r="F60" s="44" t="n">
        <v>4910000</v>
      </c>
      <c r="G60" s="45">
        <f>IF(H60="","",F60-H60)</f>
        <v/>
      </c>
      <c r="H60" s="45">
        <f>IF(OR($F60="",$E60=""),"",IF($E60="10 %",ROUND($F60*TasaGeneral/(1+TasaGeneral),Decimales),IF($E60="5 %",ROUND($F60*TasaReducida/(1+TasaReducida),Decimales),0)))</f>
        <v/>
      </c>
    </row>
    <row r="61">
      <c r="B61" s="41" t="n">
        <v>46166</v>
      </c>
      <c r="C61" s="42" t="inlineStr">
        <is>
          <t>Venta</t>
        </is>
      </c>
      <c r="D61" s="43" t="inlineStr">
        <is>
          <t>Ejemplo: venta a cliente</t>
        </is>
      </c>
      <c r="E61" s="42" t="inlineStr">
        <is>
          <t>Exenta</t>
        </is>
      </c>
      <c r="F61" s="44" t="n">
        <v>3524000</v>
      </c>
      <c r="G61" s="45">
        <f>IF(H61="","",F61-H61)</f>
        <v/>
      </c>
      <c r="H61" s="45">
        <f>IF(OR($F61="",$E61=""),"",IF($E61="10 %",ROUND($F61*TasaGeneral/(1+TasaGeneral),Decimales),IF($E61="5 %",ROUND($F61*TasaReducida/(1+TasaReducida),Decimales),0)))</f>
        <v/>
      </c>
    </row>
    <row r="62">
      <c r="B62" s="41" t="n">
        <v>46168</v>
      </c>
      <c r="C62" s="42" t="inlineStr">
        <is>
          <t>Venta</t>
        </is>
      </c>
      <c r="D62" s="43" t="inlineStr">
        <is>
          <t>Ejemplo: venta a cliente</t>
        </is>
      </c>
      <c r="E62" s="42" t="inlineStr">
        <is>
          <t>10 %</t>
        </is>
      </c>
      <c r="F62" s="44" t="n">
        <v>3592000</v>
      </c>
      <c r="G62" s="45">
        <f>IF(H62="","",F62-H62)</f>
        <v/>
      </c>
      <c r="H62" s="45">
        <f>IF(OR($F62="",$E62=""),"",IF($E62="10 %",ROUND($F62*TasaGeneral/(1+TasaGeneral),Decimales),IF($E62="5 %",ROUND($F62*TasaReducida/(1+TasaReducida),Decimales),0)))</f>
        <v/>
      </c>
    </row>
    <row r="63">
      <c r="B63" s="41" t="n">
        <v>46175</v>
      </c>
      <c r="C63" s="42" t="inlineStr">
        <is>
          <t>Venta</t>
        </is>
      </c>
      <c r="D63" s="43" t="inlineStr">
        <is>
          <t>Ejemplo: venta a cliente</t>
        </is>
      </c>
      <c r="E63" s="42" t="inlineStr">
        <is>
          <t>10 %</t>
        </is>
      </c>
      <c r="F63" s="44" t="n">
        <v>1853000</v>
      </c>
      <c r="G63" s="45">
        <f>IF(H63="","",F63-H63)</f>
        <v/>
      </c>
      <c r="H63" s="45">
        <f>IF(OR($F63="",$E63=""),"",IF($E63="10 %",ROUND($F63*TasaGeneral/(1+TasaGeneral),Decimales),IF($E63="5 %",ROUND($F63*TasaReducida/(1+TasaReducida),Decimales),0)))</f>
        <v/>
      </c>
    </row>
    <row r="64">
      <c r="B64" s="41" t="n">
        <v>46182</v>
      </c>
      <c r="C64" s="42" t="inlineStr">
        <is>
          <t>Venta</t>
        </is>
      </c>
      <c r="D64" s="43" t="inlineStr">
        <is>
          <t>Ejemplo: venta a cliente</t>
        </is>
      </c>
      <c r="E64" s="42" t="inlineStr">
        <is>
          <t>5 %</t>
        </is>
      </c>
      <c r="F64" s="44" t="n">
        <v>4974000</v>
      </c>
      <c r="G64" s="45">
        <f>IF(H64="","",F64-H64)</f>
        <v/>
      </c>
      <c r="H64" s="45">
        <f>IF(OR($F64="",$E64=""),"",IF($E64="10 %",ROUND($F64*TasaGeneral/(1+TasaGeneral),Decimales),IF($E64="5 %",ROUND($F64*TasaReducida/(1+TasaReducida),Decimales),0)))</f>
        <v/>
      </c>
    </row>
    <row r="65">
      <c r="B65" s="41" t="n">
        <v>46182</v>
      </c>
      <c r="C65" s="42" t="inlineStr">
        <is>
          <t>Compra</t>
        </is>
      </c>
      <c r="D65" s="43" t="inlineStr">
        <is>
          <t>Ejemplo: publicidad</t>
        </is>
      </c>
      <c r="E65" s="42" t="inlineStr">
        <is>
          <t>Exenta</t>
        </is>
      </c>
      <c r="F65" s="44" t="n">
        <v>1814000</v>
      </c>
      <c r="G65" s="45">
        <f>IF(H65="","",F65-H65)</f>
        <v/>
      </c>
      <c r="H65" s="45">
        <f>IF(OR($F65="",$E65=""),"",IF($E65="10 %",ROUND($F65*TasaGeneral/(1+TasaGeneral),Decimales),IF($E65="5 %",ROUND($F65*TasaReducida/(1+TasaReducida),Decimales),0)))</f>
        <v/>
      </c>
    </row>
    <row r="66">
      <c r="B66" s="41" t="n">
        <v>46184</v>
      </c>
      <c r="C66" s="42" t="inlineStr">
        <is>
          <t>Venta</t>
        </is>
      </c>
      <c r="D66" s="43" t="inlineStr">
        <is>
          <t>Ejemplo: venta a cliente</t>
        </is>
      </c>
      <c r="E66" s="42" t="inlineStr">
        <is>
          <t>Exenta</t>
        </is>
      </c>
      <c r="F66" s="44" t="n">
        <v>3139000</v>
      </c>
      <c r="G66" s="45">
        <f>IF(H66="","",F66-H66)</f>
        <v/>
      </c>
      <c r="H66" s="45">
        <f>IF(OR($F66="",$E66=""),"",IF($E66="10 %",ROUND($F66*TasaGeneral/(1+TasaGeneral),Decimales),IF($E66="5 %",ROUND($F66*TasaReducida/(1+TasaReducida),Decimales),0)))</f>
        <v/>
      </c>
    </row>
    <row r="67">
      <c r="B67" s="41" t="n">
        <v>46185</v>
      </c>
      <c r="C67" s="42" t="inlineStr">
        <is>
          <t>Venta</t>
        </is>
      </c>
      <c r="D67" s="43" t="inlineStr">
        <is>
          <t>Ejemplo: venta a cliente</t>
        </is>
      </c>
      <c r="E67" s="42" t="inlineStr">
        <is>
          <t>10 %</t>
        </is>
      </c>
      <c r="F67" s="44" t="n">
        <v>2012000</v>
      </c>
      <c r="G67" s="45">
        <f>IF(H67="","",F67-H67)</f>
        <v/>
      </c>
      <c r="H67" s="45">
        <f>IF(OR($F67="",$E67=""),"",IF($E67="10 %",ROUND($F67*TasaGeneral/(1+TasaGeneral),Decimales),IF($E67="5 %",ROUND($F67*TasaReducida/(1+TasaReducida),Decimales),0)))</f>
        <v/>
      </c>
    </row>
    <row r="68">
      <c r="B68" s="41" t="n">
        <v>46185</v>
      </c>
      <c r="C68" s="42" t="inlineStr">
        <is>
          <t>Compra</t>
        </is>
      </c>
      <c r="D68" s="43" t="inlineStr">
        <is>
          <t>Ejemplo: insumos</t>
        </is>
      </c>
      <c r="E68" s="42" t="inlineStr">
        <is>
          <t>10 %</t>
        </is>
      </c>
      <c r="F68" s="44" t="n">
        <v>2107000</v>
      </c>
      <c r="G68" s="45">
        <f>IF(H68="","",F68-H68)</f>
        <v/>
      </c>
      <c r="H68" s="45">
        <f>IF(OR($F68="",$E68=""),"",IF($E68="10 %",ROUND($F68*TasaGeneral/(1+TasaGeneral),Decimales),IF($E68="5 %",ROUND($F68*TasaReducida/(1+TasaReducida),Decimales),0)))</f>
        <v/>
      </c>
    </row>
    <row r="69">
      <c r="B69" s="41" t="n">
        <v>46188</v>
      </c>
      <c r="C69" s="42" t="inlineStr">
        <is>
          <t>Compra</t>
        </is>
      </c>
      <c r="D69" s="43" t="inlineStr">
        <is>
          <t>Ejemplo: servicios</t>
        </is>
      </c>
      <c r="E69" s="42" t="inlineStr">
        <is>
          <t>10 %</t>
        </is>
      </c>
      <c r="F69" s="44" t="n">
        <v>1582000</v>
      </c>
      <c r="G69" s="45">
        <f>IF(H69="","",F69-H69)</f>
        <v/>
      </c>
      <c r="H69" s="45">
        <f>IF(OR($F69="",$E69=""),"",IF($E69="10 %",ROUND($F69*TasaGeneral/(1+TasaGeneral),Decimales),IF($E69="5 %",ROUND($F69*TasaReducida/(1+TasaReducida),Decimales),0)))</f>
        <v/>
      </c>
    </row>
    <row r="70">
      <c r="B70" s="41" t="n">
        <v>46188</v>
      </c>
      <c r="C70" s="42" t="inlineStr">
        <is>
          <t>Compra</t>
        </is>
      </c>
      <c r="D70" s="43" t="inlineStr">
        <is>
          <t>Ejemplo: flete</t>
        </is>
      </c>
      <c r="E70" s="42" t="inlineStr">
        <is>
          <t>10 %</t>
        </is>
      </c>
      <c r="F70" s="44" t="n">
        <v>1346000</v>
      </c>
      <c r="G70" s="45">
        <f>IF(H70="","",F70-H70)</f>
        <v/>
      </c>
      <c r="H70" s="45">
        <f>IF(OR($F70="",$E70=""),"",IF($E70="10 %",ROUND($F70*TasaGeneral/(1+TasaGeneral),Decimales),IF($E70="5 %",ROUND($F70*TasaReducida/(1+TasaReducida),Decimales),0)))</f>
        <v/>
      </c>
    </row>
    <row r="71">
      <c r="B71" s="41" t="n">
        <v>46195</v>
      </c>
      <c r="C71" s="42" t="inlineStr">
        <is>
          <t>Venta</t>
        </is>
      </c>
      <c r="D71" s="43" t="inlineStr">
        <is>
          <t>Ejemplo: venta a cliente</t>
        </is>
      </c>
      <c r="E71" s="42" t="inlineStr">
        <is>
          <t>10 %</t>
        </is>
      </c>
      <c r="F71" s="44" t="n">
        <v>2599000</v>
      </c>
      <c r="G71" s="45">
        <f>IF(H71="","",F71-H71)</f>
        <v/>
      </c>
      <c r="H71" s="45">
        <f>IF(OR($F71="",$E71=""),"",IF($E71="10 %",ROUND($F71*TasaGeneral/(1+TasaGeneral),Decimales),IF($E71="5 %",ROUND($F71*TasaReducida/(1+TasaReducida),Decimales),0)))</f>
        <v/>
      </c>
    </row>
    <row r="72">
      <c r="B72" s="41" t="n">
        <v>46200</v>
      </c>
      <c r="C72" s="42" t="inlineStr">
        <is>
          <t>Venta</t>
        </is>
      </c>
      <c r="D72" s="43" t="inlineStr">
        <is>
          <t>Ejemplo: venta a cliente</t>
        </is>
      </c>
      <c r="E72" s="42" t="inlineStr">
        <is>
          <t>10 %</t>
        </is>
      </c>
      <c r="F72" s="44" t="n">
        <v>3424000</v>
      </c>
      <c r="G72" s="45">
        <f>IF(H72="","",F72-H72)</f>
        <v/>
      </c>
      <c r="H72" s="45">
        <f>IF(OR($F72="",$E72=""),"",IF($E72="10 %",ROUND($F72*TasaGeneral/(1+TasaGeneral),Decimales),IF($E72="5 %",ROUND($F72*TasaReducida/(1+TasaReducida),Decimales),0)))</f>
        <v/>
      </c>
    </row>
    <row r="73">
      <c r="B73" s="41" t="n">
        <v>46201</v>
      </c>
      <c r="C73" s="42" t="inlineStr">
        <is>
          <t>Compra</t>
        </is>
      </c>
      <c r="D73" s="43" t="inlineStr">
        <is>
          <t>Ejemplo: mercadería</t>
        </is>
      </c>
      <c r="E73" s="42" t="inlineStr">
        <is>
          <t>5 %</t>
        </is>
      </c>
      <c r="F73" s="44" t="n">
        <v>1913000</v>
      </c>
      <c r="G73" s="45">
        <f>IF(H73="","",F73-H73)</f>
        <v/>
      </c>
      <c r="H73" s="45">
        <f>IF(OR($F73="",$E73=""),"",IF($E73="10 %",ROUND($F73*TasaGeneral/(1+TasaGeneral),Decimales),IF($E73="5 %",ROUND($F73*TasaReducida/(1+TasaReducida),Decimales),0)))</f>
        <v/>
      </c>
    </row>
    <row r="74">
      <c r="B74" s="41" t="n">
        <v>46207</v>
      </c>
      <c r="C74" s="42" t="inlineStr">
        <is>
          <t>Compra</t>
        </is>
      </c>
      <c r="D74" s="43" t="inlineStr">
        <is>
          <t>Ejemplo: mercadería</t>
        </is>
      </c>
      <c r="E74" s="42" t="inlineStr">
        <is>
          <t>10 %</t>
        </is>
      </c>
      <c r="F74" s="44" t="n">
        <v>1507000</v>
      </c>
      <c r="G74" s="45">
        <f>IF(H74="","",F74-H74)</f>
        <v/>
      </c>
      <c r="H74" s="45">
        <f>IF(OR($F74="",$E74=""),"",IF($E74="10 %",ROUND($F74*TasaGeneral/(1+TasaGeneral),Decimales),IF($E74="5 %",ROUND($F74*TasaReducida/(1+TasaReducida),Decimales),0)))</f>
        <v/>
      </c>
    </row>
    <row r="75">
      <c r="B75" s="41" t="n">
        <v>46208</v>
      </c>
      <c r="C75" s="42" t="inlineStr">
        <is>
          <t>Compra</t>
        </is>
      </c>
      <c r="D75" s="43" t="inlineStr">
        <is>
          <t>Ejemplo: servicios</t>
        </is>
      </c>
      <c r="E75" s="42" t="inlineStr">
        <is>
          <t>Exenta</t>
        </is>
      </c>
      <c r="F75" s="44" t="n">
        <v>1968000</v>
      </c>
      <c r="G75" s="45">
        <f>IF(H75="","",F75-H75)</f>
        <v/>
      </c>
      <c r="H75" s="45">
        <f>IF(OR($F75="",$E75=""),"",IF($E75="10 %",ROUND($F75*TasaGeneral/(1+TasaGeneral),Decimales),IF($E75="5 %",ROUND($F75*TasaReducida/(1+TasaReducida),Decimales),0)))</f>
        <v/>
      </c>
    </row>
    <row r="76">
      <c r="B76" s="41" t="n">
        <v>46208</v>
      </c>
      <c r="C76" s="42" t="inlineStr">
        <is>
          <t>Compra</t>
        </is>
      </c>
      <c r="D76" s="43" t="inlineStr">
        <is>
          <t>Ejemplo: publicidad</t>
        </is>
      </c>
      <c r="E76" s="42" t="inlineStr">
        <is>
          <t>10 %</t>
        </is>
      </c>
      <c r="F76" s="44" t="n">
        <v>2094000</v>
      </c>
      <c r="G76" s="45">
        <f>IF(H76="","",F76-H76)</f>
        <v/>
      </c>
      <c r="H76" s="45">
        <f>IF(OR($F76="",$E76=""),"",IF($E76="10 %",ROUND($F76*TasaGeneral/(1+TasaGeneral),Decimales),IF($E76="5 %",ROUND($F76*TasaReducida/(1+TasaReducida),Decimales),0)))</f>
        <v/>
      </c>
    </row>
    <row r="77">
      <c r="B77" s="41" t="n">
        <v>46209</v>
      </c>
      <c r="C77" s="42" t="inlineStr">
        <is>
          <t>Venta</t>
        </is>
      </c>
      <c r="D77" s="43" t="inlineStr">
        <is>
          <t>Ejemplo: venta a cliente</t>
        </is>
      </c>
      <c r="E77" s="42" t="inlineStr">
        <is>
          <t>10 %</t>
        </is>
      </c>
      <c r="F77" s="44" t="n">
        <v>5035000</v>
      </c>
      <c r="G77" s="45">
        <f>IF(H77="","",F77-H77)</f>
        <v/>
      </c>
      <c r="H77" s="45">
        <f>IF(OR($F77="",$E77=""),"",IF($E77="10 %",ROUND($F77*TasaGeneral/(1+TasaGeneral),Decimales),IF($E77="5 %",ROUND($F77*TasaReducida/(1+TasaReducida),Decimales),0)))</f>
        <v/>
      </c>
    </row>
    <row r="78">
      <c r="B78" s="41" t="n">
        <v>46209</v>
      </c>
      <c r="C78" s="42" t="inlineStr">
        <is>
          <t>Compra</t>
        </is>
      </c>
      <c r="D78" s="43" t="inlineStr">
        <is>
          <t>Ejemplo: insumos</t>
        </is>
      </c>
      <c r="E78" s="42" t="inlineStr">
        <is>
          <t>5 %</t>
        </is>
      </c>
      <c r="F78" s="44" t="n">
        <v>2600000</v>
      </c>
      <c r="G78" s="45">
        <f>IF(H78="","",F78-H78)</f>
        <v/>
      </c>
      <c r="H78" s="45">
        <f>IF(OR($F78="",$E78=""),"",IF($E78="10 %",ROUND($F78*TasaGeneral/(1+TasaGeneral),Decimales),IF($E78="5 %",ROUND($F78*TasaReducida/(1+TasaReducida),Decimales),0)))</f>
        <v/>
      </c>
    </row>
    <row r="79">
      <c r="B79" s="41" t="n">
        <v>46212</v>
      </c>
      <c r="C79" s="42" t="inlineStr">
        <is>
          <t>Venta</t>
        </is>
      </c>
      <c r="D79" s="43" t="inlineStr">
        <is>
          <t>Ejemplo: venta a cliente</t>
        </is>
      </c>
      <c r="E79" s="42" t="inlineStr">
        <is>
          <t>5 %</t>
        </is>
      </c>
      <c r="F79" s="44" t="n">
        <v>2142000</v>
      </c>
      <c r="G79" s="45">
        <f>IF(H79="","",F79-H79)</f>
        <v/>
      </c>
      <c r="H79" s="45">
        <f>IF(OR($F79="",$E79=""),"",IF($E79="10 %",ROUND($F79*TasaGeneral/(1+TasaGeneral),Decimales),IF($E79="5 %",ROUND($F79*TasaReducida/(1+TasaReducida),Decimales),0)))</f>
        <v/>
      </c>
    </row>
    <row r="80">
      <c r="B80" s="41" t="n">
        <v>46213</v>
      </c>
      <c r="C80" s="42" t="inlineStr">
        <is>
          <t>Compra</t>
        </is>
      </c>
      <c r="D80" s="43" t="inlineStr">
        <is>
          <t>Ejemplo: flete</t>
        </is>
      </c>
      <c r="E80" s="42" t="inlineStr">
        <is>
          <t>5 %</t>
        </is>
      </c>
      <c r="F80" s="44" t="n">
        <v>1934000</v>
      </c>
      <c r="G80" s="45">
        <f>IF(H80="","",F80-H80)</f>
        <v/>
      </c>
      <c r="H80" s="45">
        <f>IF(OR($F80="",$E80=""),"",IF($E80="10 %",ROUND($F80*TasaGeneral/(1+TasaGeneral),Decimales),IF($E80="5 %",ROUND($F80*TasaReducida/(1+TasaReducida),Decimales),0)))</f>
        <v/>
      </c>
    </row>
    <row r="81">
      <c r="B81" s="41" t="n">
        <v>46216</v>
      </c>
      <c r="C81" s="42" t="inlineStr">
        <is>
          <t>Venta</t>
        </is>
      </c>
      <c r="D81" s="43" t="inlineStr">
        <is>
          <t>Ejemplo: venta a cliente</t>
        </is>
      </c>
      <c r="E81" s="42" t="inlineStr">
        <is>
          <t>10 %</t>
        </is>
      </c>
      <c r="F81" s="44" t="n">
        <v>4243000</v>
      </c>
      <c r="G81" s="45">
        <f>IF(H81="","",F81-H81)</f>
        <v/>
      </c>
      <c r="H81" s="45">
        <f>IF(OR($F81="",$E81=""),"",IF($E81="10 %",ROUND($F81*TasaGeneral/(1+TasaGeneral),Decimales),IF($E81="5 %",ROUND($F81*TasaReducida/(1+TasaReducida),Decimales),0)))</f>
        <v/>
      </c>
    </row>
    <row r="82">
      <c r="B82" s="41" t="n">
        <v>46217</v>
      </c>
      <c r="C82" s="42" t="inlineStr">
        <is>
          <t>Venta</t>
        </is>
      </c>
      <c r="D82" s="43" t="inlineStr">
        <is>
          <t>Ejemplo: venta a cliente</t>
        </is>
      </c>
      <c r="E82" s="42" t="inlineStr">
        <is>
          <t>10 %</t>
        </is>
      </c>
      <c r="F82" s="44" t="n">
        <v>2025000</v>
      </c>
      <c r="G82" s="45">
        <f>IF(H82="","",F82-H82)</f>
        <v/>
      </c>
      <c r="H82" s="45">
        <f>IF(OR($F82="",$E82=""),"",IF($E82="10 %",ROUND($F82*TasaGeneral/(1+TasaGeneral),Decimales),IF($E82="5 %",ROUND($F82*TasaReducida/(1+TasaReducida),Decimales),0)))</f>
        <v/>
      </c>
    </row>
    <row r="83">
      <c r="B83" s="41" t="n">
        <v>46222</v>
      </c>
      <c r="C83" s="42" t="inlineStr">
        <is>
          <t>Venta</t>
        </is>
      </c>
      <c r="D83" s="43" t="inlineStr">
        <is>
          <t>Ejemplo: venta a cliente</t>
        </is>
      </c>
      <c r="E83" s="42" t="inlineStr">
        <is>
          <t>10 %</t>
        </is>
      </c>
      <c r="F83" s="44" t="n">
        <v>5117000</v>
      </c>
      <c r="G83" s="45">
        <f>IF(H83="","",F83-H83)</f>
        <v/>
      </c>
      <c r="H83" s="45">
        <f>IF(OR($F83="",$E83=""),"",IF($E83="10 %",ROUND($F83*TasaGeneral/(1+TasaGeneral),Decimales),IF($E83="5 %",ROUND($F83*TasaReducida/(1+TasaReducida),Decimales),0)))</f>
        <v/>
      </c>
    </row>
    <row r="84">
      <c r="B84" s="41" t="n">
        <v>46230</v>
      </c>
      <c r="C84" s="42" t="inlineStr">
        <is>
          <t>Venta</t>
        </is>
      </c>
      <c r="D84" s="43" t="inlineStr">
        <is>
          <t>Ejemplo: venta a cliente</t>
        </is>
      </c>
      <c r="E84" s="42" t="inlineStr">
        <is>
          <t>10 %</t>
        </is>
      </c>
      <c r="F84" s="44" t="n">
        <v>2438000</v>
      </c>
      <c r="G84" s="45">
        <f>IF(H84="","",F84-H84)</f>
        <v/>
      </c>
      <c r="H84" s="45">
        <f>IF(OR($F84="",$E84=""),"",IF($E84="10 %",ROUND($F84*TasaGeneral/(1+TasaGeneral),Decimales),IF($E84="5 %",ROUND($F84*TasaReducida/(1+TasaReducida),Decimales),0)))</f>
        <v/>
      </c>
    </row>
    <row r="85">
      <c r="B85" s="41" t="n">
        <v>46236</v>
      </c>
      <c r="C85" s="42" t="inlineStr">
        <is>
          <t>Compra</t>
        </is>
      </c>
      <c r="D85" s="43" t="inlineStr">
        <is>
          <t>Ejemplo: flete</t>
        </is>
      </c>
      <c r="E85" s="42" t="inlineStr">
        <is>
          <t>10 %</t>
        </is>
      </c>
      <c r="F85" s="44" t="n">
        <v>2064000</v>
      </c>
      <c r="G85" s="45">
        <f>IF(H85="","",F85-H85)</f>
        <v/>
      </c>
      <c r="H85" s="45">
        <f>IF(OR($F85="",$E85=""),"",IF($E85="10 %",ROUND($F85*TasaGeneral/(1+TasaGeneral),Decimales),IF($E85="5 %",ROUND($F85*TasaReducida/(1+TasaReducida),Decimales),0)))</f>
        <v/>
      </c>
    </row>
    <row r="86">
      <c r="B86" s="41" t="n">
        <v>46244</v>
      </c>
      <c r="C86" s="42" t="inlineStr">
        <is>
          <t>Compra</t>
        </is>
      </c>
      <c r="D86" s="43" t="inlineStr">
        <is>
          <t>Ejemplo: publicidad</t>
        </is>
      </c>
      <c r="E86" s="42" t="inlineStr">
        <is>
          <t>Exenta</t>
        </is>
      </c>
      <c r="F86" s="44" t="n">
        <v>1399000</v>
      </c>
      <c r="G86" s="45">
        <f>IF(H86="","",F86-H86)</f>
        <v/>
      </c>
      <c r="H86" s="45">
        <f>IF(OR($F86="",$E86=""),"",IF($E86="10 %",ROUND($F86*TasaGeneral/(1+TasaGeneral),Decimales),IF($E86="5 %",ROUND($F86*TasaReducida/(1+TasaReducida),Decimales),0)))</f>
        <v/>
      </c>
    </row>
    <row r="87">
      <c r="B87" s="41" t="n">
        <v>46245</v>
      </c>
      <c r="C87" s="42" t="inlineStr">
        <is>
          <t>Venta</t>
        </is>
      </c>
      <c r="D87" s="43" t="inlineStr">
        <is>
          <t>Ejemplo: venta a cliente</t>
        </is>
      </c>
      <c r="E87" s="42" t="inlineStr">
        <is>
          <t>10 %</t>
        </is>
      </c>
      <c r="F87" s="44" t="n">
        <v>3070000</v>
      </c>
      <c r="G87" s="45">
        <f>IF(H87="","",F87-H87)</f>
        <v/>
      </c>
      <c r="H87" s="45">
        <f>IF(OR($F87="",$E87=""),"",IF($E87="10 %",ROUND($F87*TasaGeneral/(1+TasaGeneral),Decimales),IF($E87="5 %",ROUND($F87*TasaReducida/(1+TasaReducida),Decimales),0)))</f>
        <v/>
      </c>
    </row>
    <row r="88">
      <c r="B88" s="41" t="n">
        <v>46246</v>
      </c>
      <c r="C88" s="42" t="inlineStr">
        <is>
          <t>Venta</t>
        </is>
      </c>
      <c r="D88" s="43" t="inlineStr">
        <is>
          <t>Ejemplo: venta a cliente</t>
        </is>
      </c>
      <c r="E88" s="42" t="inlineStr">
        <is>
          <t>10 %</t>
        </is>
      </c>
      <c r="F88" s="44" t="n">
        <v>3831000</v>
      </c>
      <c r="G88" s="45">
        <f>IF(H88="","",F88-H88)</f>
        <v/>
      </c>
      <c r="H88" s="45">
        <f>IF(OR($F88="",$E88=""),"",IF($E88="10 %",ROUND($F88*TasaGeneral/(1+TasaGeneral),Decimales),IF($E88="5 %",ROUND($F88*TasaReducida/(1+TasaReducida),Decimales),0)))</f>
        <v/>
      </c>
    </row>
    <row r="89">
      <c r="B89" s="41" t="n">
        <v>46247</v>
      </c>
      <c r="C89" s="42" t="inlineStr">
        <is>
          <t>Compra</t>
        </is>
      </c>
      <c r="D89" s="43" t="inlineStr">
        <is>
          <t>Ejemplo: servicios</t>
        </is>
      </c>
      <c r="E89" s="42" t="inlineStr">
        <is>
          <t>10 %</t>
        </is>
      </c>
      <c r="F89" s="44" t="n">
        <v>2007000</v>
      </c>
      <c r="G89" s="45">
        <f>IF(H89="","",F89-H89)</f>
        <v/>
      </c>
      <c r="H89" s="45">
        <f>IF(OR($F89="",$E89=""),"",IF($E89="10 %",ROUND($F89*TasaGeneral/(1+TasaGeneral),Decimales),IF($E89="5 %",ROUND($F89*TasaReducida/(1+TasaReducida),Decimales),0)))</f>
        <v/>
      </c>
    </row>
    <row r="90">
      <c r="B90" s="41" t="n">
        <v>46248</v>
      </c>
      <c r="C90" s="42" t="inlineStr">
        <is>
          <t>Venta</t>
        </is>
      </c>
      <c r="D90" s="43" t="inlineStr">
        <is>
          <t>Ejemplo: venta a cliente</t>
        </is>
      </c>
      <c r="E90" s="42" t="inlineStr">
        <is>
          <t>10 %</t>
        </is>
      </c>
      <c r="F90" s="44" t="n">
        <v>4026000</v>
      </c>
      <c r="G90" s="45">
        <f>IF(H90="","",F90-H90)</f>
        <v/>
      </c>
      <c r="H90" s="45">
        <f>IF(OR($F90="",$E90=""),"",IF($E90="10 %",ROUND($F90*TasaGeneral/(1+TasaGeneral),Decimales),IF($E90="5 %",ROUND($F90*TasaReducida/(1+TasaReducida),Decimales),0)))</f>
        <v/>
      </c>
    </row>
    <row r="91">
      <c r="B91" s="41" t="n">
        <v>46249</v>
      </c>
      <c r="C91" s="42" t="inlineStr">
        <is>
          <t>Compra</t>
        </is>
      </c>
      <c r="D91" s="43" t="inlineStr">
        <is>
          <t>Ejemplo: mercadería</t>
        </is>
      </c>
      <c r="E91" s="42" t="inlineStr">
        <is>
          <t>10 %</t>
        </is>
      </c>
      <c r="F91" s="44" t="n">
        <v>2799000</v>
      </c>
      <c r="G91" s="45">
        <f>IF(H91="","",F91-H91)</f>
        <v/>
      </c>
      <c r="H91" s="45">
        <f>IF(OR($F91="",$E91=""),"",IF($E91="10 %",ROUND($F91*TasaGeneral/(1+TasaGeneral),Decimales),IF($E91="5 %",ROUND($F91*TasaReducida/(1+TasaReducida),Decimales),0)))</f>
        <v/>
      </c>
    </row>
    <row r="92">
      <c r="B92" s="41" t="n">
        <v>46252</v>
      </c>
      <c r="C92" s="42" t="inlineStr">
        <is>
          <t>Venta</t>
        </is>
      </c>
      <c r="D92" s="43" t="inlineStr">
        <is>
          <t>Ejemplo: venta a cliente</t>
        </is>
      </c>
      <c r="E92" s="42" t="inlineStr">
        <is>
          <t>10 %</t>
        </is>
      </c>
      <c r="F92" s="44" t="n">
        <v>3495000</v>
      </c>
      <c r="G92" s="45">
        <f>IF(H92="","",F92-H92)</f>
        <v/>
      </c>
      <c r="H92" s="45">
        <f>IF(OR($F92="",$E92=""),"",IF($E92="10 %",ROUND($F92*TasaGeneral/(1+TasaGeneral),Decimales),IF($E92="5 %",ROUND($F92*TasaReducida/(1+TasaReducida),Decimales),0)))</f>
        <v/>
      </c>
    </row>
    <row r="93">
      <c r="B93" s="41" t="n">
        <v>46255</v>
      </c>
      <c r="C93" s="42" t="inlineStr">
        <is>
          <t>Compra</t>
        </is>
      </c>
      <c r="D93" s="43" t="inlineStr">
        <is>
          <t>Ejemplo: insumos</t>
        </is>
      </c>
      <c r="E93" s="42" t="inlineStr">
        <is>
          <t>5 %</t>
        </is>
      </c>
      <c r="F93" s="44" t="n">
        <v>2263000</v>
      </c>
      <c r="G93" s="45">
        <f>IF(H93="","",F93-H93)</f>
        <v/>
      </c>
      <c r="H93" s="45">
        <f>IF(OR($F93="",$E93=""),"",IF($E93="10 %",ROUND($F93*TasaGeneral/(1+TasaGeneral),Decimales),IF($E93="5 %",ROUND($F93*TasaReducida/(1+TasaReducida),Decimales),0)))</f>
        <v/>
      </c>
    </row>
    <row r="94">
      <c r="B94" s="41" t="n">
        <v>46259</v>
      </c>
      <c r="C94" s="42" t="inlineStr">
        <is>
          <t>Venta</t>
        </is>
      </c>
      <c r="D94" s="43" t="inlineStr">
        <is>
          <t>Ejemplo: venta a cliente</t>
        </is>
      </c>
      <c r="E94" s="42" t="inlineStr">
        <is>
          <t>Exenta</t>
        </is>
      </c>
      <c r="F94" s="44" t="n">
        <v>4188000</v>
      </c>
      <c r="G94" s="45">
        <f>IF(H94="","",F94-H94)</f>
        <v/>
      </c>
      <c r="H94" s="45">
        <f>IF(OR($F94="",$E94=""),"",IF($E94="10 %",ROUND($F94*TasaGeneral/(1+TasaGeneral),Decimales),IF($E94="5 %",ROUND($F94*TasaReducida/(1+TasaReducida),Decimales),0)))</f>
        <v/>
      </c>
    </row>
    <row r="95">
      <c r="B95" s="41" t="n">
        <v>46262</v>
      </c>
      <c r="C95" s="42" t="inlineStr">
        <is>
          <t>Venta</t>
        </is>
      </c>
      <c r="D95" s="43" t="inlineStr">
        <is>
          <t>Ejemplo: venta a cliente</t>
        </is>
      </c>
      <c r="E95" s="42" t="inlineStr">
        <is>
          <t>10 %</t>
        </is>
      </c>
      <c r="F95" s="44" t="n">
        <v>3390000</v>
      </c>
      <c r="G95" s="45">
        <f>IF(H95="","",F95-H95)</f>
        <v/>
      </c>
      <c r="H95" s="45">
        <f>IF(OR($F95="",$E95=""),"",IF($E95="10 %",ROUND($F95*TasaGeneral/(1+TasaGeneral),Decimales),IF($E95="5 %",ROUND($F95*TasaReducida/(1+TasaReducida),Decimales),0)))</f>
        <v/>
      </c>
    </row>
    <row r="96">
      <c r="B96" s="41" t="n">
        <v>46267</v>
      </c>
      <c r="C96" s="42" t="inlineStr">
        <is>
          <t>Venta</t>
        </is>
      </c>
      <c r="D96" s="43" t="inlineStr">
        <is>
          <t>Ejemplo: venta a cliente</t>
        </is>
      </c>
      <c r="E96" s="42" t="inlineStr">
        <is>
          <t>10 %</t>
        </is>
      </c>
      <c r="F96" s="44" t="n">
        <v>4019000</v>
      </c>
      <c r="G96" s="45">
        <f>IF(H96="","",F96-H96)</f>
        <v/>
      </c>
      <c r="H96" s="45">
        <f>IF(OR($F96="",$E96=""),"",IF($E96="10 %",ROUND($F96*TasaGeneral/(1+TasaGeneral),Decimales),IF($E96="5 %",ROUND($F96*TasaReducida/(1+TasaReducida),Decimales),0)))</f>
        <v/>
      </c>
    </row>
    <row r="97">
      <c r="B97" s="41" t="n">
        <v>46271</v>
      </c>
      <c r="C97" s="42" t="inlineStr">
        <is>
          <t>Venta</t>
        </is>
      </c>
      <c r="D97" s="43" t="inlineStr">
        <is>
          <t>Ejemplo: venta a cliente</t>
        </is>
      </c>
      <c r="E97" s="42" t="inlineStr">
        <is>
          <t>10 %</t>
        </is>
      </c>
      <c r="F97" s="44" t="n">
        <v>2879000</v>
      </c>
      <c r="G97" s="45">
        <f>IF(H97="","",F97-H97)</f>
        <v/>
      </c>
      <c r="H97" s="45">
        <f>IF(OR($F97="",$E97=""),"",IF($E97="10 %",ROUND($F97*TasaGeneral/(1+TasaGeneral),Decimales),IF($E97="5 %",ROUND($F97*TasaReducida/(1+TasaReducida),Decimales),0)))</f>
        <v/>
      </c>
    </row>
    <row r="98">
      <c r="B98" s="41" t="n">
        <v>46271</v>
      </c>
      <c r="C98" s="42" t="inlineStr">
        <is>
          <t>Compra</t>
        </is>
      </c>
      <c r="D98" s="43" t="inlineStr">
        <is>
          <t>Ejemplo: insumos</t>
        </is>
      </c>
      <c r="E98" s="42" t="inlineStr">
        <is>
          <t>10 %</t>
        </is>
      </c>
      <c r="F98" s="44" t="n">
        <v>2313000</v>
      </c>
      <c r="G98" s="45">
        <f>IF(H98="","",F98-H98)</f>
        <v/>
      </c>
      <c r="H98" s="45">
        <f>IF(OR($F98="",$E98=""),"",IF($E98="10 %",ROUND($F98*TasaGeneral/(1+TasaGeneral),Decimales),IF($E98="5 %",ROUND($F98*TasaReducida/(1+TasaReducida),Decimales),0)))</f>
        <v/>
      </c>
    </row>
    <row r="99">
      <c r="B99" s="41" t="n">
        <v>46272</v>
      </c>
      <c r="C99" s="42" t="inlineStr">
        <is>
          <t>Compra</t>
        </is>
      </c>
      <c r="D99" s="43" t="inlineStr">
        <is>
          <t>Ejemplo: servicios</t>
        </is>
      </c>
      <c r="E99" s="42" t="inlineStr">
        <is>
          <t>5 %</t>
        </is>
      </c>
      <c r="F99" s="44" t="n">
        <v>1882000</v>
      </c>
      <c r="G99" s="45">
        <f>IF(H99="","",F99-H99)</f>
        <v/>
      </c>
      <c r="H99" s="45">
        <f>IF(OR($F99="",$E99=""),"",IF($E99="10 %",ROUND($F99*TasaGeneral/(1+TasaGeneral),Decimales),IF($E99="5 %",ROUND($F99*TasaReducida/(1+TasaReducida),Decimales),0)))</f>
        <v/>
      </c>
    </row>
    <row r="100">
      <c r="B100" s="41" t="n">
        <v>46275</v>
      </c>
      <c r="C100" s="42" t="inlineStr">
        <is>
          <t>Venta</t>
        </is>
      </c>
      <c r="D100" s="43" t="inlineStr">
        <is>
          <t>Ejemplo: venta a cliente</t>
        </is>
      </c>
      <c r="E100" s="42" t="inlineStr">
        <is>
          <t>10 %</t>
        </is>
      </c>
      <c r="F100" s="44" t="n">
        <v>3307000</v>
      </c>
      <c r="G100" s="45">
        <f>IF(H100="","",F100-H100)</f>
        <v/>
      </c>
      <c r="H100" s="45">
        <f>IF(OR($F100="",$E100=""),"",IF($E100="10 %",ROUND($F100*TasaGeneral/(1+TasaGeneral),Decimales),IF($E100="5 %",ROUND($F100*TasaReducida/(1+TasaReducida),Decimales),0)))</f>
        <v/>
      </c>
    </row>
    <row r="101">
      <c r="B101" s="41" t="n">
        <v>46276</v>
      </c>
      <c r="C101" s="42" t="inlineStr">
        <is>
          <t>Venta</t>
        </is>
      </c>
      <c r="D101" s="43" t="inlineStr">
        <is>
          <t>Ejemplo: venta a cliente</t>
        </is>
      </c>
      <c r="E101" s="42" t="inlineStr">
        <is>
          <t>10 %</t>
        </is>
      </c>
      <c r="F101" s="44" t="n">
        <v>2683000</v>
      </c>
      <c r="G101" s="45">
        <f>IF(H101="","",F101-H101)</f>
        <v/>
      </c>
      <c r="H101" s="45">
        <f>IF(OR($F101="",$E101=""),"",IF($E101="10 %",ROUND($F101*TasaGeneral/(1+TasaGeneral),Decimales),IF($E101="5 %",ROUND($F101*TasaReducida/(1+TasaReducida),Decimales),0)))</f>
        <v/>
      </c>
    </row>
    <row r="102">
      <c r="B102" s="41" t="n">
        <v>46279</v>
      </c>
      <c r="C102" s="42" t="inlineStr">
        <is>
          <t>Venta</t>
        </is>
      </c>
      <c r="D102" s="43" t="inlineStr">
        <is>
          <t>Ejemplo: venta a cliente</t>
        </is>
      </c>
      <c r="E102" s="42" t="inlineStr">
        <is>
          <t>10 %</t>
        </is>
      </c>
      <c r="F102" s="44" t="n">
        <v>3447000</v>
      </c>
      <c r="G102" s="45">
        <f>IF(H102="","",F102-H102)</f>
        <v/>
      </c>
      <c r="H102" s="45">
        <f>IF(OR($F102="",$E102=""),"",IF($E102="10 %",ROUND($F102*TasaGeneral/(1+TasaGeneral),Decimales),IF($E102="5 %",ROUND($F102*TasaReducida/(1+TasaReducida),Decimales),0)))</f>
        <v/>
      </c>
    </row>
    <row r="103">
      <c r="B103" s="41" t="n">
        <v>46279</v>
      </c>
      <c r="C103" s="42" t="inlineStr">
        <is>
          <t>Venta</t>
        </is>
      </c>
      <c r="D103" s="43" t="inlineStr">
        <is>
          <t>Ejemplo: venta a cliente</t>
        </is>
      </c>
      <c r="E103" s="42" t="inlineStr">
        <is>
          <t>10 %</t>
        </is>
      </c>
      <c r="F103" s="44" t="n">
        <v>4665000</v>
      </c>
      <c r="G103" s="45">
        <f>IF(H103="","",F103-H103)</f>
        <v/>
      </c>
      <c r="H103" s="45">
        <f>IF(OR($F103="",$E103=""),"",IF($E103="10 %",ROUND($F103*TasaGeneral/(1+TasaGeneral),Decimales),IF($E103="5 %",ROUND($F103*TasaReducida/(1+TasaReducida),Decimales),0)))</f>
        <v/>
      </c>
    </row>
    <row r="104">
      <c r="B104" s="41" t="n">
        <v>46279</v>
      </c>
      <c r="C104" s="42" t="inlineStr">
        <is>
          <t>Compra</t>
        </is>
      </c>
      <c r="D104" s="43" t="inlineStr">
        <is>
          <t>Ejemplo: mercadería</t>
        </is>
      </c>
      <c r="E104" s="42" t="inlineStr">
        <is>
          <t>10 %</t>
        </is>
      </c>
      <c r="F104" s="44" t="n">
        <v>1178000</v>
      </c>
      <c r="G104" s="45">
        <f>IF(H104="","",F104-H104)</f>
        <v/>
      </c>
      <c r="H104" s="45">
        <f>IF(OR($F104="",$E104=""),"",IF($E104="10 %",ROUND($F104*TasaGeneral/(1+TasaGeneral),Decimales),IF($E104="5 %",ROUND($F104*TasaReducida/(1+TasaReducida),Decimales),0)))</f>
        <v/>
      </c>
    </row>
    <row r="105">
      <c r="B105" s="41" t="n">
        <v>46279</v>
      </c>
      <c r="C105" s="42" t="inlineStr">
        <is>
          <t>Compra</t>
        </is>
      </c>
      <c r="D105" s="43" t="inlineStr">
        <is>
          <t>Ejemplo: publicidad</t>
        </is>
      </c>
      <c r="E105" s="42" t="inlineStr">
        <is>
          <t>10 %</t>
        </is>
      </c>
      <c r="F105" s="44" t="n">
        <v>2568000</v>
      </c>
      <c r="G105" s="45">
        <f>IF(H105="","",F105-H105)</f>
        <v/>
      </c>
      <c r="H105" s="45">
        <f>IF(OR($F105="",$E105=""),"",IF($E105="10 %",ROUND($F105*TasaGeneral/(1+TasaGeneral),Decimales),IF($E105="5 %",ROUND($F105*TasaReducida/(1+TasaReducida),Decimales),0)))</f>
        <v/>
      </c>
    </row>
    <row r="106">
      <c r="B106" s="41" t="n">
        <v>46280</v>
      </c>
      <c r="C106" s="42" t="inlineStr">
        <is>
          <t>Compra</t>
        </is>
      </c>
      <c r="D106" s="43" t="inlineStr">
        <is>
          <t>Ejemplo: flete</t>
        </is>
      </c>
      <c r="E106" s="42" t="inlineStr">
        <is>
          <t>Exenta</t>
        </is>
      </c>
      <c r="F106" s="44" t="n">
        <v>1814000</v>
      </c>
      <c r="G106" s="45">
        <f>IF(H106="","",F106-H106)</f>
        <v/>
      </c>
      <c r="H106" s="45">
        <f>IF(OR($F106="",$E106=""),"",IF($E106="10 %",ROUND($F106*TasaGeneral/(1+TasaGeneral),Decimales),IF($E106="5 %",ROUND($F106*TasaReducida/(1+TasaReducida),Decimales),0)))</f>
        <v/>
      </c>
    </row>
    <row r="107">
      <c r="B107" s="41" t="n">
        <v>46299</v>
      </c>
      <c r="C107" s="42" t="inlineStr">
        <is>
          <t>Compra</t>
        </is>
      </c>
      <c r="D107" s="43" t="inlineStr">
        <is>
          <t>Ejemplo: mercadería</t>
        </is>
      </c>
      <c r="E107" s="42" t="inlineStr">
        <is>
          <t>10 %</t>
        </is>
      </c>
      <c r="F107" s="44" t="n">
        <v>2234000</v>
      </c>
      <c r="G107" s="45">
        <f>IF(H107="","",F107-H107)</f>
        <v/>
      </c>
      <c r="H107" s="45">
        <f>IF(OR($F107="",$E107=""),"",IF($E107="10 %",ROUND($F107*TasaGeneral/(1+TasaGeneral),Decimales),IF($E107="5 %",ROUND($F107*TasaReducida/(1+TasaReducida),Decimales),0)))</f>
        <v/>
      </c>
    </row>
    <row r="108">
      <c r="B108" s="41" t="n">
        <v>46302</v>
      </c>
      <c r="C108" s="42" t="inlineStr">
        <is>
          <t>Compra</t>
        </is>
      </c>
      <c r="D108" s="43" t="inlineStr">
        <is>
          <t>Ejemplo: servicios</t>
        </is>
      </c>
      <c r="E108" s="42" t="inlineStr">
        <is>
          <t>10 %</t>
        </is>
      </c>
      <c r="F108" s="44" t="n">
        <v>1649000</v>
      </c>
      <c r="G108" s="45">
        <f>IF(H108="","",F108-H108)</f>
        <v/>
      </c>
      <c r="H108" s="45">
        <f>IF(OR($F108="",$E108=""),"",IF($E108="10 %",ROUND($F108*TasaGeneral/(1+TasaGeneral),Decimales),IF($E108="5 %",ROUND($F108*TasaReducida/(1+TasaReducida),Decimales),0)))</f>
        <v/>
      </c>
    </row>
    <row r="109">
      <c r="B109" s="41" t="n">
        <v>46302</v>
      </c>
      <c r="C109" s="42" t="inlineStr">
        <is>
          <t>Compra</t>
        </is>
      </c>
      <c r="D109" s="43" t="inlineStr">
        <is>
          <t>Ejemplo: publicidad</t>
        </is>
      </c>
      <c r="E109" s="42" t="inlineStr">
        <is>
          <t>10 %</t>
        </is>
      </c>
      <c r="F109" s="44" t="n">
        <v>2119000</v>
      </c>
      <c r="G109" s="45">
        <f>IF(H109="","",F109-H109)</f>
        <v/>
      </c>
      <c r="H109" s="45">
        <f>IF(OR($F109="",$E109=""),"",IF($E109="10 %",ROUND($F109*TasaGeneral/(1+TasaGeneral),Decimales),IF($E109="5 %",ROUND($F109*TasaReducida/(1+TasaReducida),Decimales),0)))</f>
        <v/>
      </c>
    </row>
    <row r="110">
      <c r="B110" s="41" t="n">
        <v>46312</v>
      </c>
      <c r="C110" s="42" t="inlineStr">
        <is>
          <t>Venta</t>
        </is>
      </c>
      <c r="D110" s="43" t="inlineStr">
        <is>
          <t>Ejemplo: venta a cliente</t>
        </is>
      </c>
      <c r="E110" s="42" t="inlineStr">
        <is>
          <t>10 %</t>
        </is>
      </c>
      <c r="F110" s="44" t="n">
        <v>4194000</v>
      </c>
      <c r="G110" s="45">
        <f>IF(H110="","",F110-H110)</f>
        <v/>
      </c>
      <c r="H110" s="45">
        <f>IF(OR($F110="",$E110=""),"",IF($E110="10 %",ROUND($F110*TasaGeneral/(1+TasaGeneral),Decimales),IF($E110="5 %",ROUND($F110*TasaReducida/(1+TasaReducida),Decimales),0)))</f>
        <v/>
      </c>
    </row>
    <row r="111">
      <c r="B111" s="41" t="n">
        <v>46315</v>
      </c>
      <c r="C111" s="42" t="inlineStr">
        <is>
          <t>Venta</t>
        </is>
      </c>
      <c r="D111" s="43" t="inlineStr">
        <is>
          <t>Ejemplo: venta a cliente</t>
        </is>
      </c>
      <c r="E111" s="42" t="inlineStr">
        <is>
          <t>10 %</t>
        </is>
      </c>
      <c r="F111" s="44" t="n">
        <v>2624000</v>
      </c>
      <c r="G111" s="45">
        <f>IF(H111="","",F111-H111)</f>
        <v/>
      </c>
      <c r="H111" s="45">
        <f>IF(OR($F111="",$E111=""),"",IF($E111="10 %",ROUND($F111*TasaGeneral/(1+TasaGeneral),Decimales),IF($E111="5 %",ROUND($F111*TasaReducida/(1+TasaReducida),Decimales),0)))</f>
        <v/>
      </c>
    </row>
    <row r="112">
      <c r="B112" s="41" t="n">
        <v>46317</v>
      </c>
      <c r="C112" s="42" t="inlineStr">
        <is>
          <t>Venta</t>
        </is>
      </c>
      <c r="D112" s="43" t="inlineStr">
        <is>
          <t>Ejemplo: venta a cliente</t>
        </is>
      </c>
      <c r="E112" s="42" t="inlineStr">
        <is>
          <t>10 %</t>
        </is>
      </c>
      <c r="F112" s="44" t="n">
        <v>4198000</v>
      </c>
      <c r="G112" s="45">
        <f>IF(H112="","",F112-H112)</f>
        <v/>
      </c>
      <c r="H112" s="45">
        <f>IF(OR($F112="",$E112=""),"",IF($E112="10 %",ROUND($F112*TasaGeneral/(1+TasaGeneral),Decimales),IF($E112="5 %",ROUND($F112*TasaReducida/(1+TasaReducida),Decimales),0)))</f>
        <v/>
      </c>
    </row>
    <row r="113">
      <c r="B113" s="41" t="n">
        <v>46319</v>
      </c>
      <c r="C113" s="42" t="inlineStr">
        <is>
          <t>Venta</t>
        </is>
      </c>
      <c r="D113" s="43" t="inlineStr">
        <is>
          <t>Ejemplo: venta a cliente</t>
        </is>
      </c>
      <c r="E113" s="42" t="inlineStr">
        <is>
          <t>Exenta</t>
        </is>
      </c>
      <c r="F113" s="44" t="n">
        <v>6312000</v>
      </c>
      <c r="G113" s="45">
        <f>IF(H113="","",F113-H113)</f>
        <v/>
      </c>
      <c r="H113" s="45">
        <f>IF(OR($F113="",$E113=""),"",IF($E113="10 %",ROUND($F113*TasaGeneral/(1+TasaGeneral),Decimales),IF($E113="5 %",ROUND($F113*TasaReducida/(1+TasaReducida),Decimales),0)))</f>
        <v/>
      </c>
    </row>
    <row r="114">
      <c r="B114" s="41" t="n">
        <v>46319</v>
      </c>
      <c r="C114" s="42" t="inlineStr">
        <is>
          <t>Venta</t>
        </is>
      </c>
      <c r="D114" s="43" t="inlineStr">
        <is>
          <t>Ejemplo: venta a cliente</t>
        </is>
      </c>
      <c r="E114" s="42" t="inlineStr">
        <is>
          <t>5 %</t>
        </is>
      </c>
      <c r="F114" s="44" t="n">
        <v>4156000</v>
      </c>
      <c r="G114" s="45">
        <f>IF(H114="","",F114-H114)</f>
        <v/>
      </c>
      <c r="H114" s="45">
        <f>IF(OR($F114="",$E114=""),"",IF($E114="10 %",ROUND($F114*TasaGeneral/(1+TasaGeneral),Decimales),IF($E114="5 %",ROUND($F114*TasaReducida/(1+TasaReducida),Decimales),0)))</f>
        <v/>
      </c>
    </row>
    <row r="115">
      <c r="B115" s="41" t="n">
        <v>46320</v>
      </c>
      <c r="C115" s="42" t="inlineStr">
        <is>
          <t>Venta</t>
        </is>
      </c>
      <c r="D115" s="43" t="inlineStr">
        <is>
          <t>Ejemplo: venta a cliente</t>
        </is>
      </c>
      <c r="E115" s="42" t="inlineStr">
        <is>
          <t>Exenta</t>
        </is>
      </c>
      <c r="F115" s="44" t="n">
        <v>2516000</v>
      </c>
      <c r="G115" s="45">
        <f>IF(H115="","",F115-H115)</f>
        <v/>
      </c>
      <c r="H115" s="45">
        <f>IF(OR($F115="",$E115=""),"",IF($E115="10 %",ROUND($F115*TasaGeneral/(1+TasaGeneral),Decimales),IF($E115="5 %",ROUND($F115*TasaReducida/(1+TasaReducida),Decimales),0)))</f>
        <v/>
      </c>
    </row>
    <row r="116">
      <c r="B116" s="41" t="n">
        <v>46320</v>
      </c>
      <c r="C116" s="42" t="inlineStr">
        <is>
          <t>Compra</t>
        </is>
      </c>
      <c r="D116" s="43" t="inlineStr">
        <is>
          <t>Ejemplo: insumos</t>
        </is>
      </c>
      <c r="E116" s="42" t="inlineStr">
        <is>
          <t>10 %</t>
        </is>
      </c>
      <c r="F116" s="44" t="n">
        <v>2550000</v>
      </c>
      <c r="G116" s="45">
        <f>IF(H116="","",F116-H116)</f>
        <v/>
      </c>
      <c r="H116" s="45">
        <f>IF(OR($F116="",$E116=""),"",IF($E116="10 %",ROUND($F116*TasaGeneral/(1+TasaGeneral),Decimales),IF($E116="5 %",ROUND($F116*TasaReducida/(1+TasaReducida),Decimales),0)))</f>
        <v/>
      </c>
    </row>
    <row r="117">
      <c r="B117" s="41" t="n">
        <v>46321</v>
      </c>
      <c r="C117" s="42" t="inlineStr">
        <is>
          <t>Compra</t>
        </is>
      </c>
      <c r="D117" s="43" t="inlineStr">
        <is>
          <t>Ejemplo: flete</t>
        </is>
      </c>
      <c r="E117" s="42" t="inlineStr">
        <is>
          <t>5 %</t>
        </is>
      </c>
      <c r="F117" s="44" t="n">
        <v>2641000</v>
      </c>
      <c r="G117" s="45">
        <f>IF(H117="","",F117-H117)</f>
        <v/>
      </c>
      <c r="H117" s="45">
        <f>IF(OR($F117="",$E117=""),"",IF($E117="10 %",ROUND($F117*TasaGeneral/(1+TasaGeneral),Decimales),IF($E117="5 %",ROUND($F117*TasaReducida/(1+TasaReducida),Decimales),0)))</f>
        <v/>
      </c>
    </row>
    <row r="118">
      <c r="B118" s="41" t="n"/>
      <c r="C118" s="42" t="n"/>
      <c r="D118" s="43" t="n"/>
      <c r="E118" s="42" t="n"/>
      <c r="F118" s="44" t="n"/>
      <c r="G118" s="45">
        <f>IF(H118="","",F118-H118)</f>
        <v/>
      </c>
      <c r="H118" s="45">
        <f>IF(OR($F118="",$E118=""),"",IF($E118="10 %",ROUND($F118*TasaGeneral/(1+TasaGeneral),Decimales),IF($E118="5 %",ROUND($F118*TasaReducida/(1+TasaReducida),Decimales),0)))</f>
        <v/>
      </c>
    </row>
    <row r="119">
      <c r="B119" s="41" t="n"/>
      <c r="C119" s="42" t="n"/>
      <c r="D119" s="43" t="n"/>
      <c r="E119" s="42" t="n"/>
      <c r="F119" s="44" t="n"/>
      <c r="G119" s="45">
        <f>IF(H119="","",F119-H119)</f>
        <v/>
      </c>
      <c r="H119" s="45">
        <f>IF(OR($F119="",$E119=""),"",IF($E119="10 %",ROUND($F119*TasaGeneral/(1+TasaGeneral),Decimales),IF($E119="5 %",ROUND($F119*TasaReducida/(1+TasaReducida),Decimales),0)))</f>
        <v/>
      </c>
    </row>
    <row r="120">
      <c r="B120" s="41" t="n"/>
      <c r="C120" s="42" t="n"/>
      <c r="D120" s="43" t="n"/>
      <c r="E120" s="42" t="n"/>
      <c r="F120" s="44" t="n"/>
      <c r="G120" s="45">
        <f>IF(H120="","",F120-H120)</f>
        <v/>
      </c>
      <c r="H120" s="45">
        <f>IF(OR($F120="",$E120=""),"",IF($E120="10 %",ROUND($F120*TasaGeneral/(1+TasaGeneral),Decimales),IF($E120="5 %",ROUND($F120*TasaReducida/(1+TasaReducida),Decimales),0)))</f>
        <v/>
      </c>
    </row>
    <row r="121">
      <c r="B121" s="41" t="n"/>
      <c r="C121" s="42" t="n"/>
      <c r="D121" s="43" t="n"/>
      <c r="E121" s="42" t="n"/>
      <c r="F121" s="44" t="n"/>
      <c r="G121" s="45">
        <f>IF(H121="","",F121-H121)</f>
        <v/>
      </c>
      <c r="H121" s="45">
        <f>IF(OR($F121="",$E121=""),"",IF($E121="10 %",ROUND($F121*TasaGeneral/(1+TasaGeneral),Decimales),IF($E121="5 %",ROUND($F121*TasaReducida/(1+TasaReducida),Decimales),0)))</f>
        <v/>
      </c>
    </row>
    <row r="122">
      <c r="B122" s="41" t="n"/>
      <c r="C122" s="42" t="n"/>
      <c r="D122" s="43" t="n"/>
      <c r="E122" s="42" t="n"/>
      <c r="F122" s="44" t="n"/>
      <c r="G122" s="45">
        <f>IF(H122="","",F122-H122)</f>
        <v/>
      </c>
      <c r="H122" s="45">
        <f>IF(OR($F122="",$E122=""),"",IF($E122="10 %",ROUND($F122*TasaGeneral/(1+TasaGeneral),Decimales),IF($E122="5 %",ROUND($F122*TasaReducida/(1+TasaReducida),Decimales),0)))</f>
        <v/>
      </c>
    </row>
    <row r="123">
      <c r="B123" s="41" t="n"/>
      <c r="C123" s="42" t="n"/>
      <c r="D123" s="43" t="n"/>
      <c r="E123" s="42" t="n"/>
      <c r="F123" s="44" t="n"/>
      <c r="G123" s="45">
        <f>IF(H123="","",F123-H123)</f>
        <v/>
      </c>
      <c r="H123" s="45">
        <f>IF(OR($F123="",$E123=""),"",IF($E123="10 %",ROUND($F123*TasaGeneral/(1+TasaGeneral),Decimales),IF($E123="5 %",ROUND($F123*TasaReducida/(1+TasaReducida),Decimales),0)))</f>
        <v/>
      </c>
    </row>
    <row r="124">
      <c r="B124" s="41" t="n"/>
      <c r="C124" s="42" t="n"/>
      <c r="D124" s="43" t="n"/>
      <c r="E124" s="42" t="n"/>
      <c r="F124" s="44" t="n"/>
      <c r="G124" s="45">
        <f>IF(H124="","",F124-H124)</f>
        <v/>
      </c>
      <c r="H124" s="45">
        <f>IF(OR($F124="",$E124=""),"",IF($E124="10 %",ROUND($F124*TasaGeneral/(1+TasaGeneral),Decimales),IF($E124="5 %",ROUND($F124*TasaReducida/(1+TasaReducida),Decimales),0)))</f>
        <v/>
      </c>
    </row>
    <row r="125">
      <c r="B125" s="41" t="n"/>
      <c r="C125" s="42" t="n"/>
      <c r="D125" s="43" t="n"/>
      <c r="E125" s="42" t="n"/>
      <c r="F125" s="44" t="n"/>
      <c r="G125" s="45">
        <f>IF(H125="","",F125-H125)</f>
        <v/>
      </c>
      <c r="H125" s="45">
        <f>IF(OR($F125="",$E125=""),"",IF($E125="10 %",ROUND($F125*TasaGeneral/(1+TasaGeneral),Decimales),IF($E125="5 %",ROUND($F125*TasaReducida/(1+TasaReducida),Decimales),0)))</f>
        <v/>
      </c>
    </row>
    <row r="126">
      <c r="B126" s="41" t="n"/>
      <c r="C126" s="42" t="n"/>
      <c r="D126" s="43" t="n"/>
      <c r="E126" s="42" t="n"/>
      <c r="F126" s="44" t="n"/>
      <c r="G126" s="45">
        <f>IF(H126="","",F126-H126)</f>
        <v/>
      </c>
      <c r="H126" s="45">
        <f>IF(OR($F126="",$E126=""),"",IF($E126="10 %",ROUND($F126*TasaGeneral/(1+TasaGeneral),Decimales),IF($E126="5 %",ROUND($F126*TasaReducida/(1+TasaReducida),Decimales),0)))</f>
        <v/>
      </c>
    </row>
    <row r="127">
      <c r="B127" s="41" t="n"/>
      <c r="C127" s="42" t="n"/>
      <c r="D127" s="43" t="n"/>
      <c r="E127" s="42" t="n"/>
      <c r="F127" s="44" t="n"/>
      <c r="G127" s="45">
        <f>IF(H127="","",F127-H127)</f>
        <v/>
      </c>
      <c r="H127" s="45">
        <f>IF(OR($F127="",$E127=""),"",IF($E127="10 %",ROUND($F127*TasaGeneral/(1+TasaGeneral),Decimales),IF($E127="5 %",ROUND($F127*TasaReducida/(1+TasaReducida),Decimales),0)))</f>
        <v/>
      </c>
    </row>
    <row r="128">
      <c r="B128" s="41" t="n"/>
      <c r="C128" s="42" t="n"/>
      <c r="D128" s="43" t="n"/>
      <c r="E128" s="42" t="n"/>
      <c r="F128" s="44" t="n"/>
      <c r="G128" s="45">
        <f>IF(H128="","",F128-H128)</f>
        <v/>
      </c>
      <c r="H128" s="45">
        <f>IF(OR($F128="",$E128=""),"",IF($E128="10 %",ROUND($F128*TasaGeneral/(1+TasaGeneral),Decimales),IF($E128="5 %",ROUND($F128*TasaReducida/(1+TasaReducida),Decimales),0)))</f>
        <v/>
      </c>
    </row>
    <row r="129">
      <c r="B129" s="41" t="n"/>
      <c r="C129" s="42" t="n"/>
      <c r="D129" s="43" t="n"/>
      <c r="E129" s="42" t="n"/>
      <c r="F129" s="44" t="n"/>
      <c r="G129" s="45">
        <f>IF(H129="","",F129-H129)</f>
        <v/>
      </c>
      <c r="H129" s="45">
        <f>IF(OR($F129="",$E129=""),"",IF($E129="10 %",ROUND($F129*TasaGeneral/(1+TasaGeneral),Decimales),IF($E129="5 %",ROUND($F129*TasaReducida/(1+TasaReducida),Decimales),0)))</f>
        <v/>
      </c>
    </row>
    <row r="130">
      <c r="B130" s="41" t="n"/>
      <c r="C130" s="42" t="n"/>
      <c r="D130" s="43" t="n"/>
      <c r="E130" s="42" t="n"/>
      <c r="F130" s="44" t="n"/>
      <c r="G130" s="45">
        <f>IF(H130="","",F130-H130)</f>
        <v/>
      </c>
      <c r="H130" s="45">
        <f>IF(OR($F130="",$E130=""),"",IF($E130="10 %",ROUND($F130*TasaGeneral/(1+TasaGeneral),Decimales),IF($E130="5 %",ROUND($F130*TasaReducida/(1+TasaReducida),Decimales),0)))</f>
        <v/>
      </c>
    </row>
    <row r="131">
      <c r="B131" s="41" t="n"/>
      <c r="C131" s="42" t="n"/>
      <c r="D131" s="43" t="n"/>
      <c r="E131" s="42" t="n"/>
      <c r="F131" s="44" t="n"/>
      <c r="G131" s="45">
        <f>IF(H131="","",F131-H131)</f>
        <v/>
      </c>
      <c r="H131" s="45">
        <f>IF(OR($F131="",$E131=""),"",IF($E131="10 %",ROUND($F131*TasaGeneral/(1+TasaGeneral),Decimales),IF($E131="5 %",ROUND($F131*TasaReducida/(1+TasaReducida),Decimales),0)))</f>
        <v/>
      </c>
    </row>
    <row r="132">
      <c r="B132" s="41" t="n"/>
      <c r="C132" s="42" t="n"/>
      <c r="D132" s="43" t="n"/>
      <c r="E132" s="42" t="n"/>
      <c r="F132" s="44" t="n"/>
      <c r="G132" s="45">
        <f>IF(H132="","",F132-H132)</f>
        <v/>
      </c>
      <c r="H132" s="45">
        <f>IF(OR($F132="",$E132=""),"",IF($E132="10 %",ROUND($F132*TasaGeneral/(1+TasaGeneral),Decimales),IF($E132="5 %",ROUND($F132*TasaReducida/(1+TasaReducida),Decimales),0)))</f>
        <v/>
      </c>
    </row>
    <row r="133">
      <c r="B133" s="41" t="n"/>
      <c r="C133" s="42" t="n"/>
      <c r="D133" s="43" t="n"/>
      <c r="E133" s="42" t="n"/>
      <c r="F133" s="44" t="n"/>
      <c r="G133" s="45">
        <f>IF(H133="","",F133-H133)</f>
        <v/>
      </c>
      <c r="H133" s="45">
        <f>IF(OR($F133="",$E133=""),"",IF($E133="10 %",ROUND($F133*TasaGeneral/(1+TasaGeneral),Decimales),IF($E133="5 %",ROUND($F133*TasaReducida/(1+TasaReducida),Decimales),0)))</f>
        <v/>
      </c>
    </row>
    <row r="134">
      <c r="B134" s="41" t="n"/>
      <c r="C134" s="42" t="n"/>
      <c r="D134" s="43" t="n"/>
      <c r="E134" s="42" t="n"/>
      <c r="F134" s="44" t="n"/>
      <c r="G134" s="45">
        <f>IF(H134="","",F134-H134)</f>
        <v/>
      </c>
      <c r="H134" s="45">
        <f>IF(OR($F134="",$E134=""),"",IF($E134="10 %",ROUND($F134*TasaGeneral/(1+TasaGeneral),Decimales),IF($E134="5 %",ROUND($F134*TasaReducida/(1+TasaReducida),Decimales),0)))</f>
        <v/>
      </c>
    </row>
    <row r="135">
      <c r="B135" s="41" t="n"/>
      <c r="C135" s="42" t="n"/>
      <c r="D135" s="43" t="n"/>
      <c r="E135" s="42" t="n"/>
      <c r="F135" s="44" t="n"/>
      <c r="G135" s="45">
        <f>IF(H135="","",F135-H135)</f>
        <v/>
      </c>
      <c r="H135" s="45">
        <f>IF(OR($F135="",$E135=""),"",IF($E135="10 %",ROUND($F135*TasaGeneral/(1+TasaGeneral),Decimales),IF($E135="5 %",ROUND($F135*TasaReducida/(1+TasaReducida),Decimales),0)))</f>
        <v/>
      </c>
    </row>
    <row r="136">
      <c r="B136" s="41" t="n"/>
      <c r="C136" s="42" t="n"/>
      <c r="D136" s="43" t="n"/>
      <c r="E136" s="42" t="n"/>
      <c r="F136" s="44" t="n"/>
      <c r="G136" s="45">
        <f>IF(H136="","",F136-H136)</f>
        <v/>
      </c>
      <c r="H136" s="45">
        <f>IF(OR($F136="",$E136=""),"",IF($E136="10 %",ROUND($F136*TasaGeneral/(1+TasaGeneral),Decimales),IF($E136="5 %",ROUND($F136*TasaReducida/(1+TasaReducida),Decimales),0)))</f>
        <v/>
      </c>
    </row>
    <row r="137">
      <c r="B137" s="41" t="n"/>
      <c r="C137" s="42" t="n"/>
      <c r="D137" s="43" t="n"/>
      <c r="E137" s="42" t="n"/>
      <c r="F137" s="44" t="n"/>
      <c r="G137" s="45">
        <f>IF(H137="","",F137-H137)</f>
        <v/>
      </c>
      <c r="H137" s="45">
        <f>IF(OR($F137="",$E137=""),"",IF($E137="10 %",ROUND($F137*TasaGeneral/(1+TasaGeneral),Decimales),IF($E137="5 %",ROUND($F137*TasaReducida/(1+TasaReducida),Decimales),0)))</f>
        <v/>
      </c>
    </row>
    <row r="138">
      <c r="B138" s="41" t="n"/>
      <c r="C138" s="42" t="n"/>
      <c r="D138" s="43" t="n"/>
      <c r="E138" s="42" t="n"/>
      <c r="F138" s="44" t="n"/>
      <c r="G138" s="45">
        <f>IF(H138="","",F138-H138)</f>
        <v/>
      </c>
      <c r="H138" s="45">
        <f>IF(OR($F138="",$E138=""),"",IF($E138="10 %",ROUND($F138*TasaGeneral/(1+TasaGeneral),Decimales),IF($E138="5 %",ROUND($F138*TasaReducida/(1+TasaReducida),Decimales),0)))</f>
        <v/>
      </c>
    </row>
    <row r="139">
      <c r="B139" s="41" t="n"/>
      <c r="C139" s="42" t="n"/>
      <c r="D139" s="43" t="n"/>
      <c r="E139" s="42" t="n"/>
      <c r="F139" s="44" t="n"/>
      <c r="G139" s="45">
        <f>IF(H139="","",F139-H139)</f>
        <v/>
      </c>
      <c r="H139" s="45">
        <f>IF(OR($F139="",$E139=""),"",IF($E139="10 %",ROUND($F139*TasaGeneral/(1+TasaGeneral),Decimales),IF($E139="5 %",ROUND($F139*TasaReducida/(1+TasaReducida),Decimales),0)))</f>
        <v/>
      </c>
    </row>
    <row r="140">
      <c r="B140" s="41" t="n"/>
      <c r="C140" s="42" t="n"/>
      <c r="D140" s="43" t="n"/>
      <c r="E140" s="42" t="n"/>
      <c r="F140" s="44" t="n"/>
      <c r="G140" s="45">
        <f>IF(H140="","",F140-H140)</f>
        <v/>
      </c>
      <c r="H140" s="45">
        <f>IF(OR($F140="",$E140=""),"",IF($E140="10 %",ROUND($F140*TasaGeneral/(1+TasaGeneral),Decimales),IF($E140="5 %",ROUND($F140*TasaReducida/(1+TasaReducida),Decimales),0)))</f>
        <v/>
      </c>
    </row>
    <row r="141">
      <c r="B141" s="41" t="n"/>
      <c r="C141" s="42" t="n"/>
      <c r="D141" s="43" t="n"/>
      <c r="E141" s="42" t="n"/>
      <c r="F141" s="44" t="n"/>
      <c r="G141" s="45">
        <f>IF(H141="","",F141-H141)</f>
        <v/>
      </c>
      <c r="H141" s="45">
        <f>IF(OR($F141="",$E141=""),"",IF($E141="10 %",ROUND($F141*TasaGeneral/(1+TasaGeneral),Decimales),IF($E141="5 %",ROUND($F141*TasaReducida/(1+TasaReducida),Decimales),0)))</f>
        <v/>
      </c>
    </row>
    <row r="142">
      <c r="B142" s="41" t="n"/>
      <c r="C142" s="42" t="n"/>
      <c r="D142" s="43" t="n"/>
      <c r="E142" s="42" t="n"/>
      <c r="F142" s="44" t="n"/>
      <c r="G142" s="45">
        <f>IF(H142="","",F142-H142)</f>
        <v/>
      </c>
      <c r="H142" s="45">
        <f>IF(OR($F142="",$E142=""),"",IF($E142="10 %",ROUND($F142*TasaGeneral/(1+TasaGeneral),Decimales),IF($E142="5 %",ROUND($F142*TasaReducida/(1+TasaReducida),Decimales),0)))</f>
        <v/>
      </c>
    </row>
    <row r="143">
      <c r="B143" s="41" t="n"/>
      <c r="C143" s="42" t="n"/>
      <c r="D143" s="43" t="n"/>
      <c r="E143" s="42" t="n"/>
      <c r="F143" s="44" t="n"/>
      <c r="G143" s="45">
        <f>IF(H143="","",F143-H143)</f>
        <v/>
      </c>
      <c r="H143" s="45">
        <f>IF(OR($F143="",$E143=""),"",IF($E143="10 %",ROUND($F143*TasaGeneral/(1+TasaGeneral),Decimales),IF($E143="5 %",ROUND($F143*TasaReducida/(1+TasaReducida),Decimales),0)))</f>
        <v/>
      </c>
    </row>
    <row r="144">
      <c r="B144" s="41" t="n"/>
      <c r="C144" s="42" t="n"/>
      <c r="D144" s="43" t="n"/>
      <c r="E144" s="42" t="n"/>
      <c r="F144" s="44" t="n"/>
      <c r="G144" s="45">
        <f>IF(H144="","",F144-H144)</f>
        <v/>
      </c>
      <c r="H144" s="45">
        <f>IF(OR($F144="",$E144=""),"",IF($E144="10 %",ROUND($F144*TasaGeneral/(1+TasaGeneral),Decimales),IF($E144="5 %",ROUND($F144*TasaReducida/(1+TasaReducida),Decimales),0)))</f>
        <v/>
      </c>
    </row>
    <row r="145">
      <c r="B145" s="41" t="n"/>
      <c r="C145" s="42" t="n"/>
      <c r="D145" s="43" t="n"/>
      <c r="E145" s="42" t="n"/>
      <c r="F145" s="44" t="n"/>
      <c r="G145" s="45">
        <f>IF(H145="","",F145-H145)</f>
        <v/>
      </c>
      <c r="H145" s="45">
        <f>IF(OR($F145="",$E145=""),"",IF($E145="10 %",ROUND($F145*TasaGeneral/(1+TasaGeneral),Decimales),IF($E145="5 %",ROUND($F145*TasaReducida/(1+TasaReducida),Decimales),0)))</f>
        <v/>
      </c>
    </row>
    <row r="146">
      <c r="B146" s="41" t="n"/>
      <c r="C146" s="42" t="n"/>
      <c r="D146" s="43" t="n"/>
      <c r="E146" s="42" t="n"/>
      <c r="F146" s="44" t="n"/>
      <c r="G146" s="45">
        <f>IF(H146="","",F146-H146)</f>
        <v/>
      </c>
      <c r="H146" s="45">
        <f>IF(OR($F146="",$E146=""),"",IF($E146="10 %",ROUND($F146*TasaGeneral/(1+TasaGeneral),Decimales),IF($E146="5 %",ROUND($F146*TasaReducida/(1+TasaReducida),Decimales),0)))</f>
        <v/>
      </c>
    </row>
    <row r="147">
      <c r="B147" s="41" t="n"/>
      <c r="C147" s="42" t="n"/>
      <c r="D147" s="43" t="n"/>
      <c r="E147" s="42" t="n"/>
      <c r="F147" s="44" t="n"/>
      <c r="G147" s="45">
        <f>IF(H147="","",F147-H147)</f>
        <v/>
      </c>
      <c r="H147" s="45">
        <f>IF(OR($F147="",$E147=""),"",IF($E147="10 %",ROUND($F147*TasaGeneral/(1+TasaGeneral),Decimales),IF($E147="5 %",ROUND($F147*TasaReducida/(1+TasaReducida),Decimales),0)))</f>
        <v/>
      </c>
    </row>
    <row r="148">
      <c r="B148" s="41" t="n"/>
      <c r="C148" s="42" t="n"/>
      <c r="D148" s="43" t="n"/>
      <c r="E148" s="42" t="n"/>
      <c r="F148" s="44" t="n"/>
      <c r="G148" s="45">
        <f>IF(H148="","",F148-H148)</f>
        <v/>
      </c>
      <c r="H148" s="45">
        <f>IF(OR($F148="",$E148=""),"",IF($E148="10 %",ROUND($F148*TasaGeneral/(1+TasaGeneral),Decimales),IF($E148="5 %",ROUND($F148*TasaReducida/(1+TasaReducida),Decimales),0)))</f>
        <v/>
      </c>
    </row>
    <row r="149">
      <c r="B149" s="41" t="n"/>
      <c r="C149" s="42" t="n"/>
      <c r="D149" s="43" t="n"/>
      <c r="E149" s="42" t="n"/>
      <c r="F149" s="44" t="n"/>
      <c r="G149" s="45">
        <f>IF(H149="","",F149-H149)</f>
        <v/>
      </c>
      <c r="H149" s="45">
        <f>IF(OR($F149="",$E149=""),"",IF($E149="10 %",ROUND($F149*TasaGeneral/(1+TasaGeneral),Decimales),IF($E149="5 %",ROUND($F149*TasaReducida/(1+TasaReducida),Decimales),0)))</f>
        <v/>
      </c>
    </row>
    <row r="150">
      <c r="B150" s="41" t="n"/>
      <c r="C150" s="42" t="n"/>
      <c r="D150" s="43" t="n"/>
      <c r="E150" s="42" t="n"/>
      <c r="F150" s="44" t="n"/>
      <c r="G150" s="45">
        <f>IF(H150="","",F150-H150)</f>
        <v/>
      </c>
      <c r="H150" s="45">
        <f>IF(OR($F150="",$E150=""),"",IF($E150="10 %",ROUND($F150*TasaGeneral/(1+TasaGeneral),Decimales),IF($E150="5 %",ROUND($F150*TasaReducida/(1+TasaReducida),Decimales),0)))</f>
        <v/>
      </c>
    </row>
    <row r="151">
      <c r="B151" s="41" t="n"/>
      <c r="C151" s="42" t="n"/>
      <c r="D151" s="43" t="n"/>
      <c r="E151" s="42" t="n"/>
      <c r="F151" s="44" t="n"/>
      <c r="G151" s="45">
        <f>IF(H151="","",F151-H151)</f>
        <v/>
      </c>
      <c r="H151" s="45">
        <f>IF(OR($F151="",$E151=""),"",IF($E151="10 %",ROUND($F151*TasaGeneral/(1+TasaGeneral),Decimales),IF($E151="5 %",ROUND($F151*TasaReducida/(1+TasaReducida),Decimales),0)))</f>
        <v/>
      </c>
    </row>
    <row r="152">
      <c r="B152" s="41" t="n"/>
      <c r="C152" s="42" t="n"/>
      <c r="D152" s="43" t="n"/>
      <c r="E152" s="42" t="n"/>
      <c r="F152" s="44" t="n"/>
      <c r="G152" s="45">
        <f>IF(H152="","",F152-H152)</f>
        <v/>
      </c>
      <c r="H152" s="45">
        <f>IF(OR($F152="",$E152=""),"",IF($E152="10 %",ROUND($F152*TasaGeneral/(1+TasaGeneral),Decimales),IF($E152="5 %",ROUND($F152*TasaReducida/(1+TasaReducida),Decimales),0)))</f>
        <v/>
      </c>
    </row>
    <row r="153">
      <c r="B153" s="41" t="n"/>
      <c r="C153" s="42" t="n"/>
      <c r="D153" s="43" t="n"/>
      <c r="E153" s="42" t="n"/>
      <c r="F153" s="44" t="n"/>
      <c r="G153" s="45">
        <f>IF(H153="","",F153-H153)</f>
        <v/>
      </c>
      <c r="H153" s="45">
        <f>IF(OR($F153="",$E153=""),"",IF($E153="10 %",ROUND($F153*TasaGeneral/(1+TasaGeneral),Decimales),IF($E153="5 %",ROUND($F153*TasaReducida/(1+TasaReducida),Decimales),0)))</f>
        <v/>
      </c>
    </row>
    <row r="154">
      <c r="B154" s="41" t="n"/>
      <c r="C154" s="42" t="n"/>
      <c r="D154" s="43" t="n"/>
      <c r="E154" s="42" t="n"/>
      <c r="F154" s="44" t="n"/>
      <c r="G154" s="45">
        <f>IF(H154="","",F154-H154)</f>
        <v/>
      </c>
      <c r="H154" s="45">
        <f>IF(OR($F154="",$E154=""),"",IF($E154="10 %",ROUND($F154*TasaGeneral/(1+TasaGeneral),Decimales),IF($E154="5 %",ROUND($F154*TasaReducida/(1+TasaReducida),Decimales),0)))</f>
        <v/>
      </c>
    </row>
    <row r="155">
      <c r="B155" s="41" t="n"/>
      <c r="C155" s="42" t="n"/>
      <c r="D155" s="43" t="n"/>
      <c r="E155" s="42" t="n"/>
      <c r="F155" s="44" t="n"/>
      <c r="G155" s="45">
        <f>IF(H155="","",F155-H155)</f>
        <v/>
      </c>
      <c r="H155" s="45">
        <f>IF(OR($F155="",$E155=""),"",IF($E155="10 %",ROUND($F155*TasaGeneral/(1+TasaGeneral),Decimales),IF($E155="5 %",ROUND($F155*TasaReducida/(1+TasaReducida),Decimales),0)))</f>
        <v/>
      </c>
    </row>
    <row r="156">
      <c r="B156" s="41" t="n"/>
      <c r="C156" s="42" t="n"/>
      <c r="D156" s="43" t="n"/>
      <c r="E156" s="42" t="n"/>
      <c r="F156" s="44" t="n"/>
      <c r="G156" s="45">
        <f>IF(H156="","",F156-H156)</f>
        <v/>
      </c>
      <c r="H156" s="45">
        <f>IF(OR($F156="",$E156=""),"",IF($E156="10 %",ROUND($F156*TasaGeneral/(1+TasaGeneral),Decimales),IF($E156="5 %",ROUND($F156*TasaReducida/(1+TasaReducida),Decimales),0)))</f>
        <v/>
      </c>
    </row>
    <row r="157">
      <c r="B157" s="41" t="n"/>
      <c r="C157" s="42" t="n"/>
      <c r="D157" s="43" t="n"/>
      <c r="E157" s="42" t="n"/>
      <c r="F157" s="44" t="n"/>
      <c r="G157" s="45">
        <f>IF(H157="","",F157-H157)</f>
        <v/>
      </c>
      <c r="H157" s="45">
        <f>IF(OR($F157="",$E157=""),"",IF($E157="10 %",ROUND($F157*TasaGeneral/(1+TasaGeneral),Decimales),IF($E157="5 %",ROUND($F157*TasaReducida/(1+TasaReducida),Decimales),0)))</f>
        <v/>
      </c>
    </row>
    <row r="158">
      <c r="B158" s="41" t="n"/>
      <c r="C158" s="42" t="n"/>
      <c r="D158" s="43" t="n"/>
      <c r="E158" s="42" t="n"/>
      <c r="F158" s="44" t="n"/>
      <c r="G158" s="45">
        <f>IF(H158="","",F158-H158)</f>
        <v/>
      </c>
      <c r="H158" s="45">
        <f>IF(OR($F158="",$E158=""),"",IF($E158="10 %",ROUND($F158*TasaGeneral/(1+TasaGeneral),Decimales),IF($E158="5 %",ROUND($F158*TasaReducida/(1+TasaReducida),Decimales),0)))</f>
        <v/>
      </c>
    </row>
    <row r="159">
      <c r="B159" s="41" t="n"/>
      <c r="C159" s="42" t="n"/>
      <c r="D159" s="43" t="n"/>
      <c r="E159" s="42" t="n"/>
      <c r="F159" s="44" t="n"/>
      <c r="G159" s="45">
        <f>IF(H159="","",F159-H159)</f>
        <v/>
      </c>
      <c r="H159" s="45">
        <f>IF(OR($F159="",$E159=""),"",IF($E159="10 %",ROUND($F159*TasaGeneral/(1+TasaGeneral),Decimales),IF($E159="5 %",ROUND($F159*TasaReducida/(1+TasaReducida),Decimales),0)))</f>
        <v/>
      </c>
    </row>
    <row r="160">
      <c r="B160" s="41" t="n"/>
      <c r="C160" s="42" t="n"/>
      <c r="D160" s="43" t="n"/>
      <c r="E160" s="42" t="n"/>
      <c r="F160" s="44" t="n"/>
      <c r="G160" s="45">
        <f>IF(H160="","",F160-H160)</f>
        <v/>
      </c>
      <c r="H160" s="45">
        <f>IF(OR($F160="",$E160=""),"",IF($E160="10 %",ROUND($F160*TasaGeneral/(1+TasaGeneral),Decimales),IF($E160="5 %",ROUND($F160*TasaReducida/(1+TasaReducida),Decimales),0)))</f>
        <v/>
      </c>
    </row>
    <row r="161">
      <c r="B161" s="41" t="n"/>
      <c r="C161" s="42" t="n"/>
      <c r="D161" s="43" t="n"/>
      <c r="E161" s="42" t="n"/>
      <c r="F161" s="44" t="n"/>
      <c r="G161" s="45">
        <f>IF(H161="","",F161-H161)</f>
        <v/>
      </c>
      <c r="H161" s="45">
        <f>IF(OR($F161="",$E161=""),"",IF($E161="10 %",ROUND($F161*TasaGeneral/(1+TasaGeneral),Decimales),IF($E161="5 %",ROUND($F161*TasaReducida/(1+TasaReducida),Decimales),0)))</f>
        <v/>
      </c>
    </row>
    <row r="162">
      <c r="B162" s="41" t="n"/>
      <c r="C162" s="42" t="n"/>
      <c r="D162" s="43" t="n"/>
      <c r="E162" s="42" t="n"/>
      <c r="F162" s="44" t="n"/>
      <c r="G162" s="45">
        <f>IF(H162="","",F162-H162)</f>
        <v/>
      </c>
      <c r="H162" s="45">
        <f>IF(OR($F162="",$E162=""),"",IF($E162="10 %",ROUND($F162*TasaGeneral/(1+TasaGeneral),Decimales),IF($E162="5 %",ROUND($F162*TasaReducida/(1+TasaReducida),Decimales),0)))</f>
        <v/>
      </c>
    </row>
    <row r="163">
      <c r="B163" s="41" t="n"/>
      <c r="C163" s="42" t="n"/>
      <c r="D163" s="43" t="n"/>
      <c r="E163" s="42" t="n"/>
      <c r="F163" s="44" t="n"/>
      <c r="G163" s="45">
        <f>IF(H163="","",F163-H163)</f>
        <v/>
      </c>
      <c r="H163" s="45">
        <f>IF(OR($F163="",$E163=""),"",IF($E163="10 %",ROUND($F163*TasaGeneral/(1+TasaGeneral),Decimales),IF($E163="5 %",ROUND($F163*TasaReducida/(1+TasaReducida),Decimales),0)))</f>
        <v/>
      </c>
    </row>
    <row r="164">
      <c r="B164" s="41" t="n"/>
      <c r="C164" s="42" t="n"/>
      <c r="D164" s="43" t="n"/>
      <c r="E164" s="42" t="n"/>
      <c r="F164" s="44" t="n"/>
      <c r="G164" s="45">
        <f>IF(H164="","",F164-H164)</f>
        <v/>
      </c>
      <c r="H164" s="45">
        <f>IF(OR($F164="",$E164=""),"",IF($E164="10 %",ROUND($F164*TasaGeneral/(1+TasaGeneral),Decimales),IF($E164="5 %",ROUND($F164*TasaReducida/(1+TasaReducida),Decimales),0)))</f>
        <v/>
      </c>
    </row>
    <row r="165">
      <c r="B165" s="41" t="n"/>
      <c r="C165" s="42" t="n"/>
      <c r="D165" s="43" t="n"/>
      <c r="E165" s="42" t="n"/>
      <c r="F165" s="44" t="n"/>
      <c r="G165" s="45">
        <f>IF(H165="","",F165-H165)</f>
        <v/>
      </c>
      <c r="H165" s="45">
        <f>IF(OR($F165="",$E165=""),"",IF($E165="10 %",ROUND($F165*TasaGeneral/(1+TasaGeneral),Decimales),IF($E165="5 %",ROUND($F165*TasaReducida/(1+TasaReducida),Decimales),0)))</f>
        <v/>
      </c>
    </row>
    <row r="166">
      <c r="B166" s="41" t="n"/>
      <c r="C166" s="42" t="n"/>
      <c r="D166" s="43" t="n"/>
      <c r="E166" s="42" t="n"/>
      <c r="F166" s="44" t="n"/>
      <c r="G166" s="45">
        <f>IF(H166="","",F166-H166)</f>
        <v/>
      </c>
      <c r="H166" s="45">
        <f>IF(OR($F166="",$E166=""),"",IF($E166="10 %",ROUND($F166*TasaGeneral/(1+TasaGeneral),Decimales),IF($E166="5 %",ROUND($F166*TasaReducida/(1+TasaReducida),Decimales),0)))</f>
        <v/>
      </c>
    </row>
    <row r="167">
      <c r="B167" s="41" t="n"/>
      <c r="C167" s="42" t="n"/>
      <c r="D167" s="43" t="n"/>
      <c r="E167" s="42" t="n"/>
      <c r="F167" s="44" t="n"/>
      <c r="G167" s="45">
        <f>IF(H167="","",F167-H167)</f>
        <v/>
      </c>
      <c r="H167" s="45">
        <f>IF(OR($F167="",$E167=""),"",IF($E167="10 %",ROUND($F167*TasaGeneral/(1+TasaGeneral),Decimales),IF($E167="5 %",ROUND($F167*TasaReducida/(1+TasaReducida),Decimales),0)))</f>
        <v/>
      </c>
    </row>
    <row r="168">
      <c r="B168" s="41" t="n"/>
      <c r="C168" s="42" t="n"/>
      <c r="D168" s="43" t="n"/>
      <c r="E168" s="42" t="n"/>
      <c r="F168" s="44" t="n"/>
      <c r="G168" s="45">
        <f>IF(H168="","",F168-H168)</f>
        <v/>
      </c>
      <c r="H168" s="45">
        <f>IF(OR($F168="",$E168=""),"",IF($E168="10 %",ROUND($F168*TasaGeneral/(1+TasaGeneral),Decimales),IF($E168="5 %",ROUND($F168*TasaReducida/(1+TasaReducida),Decimales),0)))</f>
        <v/>
      </c>
    </row>
    <row r="169">
      <c r="B169" s="41" t="n"/>
      <c r="C169" s="42" t="n"/>
      <c r="D169" s="43" t="n"/>
      <c r="E169" s="42" t="n"/>
      <c r="F169" s="44" t="n"/>
      <c r="G169" s="45">
        <f>IF(H169="","",F169-H169)</f>
        <v/>
      </c>
      <c r="H169" s="45">
        <f>IF(OR($F169="",$E169=""),"",IF($E169="10 %",ROUND($F169*TasaGeneral/(1+TasaGeneral),Decimales),IF($E169="5 %",ROUND($F169*TasaReducida/(1+TasaReducida),Decimales),0)))</f>
        <v/>
      </c>
    </row>
    <row r="170">
      <c r="B170" s="41" t="n"/>
      <c r="C170" s="42" t="n"/>
      <c r="D170" s="43" t="n"/>
      <c r="E170" s="42" t="n"/>
      <c r="F170" s="44" t="n"/>
      <c r="G170" s="45">
        <f>IF(H170="","",F170-H170)</f>
        <v/>
      </c>
      <c r="H170" s="45">
        <f>IF(OR($F170="",$E170=""),"",IF($E170="10 %",ROUND($F170*TasaGeneral/(1+TasaGeneral),Decimales),IF($E170="5 %",ROUND($F170*TasaReducida/(1+TasaReducida),Decimales),0)))</f>
        <v/>
      </c>
    </row>
    <row r="171">
      <c r="B171" s="41" t="n"/>
      <c r="C171" s="42" t="n"/>
      <c r="D171" s="43" t="n"/>
      <c r="E171" s="42" t="n"/>
      <c r="F171" s="44" t="n"/>
      <c r="G171" s="45">
        <f>IF(H171="","",F171-H171)</f>
        <v/>
      </c>
      <c r="H171" s="45">
        <f>IF(OR($F171="",$E171=""),"",IF($E171="10 %",ROUND($F171*TasaGeneral/(1+TasaGeneral),Decimales),IF($E171="5 %",ROUND($F171*TasaReducida/(1+TasaReducida),Decimales),0)))</f>
        <v/>
      </c>
    </row>
    <row r="172">
      <c r="B172" s="41" t="n"/>
      <c r="C172" s="42" t="n"/>
      <c r="D172" s="43" t="n"/>
      <c r="E172" s="42" t="n"/>
      <c r="F172" s="44" t="n"/>
      <c r="G172" s="45">
        <f>IF(H172="","",F172-H172)</f>
        <v/>
      </c>
      <c r="H172" s="45">
        <f>IF(OR($F172="",$E172=""),"",IF($E172="10 %",ROUND($F172*TasaGeneral/(1+TasaGeneral),Decimales),IF($E172="5 %",ROUND($F172*TasaReducida/(1+TasaReducida),Decimales),0)))</f>
        <v/>
      </c>
    </row>
    <row r="173">
      <c r="B173" s="41" t="n"/>
      <c r="C173" s="42" t="n"/>
      <c r="D173" s="43" t="n"/>
      <c r="E173" s="42" t="n"/>
      <c r="F173" s="44" t="n"/>
      <c r="G173" s="45">
        <f>IF(H173="","",F173-H173)</f>
        <v/>
      </c>
      <c r="H173" s="45">
        <f>IF(OR($F173="",$E173=""),"",IF($E173="10 %",ROUND($F173*TasaGeneral/(1+TasaGeneral),Decimales),IF($E173="5 %",ROUND($F173*TasaReducida/(1+TasaReducida),Decimales),0)))</f>
        <v/>
      </c>
    </row>
    <row r="174">
      <c r="B174" s="41" t="n"/>
      <c r="C174" s="42" t="n"/>
      <c r="D174" s="43" t="n"/>
      <c r="E174" s="42" t="n"/>
      <c r="F174" s="44" t="n"/>
      <c r="G174" s="45">
        <f>IF(H174="","",F174-H174)</f>
        <v/>
      </c>
      <c r="H174" s="45">
        <f>IF(OR($F174="",$E174=""),"",IF($E174="10 %",ROUND($F174*TasaGeneral/(1+TasaGeneral),Decimales),IF($E174="5 %",ROUND($F174*TasaReducida/(1+TasaReducida),Decimales),0)))</f>
        <v/>
      </c>
    </row>
    <row r="175">
      <c r="B175" s="41" t="n"/>
      <c r="C175" s="42" t="n"/>
      <c r="D175" s="43" t="n"/>
      <c r="E175" s="42" t="n"/>
      <c r="F175" s="44" t="n"/>
      <c r="G175" s="45">
        <f>IF(H175="","",F175-H175)</f>
        <v/>
      </c>
      <c r="H175" s="45">
        <f>IF(OR($F175="",$E175=""),"",IF($E175="10 %",ROUND($F175*TasaGeneral/(1+TasaGeneral),Decimales),IF($E175="5 %",ROUND($F175*TasaReducida/(1+TasaReducida),Decimales),0)))</f>
        <v/>
      </c>
    </row>
    <row r="176">
      <c r="B176" s="41" t="n"/>
      <c r="C176" s="42" t="n"/>
      <c r="D176" s="43" t="n"/>
      <c r="E176" s="42" t="n"/>
      <c r="F176" s="44" t="n"/>
      <c r="G176" s="45">
        <f>IF(H176="","",F176-H176)</f>
        <v/>
      </c>
      <c r="H176" s="45">
        <f>IF(OR($F176="",$E176=""),"",IF($E176="10 %",ROUND($F176*TasaGeneral/(1+TasaGeneral),Decimales),IF($E176="5 %",ROUND($F176*TasaReducida/(1+TasaReducida),Decimales),0)))</f>
        <v/>
      </c>
    </row>
    <row r="177">
      <c r="B177" s="41" t="n"/>
      <c r="C177" s="42" t="n"/>
      <c r="D177" s="43" t="n"/>
      <c r="E177" s="42" t="n"/>
      <c r="F177" s="44" t="n"/>
      <c r="G177" s="45">
        <f>IF(H177="","",F177-H177)</f>
        <v/>
      </c>
      <c r="H177" s="45">
        <f>IF(OR($F177="",$E177=""),"",IF($E177="10 %",ROUND($F177*TasaGeneral/(1+TasaGeneral),Decimales),IF($E177="5 %",ROUND($F177*TasaReducida/(1+TasaReducida),Decimales),0)))</f>
        <v/>
      </c>
    </row>
    <row r="178">
      <c r="B178" s="41" t="n"/>
      <c r="C178" s="42" t="n"/>
      <c r="D178" s="43" t="n"/>
      <c r="E178" s="42" t="n"/>
      <c r="F178" s="44" t="n"/>
      <c r="G178" s="45">
        <f>IF(H178="","",F178-H178)</f>
        <v/>
      </c>
      <c r="H178" s="45">
        <f>IF(OR($F178="",$E178=""),"",IF($E178="10 %",ROUND($F178*TasaGeneral/(1+TasaGeneral),Decimales),IF($E178="5 %",ROUND($F178*TasaReducida/(1+TasaReducida),Decimales),0)))</f>
        <v/>
      </c>
    </row>
    <row r="179">
      <c r="B179" s="41" t="n"/>
      <c r="C179" s="42" t="n"/>
      <c r="D179" s="43" t="n"/>
      <c r="E179" s="42" t="n"/>
      <c r="F179" s="44" t="n"/>
      <c r="G179" s="45">
        <f>IF(H179="","",F179-H179)</f>
        <v/>
      </c>
      <c r="H179" s="45">
        <f>IF(OR($F179="",$E179=""),"",IF($E179="10 %",ROUND($F179*TasaGeneral/(1+TasaGeneral),Decimales),IF($E179="5 %",ROUND($F179*TasaReducida/(1+TasaReducida),Decimales),0)))</f>
        <v/>
      </c>
    </row>
    <row r="180">
      <c r="B180" s="41" t="n"/>
      <c r="C180" s="42" t="n"/>
      <c r="D180" s="43" t="n"/>
      <c r="E180" s="42" t="n"/>
      <c r="F180" s="44" t="n"/>
      <c r="G180" s="45">
        <f>IF(H180="","",F180-H180)</f>
        <v/>
      </c>
      <c r="H180" s="45">
        <f>IF(OR($F180="",$E180=""),"",IF($E180="10 %",ROUND($F180*TasaGeneral/(1+TasaGeneral),Decimales),IF($E180="5 %",ROUND($F180*TasaReducida/(1+TasaReducida),Decimales),0)))</f>
        <v/>
      </c>
    </row>
    <row r="181">
      <c r="B181" s="41" t="n"/>
      <c r="C181" s="42" t="n"/>
      <c r="D181" s="43" t="n"/>
      <c r="E181" s="42" t="n"/>
      <c r="F181" s="44" t="n"/>
      <c r="G181" s="45">
        <f>IF(H181="","",F181-H181)</f>
        <v/>
      </c>
      <c r="H181" s="45">
        <f>IF(OR($F181="",$E181=""),"",IF($E181="10 %",ROUND($F181*TasaGeneral/(1+TasaGeneral),Decimales),IF($E181="5 %",ROUND($F181*TasaReducida/(1+TasaReducida),Decimales),0)))</f>
        <v/>
      </c>
    </row>
    <row r="182">
      <c r="B182" s="41" t="n"/>
      <c r="C182" s="42" t="n"/>
      <c r="D182" s="43" t="n"/>
      <c r="E182" s="42" t="n"/>
      <c r="F182" s="44" t="n"/>
      <c r="G182" s="45">
        <f>IF(H182="","",F182-H182)</f>
        <v/>
      </c>
      <c r="H182" s="45">
        <f>IF(OR($F182="",$E182=""),"",IF($E182="10 %",ROUND($F182*TasaGeneral/(1+TasaGeneral),Decimales),IF($E182="5 %",ROUND($F182*TasaReducida/(1+TasaReducida),Decimales),0)))</f>
        <v/>
      </c>
    </row>
    <row r="183">
      <c r="B183" s="41" t="n"/>
      <c r="C183" s="42" t="n"/>
      <c r="D183" s="43" t="n"/>
      <c r="E183" s="42" t="n"/>
      <c r="F183" s="44" t="n"/>
      <c r="G183" s="45">
        <f>IF(H183="","",F183-H183)</f>
        <v/>
      </c>
      <c r="H183" s="45">
        <f>IF(OR($F183="",$E183=""),"",IF($E183="10 %",ROUND($F183*TasaGeneral/(1+TasaGeneral),Decimales),IF($E183="5 %",ROUND($F183*TasaReducida/(1+TasaReducida),Decimales),0)))</f>
        <v/>
      </c>
    </row>
    <row r="184">
      <c r="B184" s="41" t="n"/>
      <c r="C184" s="42" t="n"/>
      <c r="D184" s="43" t="n"/>
      <c r="E184" s="42" t="n"/>
      <c r="F184" s="44" t="n"/>
      <c r="G184" s="45">
        <f>IF(H184="","",F184-H184)</f>
        <v/>
      </c>
      <c r="H184" s="45">
        <f>IF(OR($F184="",$E184=""),"",IF($E184="10 %",ROUND($F184*TasaGeneral/(1+TasaGeneral),Decimales),IF($E184="5 %",ROUND($F184*TasaReducida/(1+TasaReducida),Decimales),0)))</f>
        <v/>
      </c>
    </row>
    <row r="185">
      <c r="B185" s="41" t="n"/>
      <c r="C185" s="42" t="n"/>
      <c r="D185" s="43" t="n"/>
      <c r="E185" s="42" t="n"/>
      <c r="F185" s="44" t="n"/>
      <c r="G185" s="45">
        <f>IF(H185="","",F185-H185)</f>
        <v/>
      </c>
      <c r="H185" s="45">
        <f>IF(OR($F185="",$E185=""),"",IF($E185="10 %",ROUND($F185*TasaGeneral/(1+TasaGeneral),Decimales),IF($E185="5 %",ROUND($F185*TasaReducida/(1+TasaReducida),Decimales),0)))</f>
        <v/>
      </c>
    </row>
    <row r="186">
      <c r="B186" s="41" t="n"/>
      <c r="C186" s="42" t="n"/>
      <c r="D186" s="43" t="n"/>
      <c r="E186" s="42" t="n"/>
      <c r="F186" s="44" t="n"/>
      <c r="G186" s="45">
        <f>IF(H186="","",F186-H186)</f>
        <v/>
      </c>
      <c r="H186" s="45">
        <f>IF(OR($F186="",$E186=""),"",IF($E186="10 %",ROUND($F186*TasaGeneral/(1+TasaGeneral),Decimales),IF($E186="5 %",ROUND($F186*TasaReducida/(1+TasaReducida),Decimales),0)))</f>
        <v/>
      </c>
    </row>
    <row r="187">
      <c r="B187" s="41" t="n"/>
      <c r="C187" s="42" t="n"/>
      <c r="D187" s="43" t="n"/>
      <c r="E187" s="42" t="n"/>
      <c r="F187" s="44" t="n"/>
      <c r="G187" s="45">
        <f>IF(H187="","",F187-H187)</f>
        <v/>
      </c>
      <c r="H187" s="45">
        <f>IF(OR($F187="",$E187=""),"",IF($E187="10 %",ROUND($F187*TasaGeneral/(1+TasaGeneral),Decimales),IF($E187="5 %",ROUND($F187*TasaReducida/(1+TasaReducida),Decimales),0)))</f>
        <v/>
      </c>
    </row>
    <row r="188">
      <c r="B188" s="41" t="n"/>
      <c r="C188" s="42" t="n"/>
      <c r="D188" s="43" t="n"/>
      <c r="E188" s="42" t="n"/>
      <c r="F188" s="44" t="n"/>
      <c r="G188" s="45">
        <f>IF(H188="","",F188-H188)</f>
        <v/>
      </c>
      <c r="H188" s="45">
        <f>IF(OR($F188="",$E188=""),"",IF($E188="10 %",ROUND($F188*TasaGeneral/(1+TasaGeneral),Decimales),IF($E188="5 %",ROUND($F188*TasaReducida/(1+TasaReducida),Decimales),0)))</f>
        <v/>
      </c>
    </row>
    <row r="189">
      <c r="B189" s="41" t="n"/>
      <c r="C189" s="42" t="n"/>
      <c r="D189" s="43" t="n"/>
      <c r="E189" s="42" t="n"/>
      <c r="F189" s="44" t="n"/>
      <c r="G189" s="45">
        <f>IF(H189="","",F189-H189)</f>
        <v/>
      </c>
      <c r="H189" s="45">
        <f>IF(OR($F189="",$E189=""),"",IF($E189="10 %",ROUND($F189*TasaGeneral/(1+TasaGeneral),Decimales),IF($E189="5 %",ROUND($F189*TasaReducida/(1+TasaReducida),Decimales),0)))</f>
        <v/>
      </c>
    </row>
    <row r="190">
      <c r="B190" s="41" t="n"/>
      <c r="C190" s="42" t="n"/>
      <c r="D190" s="43" t="n"/>
      <c r="E190" s="42" t="n"/>
      <c r="F190" s="44" t="n"/>
      <c r="G190" s="45">
        <f>IF(H190="","",F190-H190)</f>
        <v/>
      </c>
      <c r="H190" s="45">
        <f>IF(OR($F190="",$E190=""),"",IF($E190="10 %",ROUND($F190*TasaGeneral/(1+TasaGeneral),Decimales),IF($E190="5 %",ROUND($F190*TasaReducida/(1+TasaReducida),Decimales),0)))</f>
        <v/>
      </c>
    </row>
    <row r="191">
      <c r="B191" s="41" t="n"/>
      <c r="C191" s="42" t="n"/>
      <c r="D191" s="43" t="n"/>
      <c r="E191" s="42" t="n"/>
      <c r="F191" s="44" t="n"/>
      <c r="G191" s="45">
        <f>IF(H191="","",F191-H191)</f>
        <v/>
      </c>
      <c r="H191" s="45">
        <f>IF(OR($F191="",$E191=""),"",IF($E191="10 %",ROUND($F191*TasaGeneral/(1+TasaGeneral),Decimales),IF($E191="5 %",ROUND($F191*TasaReducida/(1+TasaReducida),Decimales),0)))</f>
        <v/>
      </c>
    </row>
    <row r="192">
      <c r="B192" s="41" t="n"/>
      <c r="C192" s="42" t="n"/>
      <c r="D192" s="43" t="n"/>
      <c r="E192" s="42" t="n"/>
      <c r="F192" s="44" t="n"/>
      <c r="G192" s="45">
        <f>IF(H192="","",F192-H192)</f>
        <v/>
      </c>
      <c r="H192" s="45">
        <f>IF(OR($F192="",$E192=""),"",IF($E192="10 %",ROUND($F192*TasaGeneral/(1+TasaGeneral),Decimales),IF($E192="5 %",ROUND($F192*TasaReducida/(1+TasaReducida),Decimales),0)))</f>
        <v/>
      </c>
    </row>
    <row r="193">
      <c r="B193" s="41" t="n"/>
      <c r="C193" s="42" t="n"/>
      <c r="D193" s="43" t="n"/>
      <c r="E193" s="42" t="n"/>
      <c r="F193" s="44" t="n"/>
      <c r="G193" s="45">
        <f>IF(H193="","",F193-H193)</f>
        <v/>
      </c>
      <c r="H193" s="45">
        <f>IF(OR($F193="",$E193=""),"",IF($E193="10 %",ROUND($F193*TasaGeneral/(1+TasaGeneral),Decimales),IF($E193="5 %",ROUND($F193*TasaReducida/(1+TasaReducida),Decimales),0)))</f>
        <v/>
      </c>
    </row>
    <row r="194">
      <c r="B194" s="41" t="n"/>
      <c r="C194" s="42" t="n"/>
      <c r="D194" s="43" t="n"/>
      <c r="E194" s="42" t="n"/>
      <c r="F194" s="44" t="n"/>
      <c r="G194" s="45">
        <f>IF(H194="","",F194-H194)</f>
        <v/>
      </c>
      <c r="H194" s="45">
        <f>IF(OR($F194="",$E194=""),"",IF($E194="10 %",ROUND($F194*TasaGeneral/(1+TasaGeneral),Decimales),IF($E194="5 %",ROUND($F194*TasaReducida/(1+TasaReducida),Decimales),0)))</f>
        <v/>
      </c>
    </row>
    <row r="195">
      <c r="B195" s="41" t="n"/>
      <c r="C195" s="42" t="n"/>
      <c r="D195" s="43" t="n"/>
      <c r="E195" s="42" t="n"/>
      <c r="F195" s="44" t="n"/>
      <c r="G195" s="45">
        <f>IF(H195="","",F195-H195)</f>
        <v/>
      </c>
      <c r="H195" s="45">
        <f>IF(OR($F195="",$E195=""),"",IF($E195="10 %",ROUND($F195*TasaGeneral/(1+TasaGeneral),Decimales),IF($E195="5 %",ROUND($F195*TasaReducida/(1+TasaReducida),Decimales),0)))</f>
        <v/>
      </c>
    </row>
    <row r="196">
      <c r="B196" s="41" t="n"/>
      <c r="C196" s="42" t="n"/>
      <c r="D196" s="43" t="n"/>
      <c r="E196" s="42" t="n"/>
      <c r="F196" s="44" t="n"/>
      <c r="G196" s="45">
        <f>IF(H196="","",F196-H196)</f>
        <v/>
      </c>
      <c r="H196" s="45">
        <f>IF(OR($F196="",$E196=""),"",IF($E196="10 %",ROUND($F196*TasaGeneral/(1+TasaGeneral),Decimales),IF($E196="5 %",ROUND($F196*TasaReducida/(1+TasaReducida),Decimales),0)))</f>
        <v/>
      </c>
    </row>
    <row r="197">
      <c r="B197" s="41" t="n"/>
      <c r="C197" s="42" t="n"/>
      <c r="D197" s="43" t="n"/>
      <c r="E197" s="42" t="n"/>
      <c r="F197" s="44" t="n"/>
      <c r="G197" s="45">
        <f>IF(H197="","",F197-H197)</f>
        <v/>
      </c>
      <c r="H197" s="45">
        <f>IF(OR($F197="",$E197=""),"",IF($E197="10 %",ROUND($F197*TasaGeneral/(1+TasaGeneral),Decimales),IF($E197="5 %",ROUND($F197*TasaReducida/(1+TasaReducida),Decimales),0)))</f>
        <v/>
      </c>
    </row>
    <row r="198">
      <c r="B198" s="41" t="n"/>
      <c r="C198" s="42" t="n"/>
      <c r="D198" s="43" t="n"/>
      <c r="E198" s="42" t="n"/>
      <c r="F198" s="44" t="n"/>
      <c r="G198" s="45">
        <f>IF(H198="","",F198-H198)</f>
        <v/>
      </c>
      <c r="H198" s="45">
        <f>IF(OR($F198="",$E198=""),"",IF($E198="10 %",ROUND($F198*TasaGeneral/(1+TasaGeneral),Decimales),IF($E198="5 %",ROUND($F198*TasaReducida/(1+TasaReducida),Decimales),0)))</f>
        <v/>
      </c>
    </row>
    <row r="199">
      <c r="B199" s="41" t="n"/>
      <c r="C199" s="42" t="n"/>
      <c r="D199" s="43" t="n"/>
      <c r="E199" s="42" t="n"/>
      <c r="F199" s="44" t="n"/>
      <c r="G199" s="45">
        <f>IF(H199="","",F199-H199)</f>
        <v/>
      </c>
      <c r="H199" s="45">
        <f>IF(OR($F199="",$E199=""),"",IF($E199="10 %",ROUND($F199*TasaGeneral/(1+TasaGeneral),Decimales),IF($E199="5 %",ROUND($F199*TasaReducida/(1+TasaReducida),Decimales),0)))</f>
        <v/>
      </c>
    </row>
    <row r="200">
      <c r="B200" s="41" t="n"/>
      <c r="C200" s="42" t="n"/>
      <c r="D200" s="43" t="n"/>
      <c r="E200" s="42" t="n"/>
      <c r="F200" s="44" t="n"/>
      <c r="G200" s="45">
        <f>IF(H200="","",F200-H200)</f>
        <v/>
      </c>
      <c r="H200" s="45">
        <f>IF(OR($F200="",$E200=""),"",IF($E200="10 %",ROUND($F200*TasaGeneral/(1+TasaGeneral),Decimales),IF($E200="5 %",ROUND($F200*TasaReducida/(1+TasaReducida),Decimales),0)))</f>
        <v/>
      </c>
    </row>
    <row r="201">
      <c r="B201" s="41" t="n"/>
      <c r="C201" s="42" t="n"/>
      <c r="D201" s="43" t="n"/>
      <c r="E201" s="42" t="n"/>
      <c r="F201" s="44" t="n"/>
      <c r="G201" s="45">
        <f>IF(H201="","",F201-H201)</f>
        <v/>
      </c>
      <c r="H201" s="45">
        <f>IF(OR($F201="",$E201=""),"",IF($E201="10 %",ROUND($F201*TasaGeneral/(1+TasaGeneral),Decimales),IF($E201="5 %",ROUND($F201*TasaReducida/(1+TasaReducida),Decimales),0)))</f>
        <v/>
      </c>
    </row>
    <row r="202">
      <c r="B202" s="41" t="n"/>
      <c r="C202" s="42" t="n"/>
      <c r="D202" s="43" t="n"/>
      <c r="E202" s="42" t="n"/>
      <c r="F202" s="44" t="n"/>
      <c r="G202" s="45">
        <f>IF(H202="","",F202-H202)</f>
        <v/>
      </c>
      <c r="H202" s="45">
        <f>IF(OR($F202="",$E202=""),"",IF($E202="10 %",ROUND($F202*TasaGeneral/(1+TasaGeneral),Decimales),IF($E202="5 %",ROUND($F202*TasaReducida/(1+TasaReducida),Decimales),0)))</f>
        <v/>
      </c>
    </row>
    <row r="203">
      <c r="B203" s="41" t="n"/>
      <c r="C203" s="42" t="n"/>
      <c r="D203" s="43" t="n"/>
      <c r="E203" s="42" t="n"/>
      <c r="F203" s="44" t="n"/>
      <c r="G203" s="45">
        <f>IF(H203="","",F203-H203)</f>
        <v/>
      </c>
      <c r="H203" s="45">
        <f>IF(OR($F203="",$E203=""),"",IF($E203="10 %",ROUND($F203*TasaGeneral/(1+TasaGeneral),Decimales),IF($E203="5 %",ROUND($F203*TasaReducida/(1+TasaReducida),Decimales),0)))</f>
        <v/>
      </c>
    </row>
    <row r="204">
      <c r="B204" s="41" t="n"/>
      <c r="C204" s="42" t="n"/>
      <c r="D204" s="43" t="n"/>
      <c r="E204" s="42" t="n"/>
      <c r="F204" s="44" t="n"/>
      <c r="G204" s="45">
        <f>IF(H204="","",F204-H204)</f>
        <v/>
      </c>
      <c r="H204" s="45">
        <f>IF(OR($F204="",$E204=""),"",IF($E204="10 %",ROUND($F204*TasaGeneral/(1+TasaGeneral),Decimales),IF($E204="5 %",ROUND($F204*TasaReducida/(1+TasaReducida),Decimales),0)))</f>
        <v/>
      </c>
    </row>
    <row r="205">
      <c r="B205" s="41" t="n"/>
      <c r="C205" s="42" t="n"/>
      <c r="D205" s="43" t="n"/>
      <c r="E205" s="42" t="n"/>
      <c r="F205" s="44" t="n"/>
      <c r="G205" s="45">
        <f>IF(H205="","",F205-H205)</f>
        <v/>
      </c>
      <c r="H205" s="45">
        <f>IF(OR($F205="",$E205=""),"",IF($E205="10 %",ROUND($F205*TasaGeneral/(1+TasaGeneral),Decimales),IF($E205="5 %",ROUND($F205*TasaReducida/(1+TasaReducida),Decimales),0)))</f>
        <v/>
      </c>
    </row>
    <row r="206">
      <c r="B206" s="41" t="n"/>
      <c r="C206" s="42" t="n"/>
      <c r="D206" s="43" t="n"/>
      <c r="E206" s="42" t="n"/>
      <c r="F206" s="44" t="n"/>
      <c r="G206" s="45">
        <f>IF(H206="","",F206-H206)</f>
        <v/>
      </c>
      <c r="H206" s="45">
        <f>IF(OR($F206="",$E206=""),"",IF($E206="10 %",ROUND($F206*TasaGeneral/(1+TasaGeneral),Decimales),IF($E206="5 %",ROUND($F206*TasaReducida/(1+TasaReducida),Decimales),0)))</f>
        <v/>
      </c>
    </row>
    <row r="207">
      <c r="B207" s="41" t="n"/>
      <c r="C207" s="42" t="n"/>
      <c r="D207" s="43" t="n"/>
      <c r="E207" s="42" t="n"/>
      <c r="F207" s="44" t="n"/>
      <c r="G207" s="45">
        <f>IF(H207="","",F207-H207)</f>
        <v/>
      </c>
      <c r="H207" s="45">
        <f>IF(OR($F207="",$E207=""),"",IF($E207="10 %",ROUND($F207*TasaGeneral/(1+TasaGeneral),Decimales),IF($E207="5 %",ROUND($F207*TasaReducida/(1+TasaReducida),Decimales),0)))</f>
        <v/>
      </c>
    </row>
    <row r="208">
      <c r="B208" s="41" t="n"/>
      <c r="C208" s="42" t="n"/>
      <c r="D208" s="43" t="n"/>
      <c r="E208" s="42" t="n"/>
      <c r="F208" s="44" t="n"/>
      <c r="G208" s="45">
        <f>IF(H208="","",F208-H208)</f>
        <v/>
      </c>
      <c r="H208" s="45">
        <f>IF(OR($F208="",$E208=""),"",IF($E208="10 %",ROUND($F208*TasaGeneral/(1+TasaGeneral),Decimales),IF($E208="5 %",ROUND($F208*TasaReducida/(1+TasaReducida),Decimales),0)))</f>
        <v/>
      </c>
    </row>
    <row r="209">
      <c r="B209" s="41" t="n"/>
      <c r="C209" s="42" t="n"/>
      <c r="D209" s="43" t="n"/>
      <c r="E209" s="42" t="n"/>
      <c r="F209" s="44" t="n"/>
      <c r="G209" s="45">
        <f>IF(H209="","",F209-H209)</f>
        <v/>
      </c>
      <c r="H209" s="45">
        <f>IF(OR($F209="",$E209=""),"",IF($E209="10 %",ROUND($F209*TasaGeneral/(1+TasaGeneral),Decimales),IF($E209="5 %",ROUND($F209*TasaReducida/(1+TasaReducida),Decimales),0)))</f>
        <v/>
      </c>
    </row>
    <row r="210">
      <c r="B210" s="41" t="n"/>
      <c r="C210" s="42" t="n"/>
      <c r="D210" s="43" t="n"/>
      <c r="E210" s="42" t="n"/>
      <c r="F210" s="44" t="n"/>
      <c r="G210" s="45">
        <f>IF(H210="","",F210-H210)</f>
        <v/>
      </c>
      <c r="H210" s="45">
        <f>IF(OR($F210="",$E210=""),"",IF($E210="10 %",ROUND($F210*TasaGeneral/(1+TasaGeneral),Decimales),IF($E210="5 %",ROUND($F210*TasaReducida/(1+TasaReducida),Decimales),0)))</f>
        <v/>
      </c>
    </row>
    <row r="211">
      <c r="B211" s="41" t="n"/>
      <c r="C211" s="42" t="n"/>
      <c r="D211" s="43" t="n"/>
      <c r="E211" s="42" t="n"/>
      <c r="F211" s="44" t="n"/>
      <c r="G211" s="45">
        <f>IF(H211="","",F211-H211)</f>
        <v/>
      </c>
      <c r="H211" s="45">
        <f>IF(OR($F211="",$E211=""),"",IF($E211="10 %",ROUND($F211*TasaGeneral/(1+TasaGeneral),Decimales),IF($E211="5 %",ROUND($F211*TasaReducida/(1+TasaReducida),Decimales),0)))</f>
        <v/>
      </c>
    </row>
    <row r="212">
      <c r="B212" s="41" t="n"/>
      <c r="C212" s="42" t="n"/>
      <c r="D212" s="43" t="n"/>
      <c r="E212" s="42" t="n"/>
      <c r="F212" s="44" t="n"/>
      <c r="G212" s="45">
        <f>IF(H212="","",F212-H212)</f>
        <v/>
      </c>
      <c r="H212" s="45">
        <f>IF(OR($F212="",$E212=""),"",IF($E212="10 %",ROUND($F212*TasaGeneral/(1+TasaGeneral),Decimales),IF($E212="5 %",ROUND($F212*TasaReducida/(1+TasaReducida),Decimales),0)))</f>
        <v/>
      </c>
    </row>
    <row r="213">
      <c r="B213" s="41" t="n"/>
      <c r="C213" s="42" t="n"/>
      <c r="D213" s="43" t="n"/>
      <c r="E213" s="42" t="n"/>
      <c r="F213" s="44" t="n"/>
      <c r="G213" s="45">
        <f>IF(H213="","",F213-H213)</f>
        <v/>
      </c>
      <c r="H213" s="45">
        <f>IF(OR($F213="",$E213=""),"",IF($E213="10 %",ROUND($F213*TasaGeneral/(1+TasaGeneral),Decimales),IF($E213="5 %",ROUND($F213*TasaReducida/(1+TasaReducida),Decimales),0)))</f>
        <v/>
      </c>
    </row>
    <row r="214">
      <c r="B214" s="41" t="n"/>
      <c r="C214" s="42" t="n"/>
      <c r="D214" s="43" t="n"/>
      <c r="E214" s="42" t="n"/>
      <c r="F214" s="44" t="n"/>
      <c r="G214" s="45">
        <f>IF(H214="","",F214-H214)</f>
        <v/>
      </c>
      <c r="H214" s="45">
        <f>IF(OR($F214="",$E214=""),"",IF($E214="10 %",ROUND($F214*TasaGeneral/(1+TasaGeneral),Decimales),IF($E214="5 %",ROUND($F214*TasaReducida/(1+TasaReducida),Decimales),0)))</f>
        <v/>
      </c>
    </row>
    <row r="215">
      <c r="B215" s="41" t="n"/>
      <c r="C215" s="42" t="n"/>
      <c r="D215" s="43" t="n"/>
      <c r="E215" s="42" t="n"/>
      <c r="F215" s="44" t="n"/>
      <c r="G215" s="45">
        <f>IF(H215="","",F215-H215)</f>
        <v/>
      </c>
      <c r="H215" s="45">
        <f>IF(OR($F215="",$E215=""),"",IF($E215="10 %",ROUND($F215*TasaGeneral/(1+TasaGeneral),Decimales),IF($E215="5 %",ROUND($F215*TasaReducida/(1+TasaReducida),Decimales),0)))</f>
        <v/>
      </c>
    </row>
    <row r="216">
      <c r="B216" s="41" t="n"/>
      <c r="C216" s="42" t="n"/>
      <c r="D216" s="43" t="n"/>
      <c r="E216" s="42" t="n"/>
      <c r="F216" s="44" t="n"/>
      <c r="G216" s="45">
        <f>IF(H216="","",F216-H216)</f>
        <v/>
      </c>
      <c r="H216" s="45">
        <f>IF(OR($F216="",$E216=""),"",IF($E216="10 %",ROUND($F216*TasaGeneral/(1+TasaGeneral),Decimales),IF($E216="5 %",ROUND($F216*TasaReducida/(1+TasaReducida),Decimales),0)))</f>
        <v/>
      </c>
    </row>
    <row r="217">
      <c r="B217" s="41" t="n"/>
      <c r="C217" s="42" t="n"/>
      <c r="D217" s="43" t="n"/>
      <c r="E217" s="42" t="n"/>
      <c r="F217" s="44" t="n"/>
      <c r="G217" s="45">
        <f>IF(H217="","",F217-H217)</f>
        <v/>
      </c>
      <c r="H217" s="45">
        <f>IF(OR($F217="",$E217=""),"",IF($E217="10 %",ROUND($F217*TasaGeneral/(1+TasaGeneral),Decimales),IF($E217="5 %",ROUND($F217*TasaReducida/(1+TasaReducida),Decimales),0)))</f>
        <v/>
      </c>
    </row>
    <row r="218">
      <c r="B218" s="41" t="n"/>
      <c r="C218" s="42" t="n"/>
      <c r="D218" s="43" t="n"/>
      <c r="E218" s="42" t="n"/>
      <c r="F218" s="44" t="n"/>
      <c r="G218" s="45">
        <f>IF(H218="","",F218-H218)</f>
        <v/>
      </c>
      <c r="H218" s="45">
        <f>IF(OR($F218="",$E218=""),"",IF($E218="10 %",ROUND($F218*TasaGeneral/(1+TasaGeneral),Decimales),IF($E218="5 %",ROUND($F218*TasaReducida/(1+TasaReducida),Decimales),0)))</f>
        <v/>
      </c>
    </row>
    <row r="219">
      <c r="B219" s="41" t="n"/>
      <c r="C219" s="42" t="n"/>
      <c r="D219" s="43" t="n"/>
      <c r="E219" s="42" t="n"/>
      <c r="F219" s="44" t="n"/>
      <c r="G219" s="45">
        <f>IF(H219="","",F219-H219)</f>
        <v/>
      </c>
      <c r="H219" s="45">
        <f>IF(OR($F219="",$E219=""),"",IF($E219="10 %",ROUND($F219*TasaGeneral/(1+TasaGeneral),Decimales),IF($E219="5 %",ROUND($F219*TasaReducida/(1+TasaReducida),Decimales),0)))</f>
        <v/>
      </c>
    </row>
    <row r="220">
      <c r="B220" s="41" t="n"/>
      <c r="C220" s="42" t="n"/>
      <c r="D220" s="43" t="n"/>
      <c r="E220" s="42" t="n"/>
      <c r="F220" s="44" t="n"/>
      <c r="G220" s="45">
        <f>IF(H220="","",F220-H220)</f>
        <v/>
      </c>
      <c r="H220" s="45">
        <f>IF(OR($F220="",$E220=""),"",IF($E220="10 %",ROUND($F220*TasaGeneral/(1+TasaGeneral),Decimales),IF($E220="5 %",ROUND($F220*TasaReducida/(1+TasaReducida),Decimales),0)))</f>
        <v/>
      </c>
    </row>
    <row r="221">
      <c r="B221" s="41" t="n"/>
      <c r="C221" s="42" t="n"/>
      <c r="D221" s="43" t="n"/>
      <c r="E221" s="42" t="n"/>
      <c r="F221" s="44" t="n"/>
      <c r="G221" s="45">
        <f>IF(H221="","",F221-H221)</f>
        <v/>
      </c>
      <c r="H221" s="45">
        <f>IF(OR($F221="",$E221=""),"",IF($E221="10 %",ROUND($F221*TasaGeneral/(1+TasaGeneral),Decimales),IF($E221="5 %",ROUND($F221*TasaReducida/(1+TasaReducida),Decimales),0)))</f>
        <v/>
      </c>
    </row>
    <row r="222">
      <c r="B222" s="41" t="n"/>
      <c r="C222" s="42" t="n"/>
      <c r="D222" s="43" t="n"/>
      <c r="E222" s="42" t="n"/>
      <c r="F222" s="44" t="n"/>
      <c r="G222" s="45">
        <f>IF(H222="","",F222-H222)</f>
        <v/>
      </c>
      <c r="H222" s="45">
        <f>IF(OR($F222="",$E222=""),"",IF($E222="10 %",ROUND($F222*TasaGeneral/(1+TasaGeneral),Decimales),IF($E222="5 %",ROUND($F222*TasaReducida/(1+TasaReducida),Decimales),0)))</f>
        <v/>
      </c>
    </row>
    <row r="223">
      <c r="B223" s="41" t="n"/>
      <c r="C223" s="42" t="n"/>
      <c r="D223" s="43" t="n"/>
      <c r="E223" s="42" t="n"/>
      <c r="F223" s="44" t="n"/>
      <c r="G223" s="45">
        <f>IF(H223="","",F223-H223)</f>
        <v/>
      </c>
      <c r="H223" s="45">
        <f>IF(OR($F223="",$E223=""),"",IF($E223="10 %",ROUND($F223*TasaGeneral/(1+TasaGeneral),Decimales),IF($E223="5 %",ROUND($F223*TasaReducida/(1+TasaReducida),Decimales),0)))</f>
        <v/>
      </c>
    </row>
    <row r="224">
      <c r="B224" s="41" t="n"/>
      <c r="C224" s="42" t="n"/>
      <c r="D224" s="43" t="n"/>
      <c r="E224" s="42" t="n"/>
      <c r="F224" s="44" t="n"/>
      <c r="G224" s="45">
        <f>IF(H224="","",F224-H224)</f>
        <v/>
      </c>
      <c r="H224" s="45">
        <f>IF(OR($F224="",$E224=""),"",IF($E224="10 %",ROUND($F224*TasaGeneral/(1+TasaGeneral),Decimales),IF($E224="5 %",ROUND($F224*TasaReducida/(1+TasaReducida),Decimales),0)))</f>
        <v/>
      </c>
    </row>
    <row r="225">
      <c r="B225" s="41" t="n"/>
      <c r="C225" s="42" t="n"/>
      <c r="D225" s="43" t="n"/>
      <c r="E225" s="42" t="n"/>
      <c r="F225" s="44" t="n"/>
      <c r="G225" s="45">
        <f>IF(H225="","",F225-H225)</f>
        <v/>
      </c>
      <c r="H225" s="45">
        <f>IF(OR($F225="",$E225=""),"",IF($E225="10 %",ROUND($F225*TasaGeneral/(1+TasaGeneral),Decimales),IF($E225="5 %",ROUND($F225*TasaReducida/(1+TasaReducida),Decimales),0)))</f>
        <v/>
      </c>
    </row>
    <row r="226">
      <c r="B226" s="41" t="n"/>
      <c r="C226" s="42" t="n"/>
      <c r="D226" s="43" t="n"/>
      <c r="E226" s="42" t="n"/>
      <c r="F226" s="44" t="n"/>
      <c r="G226" s="45">
        <f>IF(H226="","",F226-H226)</f>
        <v/>
      </c>
      <c r="H226" s="45">
        <f>IF(OR($F226="",$E226=""),"",IF($E226="10 %",ROUND($F226*TasaGeneral/(1+TasaGeneral),Decimales),IF($E226="5 %",ROUND($F226*TasaReducida/(1+TasaReducida),Decimales),0)))</f>
        <v/>
      </c>
    </row>
    <row r="227">
      <c r="B227" s="41" t="n"/>
      <c r="C227" s="42" t="n"/>
      <c r="D227" s="43" t="n"/>
      <c r="E227" s="42" t="n"/>
      <c r="F227" s="44" t="n"/>
      <c r="G227" s="45">
        <f>IF(H227="","",F227-H227)</f>
        <v/>
      </c>
      <c r="H227" s="45">
        <f>IF(OR($F227="",$E227=""),"",IF($E227="10 %",ROUND($F227*TasaGeneral/(1+TasaGeneral),Decimales),IF($E227="5 %",ROUND($F227*TasaReducida/(1+TasaReducida),Decimales),0)))</f>
        <v/>
      </c>
    </row>
    <row r="228">
      <c r="B228" s="41" t="n"/>
      <c r="C228" s="42" t="n"/>
      <c r="D228" s="43" t="n"/>
      <c r="E228" s="42" t="n"/>
      <c r="F228" s="44" t="n"/>
      <c r="G228" s="45">
        <f>IF(H228="","",F228-H228)</f>
        <v/>
      </c>
      <c r="H228" s="45">
        <f>IF(OR($F228="",$E228=""),"",IF($E228="10 %",ROUND($F228*TasaGeneral/(1+TasaGeneral),Decimales),IF($E228="5 %",ROUND($F228*TasaReducida/(1+TasaReducida),Decimales),0)))</f>
        <v/>
      </c>
    </row>
    <row r="229">
      <c r="B229" s="41" t="n"/>
      <c r="C229" s="42" t="n"/>
      <c r="D229" s="43" t="n"/>
      <c r="E229" s="42" t="n"/>
      <c r="F229" s="44" t="n"/>
      <c r="G229" s="45">
        <f>IF(H229="","",F229-H229)</f>
        <v/>
      </c>
      <c r="H229" s="45">
        <f>IF(OR($F229="",$E229=""),"",IF($E229="10 %",ROUND($F229*TasaGeneral/(1+TasaGeneral),Decimales),IF($E229="5 %",ROUND($F229*TasaReducida/(1+TasaReducida),Decimales),0)))</f>
        <v/>
      </c>
    </row>
    <row r="230">
      <c r="B230" s="41" t="n"/>
      <c r="C230" s="42" t="n"/>
      <c r="D230" s="43" t="n"/>
      <c r="E230" s="42" t="n"/>
      <c r="F230" s="44" t="n"/>
      <c r="G230" s="45">
        <f>IF(H230="","",F230-H230)</f>
        <v/>
      </c>
      <c r="H230" s="45">
        <f>IF(OR($F230="",$E230=""),"",IF($E230="10 %",ROUND($F230*TasaGeneral/(1+TasaGeneral),Decimales),IF($E230="5 %",ROUND($F230*TasaReducida/(1+TasaReducida),Decimales),0)))</f>
        <v/>
      </c>
    </row>
    <row r="231">
      <c r="B231" s="41" t="n"/>
      <c r="C231" s="42" t="n"/>
      <c r="D231" s="43" t="n"/>
      <c r="E231" s="42" t="n"/>
      <c r="F231" s="44" t="n"/>
      <c r="G231" s="45">
        <f>IF(H231="","",F231-H231)</f>
        <v/>
      </c>
      <c r="H231" s="45">
        <f>IF(OR($F231="",$E231=""),"",IF($E231="10 %",ROUND($F231*TasaGeneral/(1+TasaGeneral),Decimales),IF($E231="5 %",ROUND($F231*TasaReducida/(1+TasaReducida),Decimales),0)))</f>
        <v/>
      </c>
    </row>
    <row r="232">
      <c r="B232" s="41" t="n"/>
      <c r="C232" s="42" t="n"/>
      <c r="D232" s="43" t="n"/>
      <c r="E232" s="42" t="n"/>
      <c r="F232" s="44" t="n"/>
      <c r="G232" s="45">
        <f>IF(H232="","",F232-H232)</f>
        <v/>
      </c>
      <c r="H232" s="45">
        <f>IF(OR($F232="",$E232=""),"",IF($E232="10 %",ROUND($F232*TasaGeneral/(1+TasaGeneral),Decimales),IF($E232="5 %",ROUND($F232*TasaReducida/(1+TasaReducida),Decimales),0)))</f>
        <v/>
      </c>
    </row>
    <row r="233">
      <c r="B233" s="41" t="n"/>
      <c r="C233" s="42" t="n"/>
      <c r="D233" s="43" t="n"/>
      <c r="E233" s="42" t="n"/>
      <c r="F233" s="44" t="n"/>
      <c r="G233" s="45">
        <f>IF(H233="","",F233-H233)</f>
        <v/>
      </c>
      <c r="H233" s="45">
        <f>IF(OR($F233="",$E233=""),"",IF($E233="10 %",ROUND($F233*TasaGeneral/(1+TasaGeneral),Decimales),IF($E233="5 %",ROUND($F233*TasaReducida/(1+TasaReducida),Decimales),0)))</f>
        <v/>
      </c>
    </row>
    <row r="234">
      <c r="B234" s="41" t="n"/>
      <c r="C234" s="42" t="n"/>
      <c r="D234" s="43" t="n"/>
      <c r="E234" s="42" t="n"/>
      <c r="F234" s="44" t="n"/>
      <c r="G234" s="45">
        <f>IF(H234="","",F234-H234)</f>
        <v/>
      </c>
      <c r="H234" s="45">
        <f>IF(OR($F234="",$E234=""),"",IF($E234="10 %",ROUND($F234*TasaGeneral/(1+TasaGeneral),Decimales),IF($E234="5 %",ROUND($F234*TasaReducida/(1+TasaReducida),Decimales),0)))</f>
        <v/>
      </c>
    </row>
    <row r="235">
      <c r="B235" s="41" t="n"/>
      <c r="C235" s="42" t="n"/>
      <c r="D235" s="43" t="n"/>
      <c r="E235" s="42" t="n"/>
      <c r="F235" s="44" t="n"/>
      <c r="G235" s="45">
        <f>IF(H235="","",F235-H235)</f>
        <v/>
      </c>
      <c r="H235" s="45">
        <f>IF(OR($F235="",$E235=""),"",IF($E235="10 %",ROUND($F235*TasaGeneral/(1+TasaGeneral),Decimales),IF($E235="5 %",ROUND($F235*TasaReducida/(1+TasaReducida),Decimales),0)))</f>
        <v/>
      </c>
    </row>
    <row r="236">
      <c r="B236" s="41" t="n"/>
      <c r="C236" s="42" t="n"/>
      <c r="D236" s="43" t="n"/>
      <c r="E236" s="42" t="n"/>
      <c r="F236" s="44" t="n"/>
      <c r="G236" s="45">
        <f>IF(H236="","",F236-H236)</f>
        <v/>
      </c>
      <c r="H236" s="45">
        <f>IF(OR($F236="",$E236=""),"",IF($E236="10 %",ROUND($F236*TasaGeneral/(1+TasaGeneral),Decimales),IF($E236="5 %",ROUND($F236*TasaReducida/(1+TasaReducida),Decimales),0)))</f>
        <v/>
      </c>
    </row>
    <row r="237">
      <c r="B237" s="41" t="n"/>
      <c r="C237" s="42" t="n"/>
      <c r="D237" s="43" t="n"/>
      <c r="E237" s="42" t="n"/>
      <c r="F237" s="44" t="n"/>
      <c r="G237" s="45">
        <f>IF(H237="","",F237-H237)</f>
        <v/>
      </c>
      <c r="H237" s="45">
        <f>IF(OR($F237="",$E237=""),"",IF($E237="10 %",ROUND($F237*TasaGeneral/(1+TasaGeneral),Decimales),IF($E237="5 %",ROUND($F237*TasaReducida/(1+TasaReducida),Decimales),0)))</f>
        <v/>
      </c>
    </row>
    <row r="238">
      <c r="B238" s="41" t="n"/>
      <c r="C238" s="42" t="n"/>
      <c r="D238" s="43" t="n"/>
      <c r="E238" s="42" t="n"/>
      <c r="F238" s="44" t="n"/>
      <c r="G238" s="45">
        <f>IF(H238="","",F238-H238)</f>
        <v/>
      </c>
      <c r="H238" s="45">
        <f>IF(OR($F238="",$E238=""),"",IF($E238="10 %",ROUND($F238*TasaGeneral/(1+TasaGeneral),Decimales),IF($E238="5 %",ROUND($F238*TasaReducida/(1+TasaReducida),Decimales),0)))</f>
        <v/>
      </c>
    </row>
    <row r="239">
      <c r="B239" s="41" t="n"/>
      <c r="C239" s="42" t="n"/>
      <c r="D239" s="43" t="n"/>
      <c r="E239" s="42" t="n"/>
      <c r="F239" s="44" t="n"/>
      <c r="G239" s="45">
        <f>IF(H239="","",F239-H239)</f>
        <v/>
      </c>
      <c r="H239" s="45">
        <f>IF(OR($F239="",$E239=""),"",IF($E239="10 %",ROUND($F239*TasaGeneral/(1+TasaGeneral),Decimales),IF($E239="5 %",ROUND($F239*TasaReducida/(1+TasaReducida),Decimales),0)))</f>
        <v/>
      </c>
    </row>
    <row r="240">
      <c r="B240" s="41" t="n"/>
      <c r="C240" s="42" t="n"/>
      <c r="D240" s="43" t="n"/>
      <c r="E240" s="42" t="n"/>
      <c r="F240" s="44" t="n"/>
      <c r="G240" s="45">
        <f>IF(H240="","",F240-H240)</f>
        <v/>
      </c>
      <c r="H240" s="45">
        <f>IF(OR($F240="",$E240=""),"",IF($E240="10 %",ROUND($F240*TasaGeneral/(1+TasaGeneral),Decimales),IF($E240="5 %",ROUND($F240*TasaReducida/(1+TasaReducida),Decimales),0)))</f>
        <v/>
      </c>
    </row>
    <row r="241">
      <c r="B241" s="41" t="n"/>
      <c r="C241" s="42" t="n"/>
      <c r="D241" s="43" t="n"/>
      <c r="E241" s="42" t="n"/>
      <c r="F241" s="44" t="n"/>
      <c r="G241" s="45">
        <f>IF(H241="","",F241-H241)</f>
        <v/>
      </c>
      <c r="H241" s="45">
        <f>IF(OR($F241="",$E241=""),"",IF($E241="10 %",ROUND($F241*TasaGeneral/(1+TasaGeneral),Decimales),IF($E241="5 %",ROUND($F241*TasaReducida/(1+TasaReducida),Decimales),0)))</f>
        <v/>
      </c>
    </row>
    <row r="242">
      <c r="B242" s="41" t="n"/>
      <c r="C242" s="42" t="n"/>
      <c r="D242" s="43" t="n"/>
      <c r="E242" s="42" t="n"/>
      <c r="F242" s="44" t="n"/>
      <c r="G242" s="45">
        <f>IF(H242="","",F242-H242)</f>
        <v/>
      </c>
      <c r="H242" s="45">
        <f>IF(OR($F242="",$E242=""),"",IF($E242="10 %",ROUND($F242*TasaGeneral/(1+TasaGeneral),Decimales),IF($E242="5 %",ROUND($F242*TasaReducida/(1+TasaReducida),Decimales),0)))</f>
        <v/>
      </c>
    </row>
    <row r="243">
      <c r="B243" s="41" t="n"/>
      <c r="C243" s="42" t="n"/>
      <c r="D243" s="43" t="n"/>
      <c r="E243" s="42" t="n"/>
      <c r="F243" s="44" t="n"/>
      <c r="G243" s="45">
        <f>IF(H243="","",F243-H243)</f>
        <v/>
      </c>
      <c r="H243" s="45">
        <f>IF(OR($F243="",$E243=""),"",IF($E243="10 %",ROUND($F243*TasaGeneral/(1+TasaGeneral),Decimales),IF($E243="5 %",ROUND($F243*TasaReducida/(1+TasaReducida),Decimales),0)))</f>
        <v/>
      </c>
    </row>
    <row r="244">
      <c r="B244" s="41" t="n"/>
      <c r="C244" s="42" t="n"/>
      <c r="D244" s="43" t="n"/>
      <c r="E244" s="42" t="n"/>
      <c r="F244" s="44" t="n"/>
      <c r="G244" s="45">
        <f>IF(H244="","",F244-H244)</f>
        <v/>
      </c>
      <c r="H244" s="45">
        <f>IF(OR($F244="",$E244=""),"",IF($E244="10 %",ROUND($F244*TasaGeneral/(1+TasaGeneral),Decimales),IF($E244="5 %",ROUND($F244*TasaReducida/(1+TasaReducida),Decimales),0)))</f>
        <v/>
      </c>
    </row>
    <row r="245">
      <c r="B245" s="41" t="n"/>
      <c r="C245" s="42" t="n"/>
      <c r="D245" s="43" t="n"/>
      <c r="E245" s="42" t="n"/>
      <c r="F245" s="44" t="n"/>
      <c r="G245" s="45">
        <f>IF(H245="","",F245-H245)</f>
        <v/>
      </c>
      <c r="H245" s="45">
        <f>IF(OR($F245="",$E245=""),"",IF($E245="10 %",ROUND($F245*TasaGeneral/(1+TasaGeneral),Decimales),IF($E245="5 %",ROUND($F245*TasaReducida/(1+TasaReducida),Decimales),0)))</f>
        <v/>
      </c>
    </row>
    <row r="246">
      <c r="B246" s="41" t="n"/>
      <c r="C246" s="42" t="n"/>
      <c r="D246" s="43" t="n"/>
      <c r="E246" s="42" t="n"/>
      <c r="F246" s="44" t="n"/>
      <c r="G246" s="45">
        <f>IF(H246="","",F246-H246)</f>
        <v/>
      </c>
      <c r="H246" s="45">
        <f>IF(OR($F246="",$E246=""),"",IF($E246="10 %",ROUND($F246*TasaGeneral/(1+TasaGeneral),Decimales),IF($E246="5 %",ROUND($F246*TasaReducida/(1+TasaReducida),Decimales),0)))</f>
        <v/>
      </c>
    </row>
    <row r="247">
      <c r="B247" s="41" t="n"/>
      <c r="C247" s="42" t="n"/>
      <c r="D247" s="43" t="n"/>
      <c r="E247" s="42" t="n"/>
      <c r="F247" s="44" t="n"/>
      <c r="G247" s="45">
        <f>IF(H247="","",F247-H247)</f>
        <v/>
      </c>
      <c r="H247" s="45">
        <f>IF(OR($F247="",$E247=""),"",IF($E247="10 %",ROUND($F247*TasaGeneral/(1+TasaGeneral),Decimales),IF($E247="5 %",ROUND($F247*TasaReducida/(1+TasaReducida),Decimales),0)))</f>
        <v/>
      </c>
    </row>
    <row r="248">
      <c r="B248" s="41" t="n"/>
      <c r="C248" s="42" t="n"/>
      <c r="D248" s="43" t="n"/>
      <c r="E248" s="42" t="n"/>
      <c r="F248" s="44" t="n"/>
      <c r="G248" s="45">
        <f>IF(H248="","",F248-H248)</f>
        <v/>
      </c>
      <c r="H248" s="45">
        <f>IF(OR($F248="",$E248=""),"",IF($E248="10 %",ROUND($F248*TasaGeneral/(1+TasaGeneral),Decimales),IF($E248="5 %",ROUND($F248*TasaReducida/(1+TasaReducida),Decimales),0)))</f>
        <v/>
      </c>
    </row>
    <row r="249">
      <c r="B249" s="41" t="n"/>
      <c r="C249" s="42" t="n"/>
      <c r="D249" s="43" t="n"/>
      <c r="E249" s="42" t="n"/>
      <c r="F249" s="44" t="n"/>
      <c r="G249" s="45">
        <f>IF(H249="","",F249-H249)</f>
        <v/>
      </c>
      <c r="H249" s="45">
        <f>IF(OR($F249="",$E249=""),"",IF($E249="10 %",ROUND($F249*TasaGeneral/(1+TasaGeneral),Decimales),IF($E249="5 %",ROUND($F249*TasaReducida/(1+TasaReducida),Decimales),0)))</f>
        <v/>
      </c>
    </row>
    <row r="250">
      <c r="B250" s="41" t="n"/>
      <c r="C250" s="42" t="n"/>
      <c r="D250" s="43" t="n"/>
      <c r="E250" s="42" t="n"/>
      <c r="F250" s="44" t="n"/>
      <c r="G250" s="45">
        <f>IF(H250="","",F250-H250)</f>
        <v/>
      </c>
      <c r="H250" s="45">
        <f>IF(OR($F250="",$E250=""),"",IF($E250="10 %",ROUND($F250*TasaGeneral/(1+TasaGeneral),Decimales),IF($E250="5 %",ROUND($F250*TasaReducida/(1+TasaReducida),Decimales),0)))</f>
        <v/>
      </c>
    </row>
    <row r="251">
      <c r="B251" s="41" t="n"/>
      <c r="C251" s="42" t="n"/>
      <c r="D251" s="43" t="n"/>
      <c r="E251" s="42" t="n"/>
      <c r="F251" s="44" t="n"/>
      <c r="G251" s="45">
        <f>IF(H251="","",F251-H251)</f>
        <v/>
      </c>
      <c r="H251" s="45">
        <f>IF(OR($F251="",$E251=""),"",IF($E251="10 %",ROUND($F251*TasaGeneral/(1+TasaGeneral),Decimales),IF($E251="5 %",ROUND($F251*TasaReducida/(1+TasaReducida),Decimales),0)))</f>
        <v/>
      </c>
    </row>
    <row r="252">
      <c r="B252" s="41" t="n"/>
      <c r="C252" s="42" t="n"/>
      <c r="D252" s="43" t="n"/>
      <c r="E252" s="42" t="n"/>
      <c r="F252" s="44" t="n"/>
      <c r="G252" s="45">
        <f>IF(H252="","",F252-H252)</f>
        <v/>
      </c>
      <c r="H252" s="45">
        <f>IF(OR($F252="",$E252=""),"",IF($E252="10 %",ROUND($F252*TasaGeneral/(1+TasaGeneral),Decimales),IF($E252="5 %",ROUND($F252*TasaReducida/(1+TasaReducida),Decimales),0)))</f>
        <v/>
      </c>
    </row>
    <row r="253">
      <c r="B253" s="41" t="n"/>
      <c r="C253" s="42" t="n"/>
      <c r="D253" s="43" t="n"/>
      <c r="E253" s="42" t="n"/>
      <c r="F253" s="44" t="n"/>
      <c r="G253" s="45">
        <f>IF(H253="","",F253-H253)</f>
        <v/>
      </c>
      <c r="H253" s="45">
        <f>IF(OR($F253="",$E253=""),"",IF($E253="10 %",ROUND($F253*TasaGeneral/(1+TasaGeneral),Decimales),IF($E253="5 %",ROUND($F253*TasaReducida/(1+TasaReducida),Decimales),0)))</f>
        <v/>
      </c>
    </row>
    <row r="254">
      <c r="B254" s="41" t="n"/>
      <c r="C254" s="42" t="n"/>
      <c r="D254" s="43" t="n"/>
      <c r="E254" s="42" t="n"/>
      <c r="F254" s="44" t="n"/>
      <c r="G254" s="45">
        <f>IF(H254="","",F254-H254)</f>
        <v/>
      </c>
      <c r="H254" s="45">
        <f>IF(OR($F254="",$E254=""),"",IF($E254="10 %",ROUND($F254*TasaGeneral/(1+TasaGeneral),Decimales),IF($E254="5 %",ROUND($F254*TasaReducida/(1+TasaReducida),Decimales),0)))</f>
        <v/>
      </c>
    </row>
    <row r="255">
      <c r="B255" s="41" t="n"/>
      <c r="C255" s="42" t="n"/>
      <c r="D255" s="43" t="n"/>
      <c r="E255" s="42" t="n"/>
      <c r="F255" s="44" t="n"/>
      <c r="G255" s="45">
        <f>IF(H255="","",F255-H255)</f>
        <v/>
      </c>
      <c r="H255" s="45">
        <f>IF(OR($F255="",$E255=""),"",IF($E255="10 %",ROUND($F255*TasaGeneral/(1+TasaGeneral),Decimales),IF($E255="5 %",ROUND($F255*TasaReducida/(1+TasaReducida),Decimales),0)))</f>
        <v/>
      </c>
    </row>
    <row r="256">
      <c r="B256" s="41" t="n"/>
      <c r="C256" s="42" t="n"/>
      <c r="D256" s="43" t="n"/>
      <c r="E256" s="42" t="n"/>
      <c r="F256" s="44" t="n"/>
      <c r="G256" s="45">
        <f>IF(H256="","",F256-H256)</f>
        <v/>
      </c>
      <c r="H256" s="45">
        <f>IF(OR($F256="",$E256=""),"",IF($E256="10 %",ROUND($F256*TasaGeneral/(1+TasaGeneral),Decimales),IF($E256="5 %",ROUND($F256*TasaReducida/(1+TasaReducida),Decimales),0)))</f>
        <v/>
      </c>
    </row>
    <row r="257">
      <c r="B257" s="41" t="n"/>
      <c r="C257" s="42" t="n"/>
      <c r="D257" s="43" t="n"/>
      <c r="E257" s="42" t="n"/>
      <c r="F257" s="44" t="n"/>
      <c r="G257" s="45">
        <f>IF(H257="","",F257-H257)</f>
        <v/>
      </c>
      <c r="H257" s="45">
        <f>IF(OR($F257="",$E257=""),"",IF($E257="10 %",ROUND($F257*TasaGeneral/(1+TasaGeneral),Decimales),IF($E257="5 %",ROUND($F257*TasaReducida/(1+TasaReducida),Decimales),0)))</f>
        <v/>
      </c>
    </row>
    <row r="258">
      <c r="B258" s="41" t="n"/>
      <c r="C258" s="42" t="n"/>
      <c r="D258" s="43" t="n"/>
      <c r="E258" s="42" t="n"/>
      <c r="F258" s="44" t="n"/>
      <c r="G258" s="45">
        <f>IF(H258="","",F258-H258)</f>
        <v/>
      </c>
      <c r="H258" s="45">
        <f>IF(OR($F258="",$E258=""),"",IF($E258="10 %",ROUND($F258*TasaGeneral/(1+TasaGeneral),Decimales),IF($E258="5 %",ROUND($F258*TasaReducida/(1+TasaReducida),Decimales),0)))</f>
        <v/>
      </c>
    </row>
    <row r="259">
      <c r="B259" s="41" t="n"/>
      <c r="C259" s="42" t="n"/>
      <c r="D259" s="43" t="n"/>
      <c r="E259" s="42" t="n"/>
      <c r="F259" s="44" t="n"/>
      <c r="G259" s="45">
        <f>IF(H259="","",F259-H259)</f>
        <v/>
      </c>
      <c r="H259" s="45">
        <f>IF(OR($F259="",$E259=""),"",IF($E259="10 %",ROUND($F259*TasaGeneral/(1+TasaGeneral),Decimales),IF($E259="5 %",ROUND($F259*TasaReducida/(1+TasaReducida),Decimales),0)))</f>
        <v/>
      </c>
    </row>
    <row r="260">
      <c r="B260" s="41" t="n"/>
      <c r="C260" s="42" t="n"/>
      <c r="D260" s="43" t="n"/>
      <c r="E260" s="42" t="n"/>
      <c r="F260" s="44" t="n"/>
      <c r="G260" s="45">
        <f>IF(H260="","",F260-H260)</f>
        <v/>
      </c>
      <c r="H260" s="45">
        <f>IF(OR($F260="",$E260=""),"",IF($E260="10 %",ROUND($F260*TasaGeneral/(1+TasaGeneral),Decimales),IF($E260="5 %",ROUND($F260*TasaReducida/(1+TasaReducida),Decimales),0)))</f>
        <v/>
      </c>
    </row>
    <row r="261">
      <c r="B261" s="41" t="n"/>
      <c r="C261" s="42" t="n"/>
      <c r="D261" s="43" t="n"/>
      <c r="E261" s="42" t="n"/>
      <c r="F261" s="44" t="n"/>
      <c r="G261" s="45">
        <f>IF(H261="","",F261-H261)</f>
        <v/>
      </c>
      <c r="H261" s="45">
        <f>IF(OR($F261="",$E261=""),"",IF($E261="10 %",ROUND($F261*TasaGeneral/(1+TasaGeneral),Decimales),IF($E261="5 %",ROUND($F261*TasaReducida/(1+TasaReducida),Decimales),0)))</f>
        <v/>
      </c>
    </row>
    <row r="262">
      <c r="B262" s="41" t="n"/>
      <c r="C262" s="42" t="n"/>
      <c r="D262" s="43" t="n"/>
      <c r="E262" s="42" t="n"/>
      <c r="F262" s="44" t="n"/>
      <c r="G262" s="45">
        <f>IF(H262="","",F262-H262)</f>
        <v/>
      </c>
      <c r="H262" s="45">
        <f>IF(OR($F262="",$E262=""),"",IF($E262="10 %",ROUND($F262*TasaGeneral/(1+TasaGeneral),Decimales),IF($E262="5 %",ROUND($F262*TasaReducida/(1+TasaReducida),Decimales),0)))</f>
        <v/>
      </c>
    </row>
    <row r="263">
      <c r="B263" s="41" t="n"/>
      <c r="C263" s="42" t="n"/>
      <c r="D263" s="43" t="n"/>
      <c r="E263" s="42" t="n"/>
      <c r="F263" s="44" t="n"/>
      <c r="G263" s="45">
        <f>IF(H263="","",F263-H263)</f>
        <v/>
      </c>
      <c r="H263" s="45">
        <f>IF(OR($F263="",$E263=""),"",IF($E263="10 %",ROUND($F263*TasaGeneral/(1+TasaGeneral),Decimales),IF($E263="5 %",ROUND($F263*TasaReducida/(1+TasaReducida),Decimales),0)))</f>
        <v/>
      </c>
    </row>
    <row r="264">
      <c r="B264" s="41" t="n"/>
      <c r="C264" s="42" t="n"/>
      <c r="D264" s="43" t="n"/>
      <c r="E264" s="42" t="n"/>
      <c r="F264" s="44" t="n"/>
      <c r="G264" s="45">
        <f>IF(H264="","",F264-H264)</f>
        <v/>
      </c>
      <c r="H264" s="45">
        <f>IF(OR($F264="",$E264=""),"",IF($E264="10 %",ROUND($F264*TasaGeneral/(1+TasaGeneral),Decimales),IF($E264="5 %",ROUND($F264*TasaReducida/(1+TasaReducida),Decimales),0)))</f>
        <v/>
      </c>
    </row>
    <row r="265">
      <c r="B265" s="41" t="n"/>
      <c r="C265" s="42" t="n"/>
      <c r="D265" s="43" t="n"/>
      <c r="E265" s="42" t="n"/>
      <c r="F265" s="44" t="n"/>
      <c r="G265" s="45">
        <f>IF(H265="","",F265-H265)</f>
        <v/>
      </c>
      <c r="H265" s="45">
        <f>IF(OR($F265="",$E265=""),"",IF($E265="10 %",ROUND($F265*TasaGeneral/(1+TasaGeneral),Decimales),IF($E265="5 %",ROUND($F265*TasaReducida/(1+TasaReducida),Decimales),0)))</f>
        <v/>
      </c>
    </row>
    <row r="266">
      <c r="B266" s="41" t="n"/>
      <c r="C266" s="42" t="n"/>
      <c r="D266" s="43" t="n"/>
      <c r="E266" s="42" t="n"/>
      <c r="F266" s="44" t="n"/>
      <c r="G266" s="45">
        <f>IF(H266="","",F266-H266)</f>
        <v/>
      </c>
      <c r="H266" s="45">
        <f>IF(OR($F266="",$E266=""),"",IF($E266="10 %",ROUND($F266*TasaGeneral/(1+TasaGeneral),Decimales),IF($E266="5 %",ROUND($F266*TasaReducida/(1+TasaReducida),Decimales),0)))</f>
        <v/>
      </c>
    </row>
    <row r="267">
      <c r="B267" s="41" t="n"/>
      <c r="C267" s="42" t="n"/>
      <c r="D267" s="43" t="n"/>
      <c r="E267" s="42" t="n"/>
      <c r="F267" s="44" t="n"/>
      <c r="G267" s="45">
        <f>IF(H267="","",F267-H267)</f>
        <v/>
      </c>
      <c r="H267" s="45">
        <f>IF(OR($F267="",$E267=""),"",IF($E267="10 %",ROUND($F267*TasaGeneral/(1+TasaGeneral),Decimales),IF($E267="5 %",ROUND($F267*TasaReducida/(1+TasaReducida),Decimales),0)))</f>
        <v/>
      </c>
    </row>
    <row r="268">
      <c r="B268" s="41" t="n"/>
      <c r="C268" s="42" t="n"/>
      <c r="D268" s="43" t="n"/>
      <c r="E268" s="42" t="n"/>
      <c r="F268" s="44" t="n"/>
      <c r="G268" s="45">
        <f>IF(H268="","",F268-H268)</f>
        <v/>
      </c>
      <c r="H268" s="45">
        <f>IF(OR($F268="",$E268=""),"",IF($E268="10 %",ROUND($F268*TasaGeneral/(1+TasaGeneral),Decimales),IF($E268="5 %",ROUND($F268*TasaReducida/(1+TasaReducida),Decimales),0)))</f>
        <v/>
      </c>
    </row>
    <row r="269">
      <c r="B269" s="41" t="n"/>
      <c r="C269" s="42" t="n"/>
      <c r="D269" s="43" t="n"/>
      <c r="E269" s="42" t="n"/>
      <c r="F269" s="44" t="n"/>
      <c r="G269" s="45">
        <f>IF(H269="","",F269-H269)</f>
        <v/>
      </c>
      <c r="H269" s="45">
        <f>IF(OR($F269="",$E269=""),"",IF($E269="10 %",ROUND($F269*TasaGeneral/(1+TasaGeneral),Decimales),IF($E269="5 %",ROUND($F269*TasaReducida/(1+TasaReducida),Decimales),0)))</f>
        <v/>
      </c>
    </row>
    <row r="270">
      <c r="B270" s="41" t="n"/>
      <c r="C270" s="42" t="n"/>
      <c r="D270" s="43" t="n"/>
      <c r="E270" s="42" t="n"/>
      <c r="F270" s="44" t="n"/>
      <c r="G270" s="45">
        <f>IF(H270="","",F270-H270)</f>
        <v/>
      </c>
      <c r="H270" s="45">
        <f>IF(OR($F270="",$E270=""),"",IF($E270="10 %",ROUND($F270*TasaGeneral/(1+TasaGeneral),Decimales),IF($E270="5 %",ROUND($F270*TasaReducida/(1+TasaReducida),Decimales),0)))</f>
        <v/>
      </c>
    </row>
    <row r="271">
      <c r="B271" s="41" t="n"/>
      <c r="C271" s="42" t="n"/>
      <c r="D271" s="43" t="n"/>
      <c r="E271" s="42" t="n"/>
      <c r="F271" s="44" t="n"/>
      <c r="G271" s="45">
        <f>IF(H271="","",F271-H271)</f>
        <v/>
      </c>
      <c r="H271" s="45">
        <f>IF(OR($F271="",$E271=""),"",IF($E271="10 %",ROUND($F271*TasaGeneral/(1+TasaGeneral),Decimales),IF($E271="5 %",ROUND($F271*TasaReducida/(1+TasaReducida),Decimales),0)))</f>
        <v/>
      </c>
    </row>
    <row r="272">
      <c r="B272" s="41" t="n"/>
      <c r="C272" s="42" t="n"/>
      <c r="D272" s="43" t="n"/>
      <c r="E272" s="42" t="n"/>
      <c r="F272" s="44" t="n"/>
      <c r="G272" s="45">
        <f>IF(H272="","",F272-H272)</f>
        <v/>
      </c>
      <c r="H272" s="45">
        <f>IF(OR($F272="",$E272=""),"",IF($E272="10 %",ROUND($F272*TasaGeneral/(1+TasaGeneral),Decimales),IF($E272="5 %",ROUND($F272*TasaReducida/(1+TasaReducida),Decimales),0)))</f>
        <v/>
      </c>
    </row>
    <row r="273">
      <c r="B273" s="41" t="n"/>
      <c r="C273" s="42" t="n"/>
      <c r="D273" s="43" t="n"/>
      <c r="E273" s="42" t="n"/>
      <c r="F273" s="44" t="n"/>
      <c r="G273" s="45">
        <f>IF(H273="","",F273-H273)</f>
        <v/>
      </c>
      <c r="H273" s="45">
        <f>IF(OR($F273="",$E273=""),"",IF($E273="10 %",ROUND($F273*TasaGeneral/(1+TasaGeneral),Decimales),IF($E273="5 %",ROUND($F273*TasaReducida/(1+TasaReducida),Decimales),0)))</f>
        <v/>
      </c>
    </row>
    <row r="274">
      <c r="B274" s="41" t="n"/>
      <c r="C274" s="42" t="n"/>
      <c r="D274" s="43" t="n"/>
      <c r="E274" s="42" t="n"/>
      <c r="F274" s="44" t="n"/>
      <c r="G274" s="45">
        <f>IF(H274="","",F274-H274)</f>
        <v/>
      </c>
      <c r="H274" s="45">
        <f>IF(OR($F274="",$E274=""),"",IF($E274="10 %",ROUND($F274*TasaGeneral/(1+TasaGeneral),Decimales),IF($E274="5 %",ROUND($F274*TasaReducida/(1+TasaReducida),Decimales),0)))</f>
        <v/>
      </c>
    </row>
    <row r="275">
      <c r="B275" s="41" t="n"/>
      <c r="C275" s="42" t="n"/>
      <c r="D275" s="43" t="n"/>
      <c r="E275" s="42" t="n"/>
      <c r="F275" s="44" t="n"/>
      <c r="G275" s="45">
        <f>IF(H275="","",F275-H275)</f>
        <v/>
      </c>
      <c r="H275" s="45">
        <f>IF(OR($F275="",$E275=""),"",IF($E275="10 %",ROUND($F275*TasaGeneral/(1+TasaGeneral),Decimales),IF($E275="5 %",ROUND($F275*TasaReducida/(1+TasaReducida),Decimales),0)))</f>
        <v/>
      </c>
    </row>
    <row r="276">
      <c r="B276" s="41" t="n"/>
      <c r="C276" s="42" t="n"/>
      <c r="D276" s="43" t="n"/>
      <c r="E276" s="42" t="n"/>
      <c r="F276" s="44" t="n"/>
      <c r="G276" s="45">
        <f>IF(H276="","",F276-H276)</f>
        <v/>
      </c>
      <c r="H276" s="45">
        <f>IF(OR($F276="",$E276=""),"",IF($E276="10 %",ROUND($F276*TasaGeneral/(1+TasaGeneral),Decimales),IF($E276="5 %",ROUND($F276*TasaReducida/(1+TasaReducida),Decimales),0)))</f>
        <v/>
      </c>
    </row>
    <row r="277">
      <c r="B277" s="41" t="n"/>
      <c r="C277" s="42" t="n"/>
      <c r="D277" s="43" t="n"/>
      <c r="E277" s="42" t="n"/>
      <c r="F277" s="44" t="n"/>
      <c r="G277" s="45">
        <f>IF(H277="","",F277-H277)</f>
        <v/>
      </c>
      <c r="H277" s="45">
        <f>IF(OR($F277="",$E277=""),"",IF($E277="10 %",ROUND($F277*TasaGeneral/(1+TasaGeneral),Decimales),IF($E277="5 %",ROUND($F277*TasaReducida/(1+TasaReducida),Decimales),0)))</f>
        <v/>
      </c>
    </row>
    <row r="278">
      <c r="B278" s="41" t="n"/>
      <c r="C278" s="42" t="n"/>
      <c r="D278" s="43" t="n"/>
      <c r="E278" s="42" t="n"/>
      <c r="F278" s="44" t="n"/>
      <c r="G278" s="45">
        <f>IF(H278="","",F278-H278)</f>
        <v/>
      </c>
      <c r="H278" s="45">
        <f>IF(OR($F278="",$E278=""),"",IF($E278="10 %",ROUND($F278*TasaGeneral/(1+TasaGeneral),Decimales),IF($E278="5 %",ROUND($F278*TasaReducida/(1+TasaReducida),Decimales),0)))</f>
        <v/>
      </c>
    </row>
    <row r="279">
      <c r="B279" s="41" t="n"/>
      <c r="C279" s="42" t="n"/>
      <c r="D279" s="43" t="n"/>
      <c r="E279" s="42" t="n"/>
      <c r="F279" s="44" t="n"/>
      <c r="G279" s="45">
        <f>IF(H279="","",F279-H279)</f>
        <v/>
      </c>
      <c r="H279" s="45">
        <f>IF(OR($F279="",$E279=""),"",IF($E279="10 %",ROUND($F279*TasaGeneral/(1+TasaGeneral),Decimales),IF($E279="5 %",ROUND($F279*TasaReducida/(1+TasaReducida),Decimales),0)))</f>
        <v/>
      </c>
    </row>
    <row r="280">
      <c r="B280" s="41" t="n"/>
      <c r="C280" s="42" t="n"/>
      <c r="D280" s="43" t="n"/>
      <c r="E280" s="42" t="n"/>
      <c r="F280" s="44" t="n"/>
      <c r="G280" s="45">
        <f>IF(H280="","",F280-H280)</f>
        <v/>
      </c>
      <c r="H280" s="45">
        <f>IF(OR($F280="",$E280=""),"",IF($E280="10 %",ROUND($F280*TasaGeneral/(1+TasaGeneral),Decimales),IF($E280="5 %",ROUND($F280*TasaReducida/(1+TasaReducida),Decimales),0)))</f>
        <v/>
      </c>
    </row>
    <row r="281">
      <c r="B281" s="41" t="n"/>
      <c r="C281" s="42" t="n"/>
      <c r="D281" s="43" t="n"/>
      <c r="E281" s="42" t="n"/>
      <c r="F281" s="44" t="n"/>
      <c r="G281" s="45">
        <f>IF(H281="","",F281-H281)</f>
        <v/>
      </c>
      <c r="H281" s="45">
        <f>IF(OR($F281="",$E281=""),"",IF($E281="10 %",ROUND($F281*TasaGeneral/(1+TasaGeneral),Decimales),IF($E281="5 %",ROUND($F281*TasaReducida/(1+TasaReducida),Decimales),0)))</f>
        <v/>
      </c>
    </row>
    <row r="282">
      <c r="B282" s="41" t="n"/>
      <c r="C282" s="42" t="n"/>
      <c r="D282" s="43" t="n"/>
      <c r="E282" s="42" t="n"/>
      <c r="F282" s="44" t="n"/>
      <c r="G282" s="45">
        <f>IF(H282="","",F282-H282)</f>
        <v/>
      </c>
      <c r="H282" s="45">
        <f>IF(OR($F282="",$E282=""),"",IF($E282="10 %",ROUND($F282*TasaGeneral/(1+TasaGeneral),Decimales),IF($E282="5 %",ROUND($F282*TasaReducida/(1+TasaReducida),Decimales),0)))</f>
        <v/>
      </c>
    </row>
    <row r="283">
      <c r="B283" s="41" t="n"/>
      <c r="C283" s="42" t="n"/>
      <c r="D283" s="43" t="n"/>
      <c r="E283" s="42" t="n"/>
      <c r="F283" s="44" t="n"/>
      <c r="G283" s="45">
        <f>IF(H283="","",F283-H283)</f>
        <v/>
      </c>
      <c r="H283" s="45">
        <f>IF(OR($F283="",$E283=""),"",IF($E283="10 %",ROUND($F283*TasaGeneral/(1+TasaGeneral),Decimales),IF($E283="5 %",ROUND($F283*TasaReducida/(1+TasaReducida),Decimales),0)))</f>
        <v/>
      </c>
    </row>
    <row r="284">
      <c r="B284" s="41" t="n"/>
      <c r="C284" s="42" t="n"/>
      <c r="D284" s="43" t="n"/>
      <c r="E284" s="42" t="n"/>
      <c r="F284" s="44" t="n"/>
      <c r="G284" s="45">
        <f>IF(H284="","",F284-H284)</f>
        <v/>
      </c>
      <c r="H284" s="45">
        <f>IF(OR($F284="",$E284=""),"",IF($E284="10 %",ROUND($F284*TasaGeneral/(1+TasaGeneral),Decimales),IF($E284="5 %",ROUND($F284*TasaReducida/(1+TasaReducida),Decimales),0)))</f>
        <v/>
      </c>
    </row>
    <row r="285">
      <c r="B285" s="41" t="n"/>
      <c r="C285" s="42" t="n"/>
      <c r="D285" s="43" t="n"/>
      <c r="E285" s="42" t="n"/>
      <c r="F285" s="44" t="n"/>
      <c r="G285" s="45">
        <f>IF(H285="","",F285-H285)</f>
        <v/>
      </c>
      <c r="H285" s="45">
        <f>IF(OR($F285="",$E285=""),"",IF($E285="10 %",ROUND($F285*TasaGeneral/(1+TasaGeneral),Decimales),IF($E285="5 %",ROUND($F285*TasaReducida/(1+TasaReducida),Decimales),0)))</f>
        <v/>
      </c>
    </row>
    <row r="286">
      <c r="B286" s="41" t="n"/>
      <c r="C286" s="42" t="n"/>
      <c r="D286" s="43" t="n"/>
      <c r="E286" s="42" t="n"/>
      <c r="F286" s="44" t="n"/>
      <c r="G286" s="45">
        <f>IF(H286="","",F286-H286)</f>
        <v/>
      </c>
      <c r="H286" s="45">
        <f>IF(OR($F286="",$E286=""),"",IF($E286="10 %",ROUND($F286*TasaGeneral/(1+TasaGeneral),Decimales),IF($E286="5 %",ROUND($F286*TasaReducida/(1+TasaReducida),Decimales),0)))</f>
        <v/>
      </c>
    </row>
    <row r="287">
      <c r="B287" s="41" t="n"/>
      <c r="C287" s="42" t="n"/>
      <c r="D287" s="43" t="n"/>
      <c r="E287" s="42" t="n"/>
      <c r="F287" s="44" t="n"/>
      <c r="G287" s="45">
        <f>IF(H287="","",F287-H287)</f>
        <v/>
      </c>
      <c r="H287" s="45">
        <f>IF(OR($F287="",$E287=""),"",IF($E287="10 %",ROUND($F287*TasaGeneral/(1+TasaGeneral),Decimales),IF($E287="5 %",ROUND($F287*TasaReducida/(1+TasaReducida),Decimales),0)))</f>
        <v/>
      </c>
    </row>
    <row r="288">
      <c r="B288" s="41" t="n"/>
      <c r="C288" s="42" t="n"/>
      <c r="D288" s="43" t="n"/>
      <c r="E288" s="42" t="n"/>
      <c r="F288" s="44" t="n"/>
      <c r="G288" s="45">
        <f>IF(H288="","",F288-H288)</f>
        <v/>
      </c>
      <c r="H288" s="45">
        <f>IF(OR($F288="",$E288=""),"",IF($E288="10 %",ROUND($F288*TasaGeneral/(1+TasaGeneral),Decimales),IF($E288="5 %",ROUND($F288*TasaReducida/(1+TasaReducida),Decimales),0)))</f>
        <v/>
      </c>
    </row>
    <row r="289">
      <c r="B289" s="41" t="n"/>
      <c r="C289" s="42" t="n"/>
      <c r="D289" s="43" t="n"/>
      <c r="E289" s="42" t="n"/>
      <c r="F289" s="44" t="n"/>
      <c r="G289" s="45">
        <f>IF(H289="","",F289-H289)</f>
        <v/>
      </c>
      <c r="H289" s="45">
        <f>IF(OR($F289="",$E289=""),"",IF($E289="10 %",ROUND($F289*TasaGeneral/(1+TasaGeneral),Decimales),IF($E289="5 %",ROUND($F289*TasaReducida/(1+TasaReducida),Decimales),0)))</f>
        <v/>
      </c>
    </row>
    <row r="290">
      <c r="B290" s="41" t="n"/>
      <c r="C290" s="42" t="n"/>
      <c r="D290" s="43" t="n"/>
      <c r="E290" s="42" t="n"/>
      <c r="F290" s="44" t="n"/>
      <c r="G290" s="45">
        <f>IF(H290="","",F290-H290)</f>
        <v/>
      </c>
      <c r="H290" s="45">
        <f>IF(OR($F290="",$E290=""),"",IF($E290="10 %",ROUND($F290*TasaGeneral/(1+TasaGeneral),Decimales),IF($E290="5 %",ROUND($F290*TasaReducida/(1+TasaReducida),Decimales),0)))</f>
        <v/>
      </c>
    </row>
    <row r="291">
      <c r="B291" s="41" t="n"/>
      <c r="C291" s="42" t="n"/>
      <c r="D291" s="43" t="n"/>
      <c r="E291" s="42" t="n"/>
      <c r="F291" s="44" t="n"/>
      <c r="G291" s="45">
        <f>IF(H291="","",F291-H291)</f>
        <v/>
      </c>
      <c r="H291" s="45">
        <f>IF(OR($F291="",$E291=""),"",IF($E291="10 %",ROUND($F291*TasaGeneral/(1+TasaGeneral),Decimales),IF($E291="5 %",ROUND($F291*TasaReducida/(1+TasaReducida),Decimales),0)))</f>
        <v/>
      </c>
    </row>
    <row r="292">
      <c r="B292" s="41" t="n"/>
      <c r="C292" s="42" t="n"/>
      <c r="D292" s="43" t="n"/>
      <c r="E292" s="42" t="n"/>
      <c r="F292" s="44" t="n"/>
      <c r="G292" s="45">
        <f>IF(H292="","",F292-H292)</f>
        <v/>
      </c>
      <c r="H292" s="45">
        <f>IF(OR($F292="",$E292=""),"",IF($E292="10 %",ROUND($F292*TasaGeneral/(1+TasaGeneral),Decimales),IF($E292="5 %",ROUND($F292*TasaReducida/(1+TasaReducida),Decimales),0)))</f>
        <v/>
      </c>
    </row>
    <row r="293">
      <c r="B293" s="41" t="n"/>
      <c r="C293" s="42" t="n"/>
      <c r="D293" s="43" t="n"/>
      <c r="E293" s="42" t="n"/>
      <c r="F293" s="44" t="n"/>
      <c r="G293" s="45">
        <f>IF(H293="","",F293-H293)</f>
        <v/>
      </c>
      <c r="H293" s="45">
        <f>IF(OR($F293="",$E293=""),"",IF($E293="10 %",ROUND($F293*TasaGeneral/(1+TasaGeneral),Decimales),IF($E293="5 %",ROUND($F293*TasaReducida/(1+TasaReducida),Decimales),0)))</f>
        <v/>
      </c>
    </row>
    <row r="294">
      <c r="B294" s="41" t="n"/>
      <c r="C294" s="42" t="n"/>
      <c r="D294" s="43" t="n"/>
      <c r="E294" s="42" t="n"/>
      <c r="F294" s="44" t="n"/>
      <c r="G294" s="45">
        <f>IF(H294="","",F294-H294)</f>
        <v/>
      </c>
      <c r="H294" s="45">
        <f>IF(OR($F294="",$E294=""),"",IF($E294="10 %",ROUND($F294*TasaGeneral/(1+TasaGeneral),Decimales),IF($E294="5 %",ROUND($F294*TasaReducida/(1+TasaReducida),Decimales),0)))</f>
        <v/>
      </c>
    </row>
    <row r="295">
      <c r="B295" s="41" t="n"/>
      <c r="C295" s="42" t="n"/>
      <c r="D295" s="43" t="n"/>
      <c r="E295" s="42" t="n"/>
      <c r="F295" s="44" t="n"/>
      <c r="G295" s="45">
        <f>IF(H295="","",F295-H295)</f>
        <v/>
      </c>
      <c r="H295" s="45">
        <f>IF(OR($F295="",$E295=""),"",IF($E295="10 %",ROUND($F295*TasaGeneral/(1+TasaGeneral),Decimales),IF($E295="5 %",ROUND($F295*TasaReducida/(1+TasaReducida),Decimales),0)))</f>
        <v/>
      </c>
    </row>
    <row r="296">
      <c r="B296" s="41" t="n"/>
      <c r="C296" s="42" t="n"/>
      <c r="D296" s="43" t="n"/>
      <c r="E296" s="42" t="n"/>
      <c r="F296" s="44" t="n"/>
      <c r="G296" s="45">
        <f>IF(H296="","",F296-H296)</f>
        <v/>
      </c>
      <c r="H296" s="45">
        <f>IF(OR($F296="",$E296=""),"",IF($E296="10 %",ROUND($F296*TasaGeneral/(1+TasaGeneral),Decimales),IF($E296="5 %",ROUND($F296*TasaReducida/(1+TasaReducida),Decimales),0)))</f>
        <v/>
      </c>
    </row>
    <row r="297">
      <c r="B297" s="41" t="n"/>
      <c r="C297" s="42" t="n"/>
      <c r="D297" s="43" t="n"/>
      <c r="E297" s="42" t="n"/>
      <c r="F297" s="44" t="n"/>
      <c r="G297" s="45">
        <f>IF(H297="","",F297-H297)</f>
        <v/>
      </c>
      <c r="H297" s="45">
        <f>IF(OR($F297="",$E297=""),"",IF($E297="10 %",ROUND($F297*TasaGeneral/(1+TasaGeneral),Decimales),IF($E297="5 %",ROUND($F297*TasaReducida/(1+TasaReducida),Decimales),0)))</f>
        <v/>
      </c>
    </row>
    <row r="298">
      <c r="B298" s="41" t="n"/>
      <c r="C298" s="42" t="n"/>
      <c r="D298" s="43" t="n"/>
      <c r="E298" s="42" t="n"/>
      <c r="F298" s="44" t="n"/>
      <c r="G298" s="45">
        <f>IF(H298="","",F298-H298)</f>
        <v/>
      </c>
      <c r="H298" s="45">
        <f>IF(OR($F298="",$E298=""),"",IF($E298="10 %",ROUND($F298*TasaGeneral/(1+TasaGeneral),Decimales),IF($E298="5 %",ROUND($F298*TasaReducida/(1+TasaReducida),Decimales),0)))</f>
        <v/>
      </c>
    </row>
    <row r="299">
      <c r="B299" s="41" t="n"/>
      <c r="C299" s="42" t="n"/>
      <c r="D299" s="43" t="n"/>
      <c r="E299" s="42" t="n"/>
      <c r="F299" s="44" t="n"/>
      <c r="G299" s="45">
        <f>IF(H299="","",F299-H299)</f>
        <v/>
      </c>
      <c r="H299" s="45">
        <f>IF(OR($F299="",$E299=""),"",IF($E299="10 %",ROUND($F299*TasaGeneral/(1+TasaGeneral),Decimales),IF($E299="5 %",ROUND($F299*TasaReducida/(1+TasaReducida),Decimales),0)))</f>
        <v/>
      </c>
    </row>
    <row r="300">
      <c r="B300" s="41" t="n"/>
      <c r="C300" s="42" t="n"/>
      <c r="D300" s="43" t="n"/>
      <c r="E300" s="42" t="n"/>
      <c r="F300" s="44" t="n"/>
      <c r="G300" s="45">
        <f>IF(H300="","",F300-H300)</f>
        <v/>
      </c>
      <c r="H300" s="45">
        <f>IF(OR($F300="",$E300=""),"",IF($E300="10 %",ROUND($F300*TasaGeneral/(1+TasaGeneral),Decimales),IF($E300="5 %",ROUND($F300*TasaReducida/(1+TasaReducida),Decimales),0)))</f>
        <v/>
      </c>
    </row>
    <row r="301">
      <c r="B301" s="41" t="n"/>
      <c r="C301" s="42" t="n"/>
      <c r="D301" s="43" t="n"/>
      <c r="E301" s="42" t="n"/>
      <c r="F301" s="44" t="n"/>
      <c r="G301" s="45">
        <f>IF(H301="","",F301-H301)</f>
        <v/>
      </c>
      <c r="H301" s="45">
        <f>IF(OR($F301="",$E301=""),"",IF($E301="10 %",ROUND($F301*TasaGeneral/(1+TasaGeneral),Decimales),IF($E301="5 %",ROUND($F301*TasaReducida/(1+TasaReducida),Decimales),0)))</f>
        <v/>
      </c>
    </row>
    <row r="302">
      <c r="B302" s="41" t="n"/>
      <c r="C302" s="42" t="n"/>
      <c r="D302" s="43" t="n"/>
      <c r="E302" s="42" t="n"/>
      <c r="F302" s="44" t="n"/>
      <c r="G302" s="45">
        <f>IF(H302="","",F302-H302)</f>
        <v/>
      </c>
      <c r="H302" s="45">
        <f>IF(OR($F302="",$E302=""),"",IF($E302="10 %",ROUND($F302*TasaGeneral/(1+TasaGeneral),Decimales),IF($E302="5 %",ROUND($F302*TasaReducida/(1+TasaReducida),Decimales),0)))</f>
        <v/>
      </c>
    </row>
    <row r="303">
      <c r="B303" s="41" t="n"/>
      <c r="C303" s="42" t="n"/>
      <c r="D303" s="43" t="n"/>
      <c r="E303" s="42" t="n"/>
      <c r="F303" s="44" t="n"/>
      <c r="G303" s="45">
        <f>IF(H303="","",F303-H303)</f>
        <v/>
      </c>
      <c r="H303" s="45">
        <f>IF(OR($F303="",$E303=""),"",IF($E303="10 %",ROUND($F303*TasaGeneral/(1+TasaGeneral),Decimales),IF($E303="5 %",ROUND($F303*TasaReducida/(1+TasaReducida),Decimales),0)))</f>
        <v/>
      </c>
    </row>
    <row r="304">
      <c r="B304" s="41" t="n"/>
      <c r="C304" s="42" t="n"/>
      <c r="D304" s="43" t="n"/>
      <c r="E304" s="42" t="n"/>
      <c r="F304" s="44" t="n"/>
      <c r="G304" s="45">
        <f>IF(H304="","",F304-H304)</f>
        <v/>
      </c>
      <c r="H304" s="45">
        <f>IF(OR($F304="",$E304=""),"",IF($E304="10 %",ROUND($F304*TasaGeneral/(1+TasaGeneral),Decimales),IF($E304="5 %",ROUND($F304*TasaReducida/(1+TasaReducida),Decimales),0)))</f>
        <v/>
      </c>
    </row>
    <row r="305">
      <c r="B305" s="41" t="n"/>
      <c r="C305" s="42" t="n"/>
      <c r="D305" s="43" t="n"/>
      <c r="E305" s="42" t="n"/>
      <c r="F305" s="44" t="n"/>
      <c r="G305" s="45">
        <f>IF(H305="","",F305-H305)</f>
        <v/>
      </c>
      <c r="H305" s="45">
        <f>IF(OR($F305="",$E305=""),"",IF($E305="10 %",ROUND($F305*TasaGeneral/(1+TasaGeneral),Decimales),IF($E305="5 %",ROUND($F305*TasaReducida/(1+TasaReducida),Decimales),0)))</f>
        <v/>
      </c>
    </row>
    <row r="306">
      <c r="B306" s="41" t="n"/>
      <c r="C306" s="42" t="n"/>
      <c r="D306" s="43" t="n"/>
      <c r="E306" s="42" t="n"/>
      <c r="F306" s="44" t="n"/>
      <c r="G306" s="45">
        <f>IF(H306="","",F306-H306)</f>
        <v/>
      </c>
      <c r="H306" s="45">
        <f>IF(OR($F306="",$E306=""),"",IF($E306="10 %",ROUND($F306*TasaGeneral/(1+TasaGeneral),Decimales),IF($E306="5 %",ROUND($F306*TasaReducida/(1+TasaReducida),Decimales),0)))</f>
        <v/>
      </c>
    </row>
    <row r="308" ht="8" customHeight="1">
      <c r="B308" s="35" t="n"/>
    </row>
    <row r="309" ht="16" customHeight="1">
      <c r="B309" s="36" t="inlineStr">
        <is>
          <t>MIX SHOP DIGITAL  ·  Herramientas inteligentes que simplifican tu vida.</t>
        </is>
      </c>
    </row>
    <row r="310" ht="16" customHeight="1">
      <c r="B310" s="37" t="inlineStr">
        <is>
          <t>Versión gratuita  ·  ¿Sos contador o llevás tus propios impuestos? Conocé ContadorPy Pro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A6A1"/>
  <autoFilter ref="B6:H306"/>
  <mergeCells count="10">
    <mergeCell ref="B308:H308"/>
    <mergeCell ref="B1:D1"/>
    <mergeCell ref="B309:H309"/>
    <mergeCell ref="B310:H310"/>
    <mergeCell ref="C4:H4"/>
    <mergeCell ref="E1:H1"/>
    <mergeCell ref="B3:H3"/>
    <mergeCell ref="B5:H5"/>
    <mergeCell ref="E2:H2"/>
    <mergeCell ref="B2:D2"/>
  </mergeCells>
  <conditionalFormatting sqref="C7:C306">
    <cfRule type="expression" priority="1" dxfId="1">
      <formula>$C7="Venta"</formula>
    </cfRule>
    <cfRule type="expression" priority="2" dxfId="2">
      <formula>$C7="Compra"</formula>
    </cfRule>
  </conditionalFormatting>
  <conditionalFormatting sqref="B7:F306">
    <cfRule type="expression" priority="3" dxfId="3">
      <formula>AND($F7&lt;&gt;"",OR($B7="",$C7="",$E7=""))</formula>
    </cfRule>
  </conditionalFormatting>
  <conditionalFormatting sqref="B7:H306">
    <cfRule type="expression" priority="4" dxfId="4">
      <formula>AND($B7&lt;&gt;"",YEAR($B7)&lt;&gt;AnioCtl)</formula>
    </cfRule>
  </conditionalFormatting>
  <dataValidations count="4">
    <dataValidation sqref="B7:B306" showDropDown="0" showInputMessage="1" showErrorMessage="1" allowBlank="1" errorTitle="Fecha no válida" error="Escribí una fecha válida. Ej.: 15/03/2026" promptTitle="Fecha" prompt="Fecha de la factura. Ej.: 15/03/2026" type="date" operator="between">
      <formula1>36526</formula1>
      <formula2>73415</formula2>
    </dataValidation>
    <dataValidation sqref="C7:C306" showDropDown="0" showInputMessage="1" showErrorMessage="1" allowBlank="1" errorTitle="Valor no válido" error="Elegí un valor de la lista desplegable." promptTitle="Tipo" prompt="Venta: factura que emitiste. Compra: factura que recibiste." type="list" errorStyle="stop">
      <formula1>"Venta,Compra"</formula1>
    </dataValidation>
    <dataValidation sqref="E7:E306" showDropDown="0" showInputMessage="1" showErrorMessage="1" allowBlank="1" errorTitle="Valor no válido" error="Elegí un valor de la lista desplegable." promptTitle="Tasa de IVA" prompt="Elegí la tasa que figura en la factura." type="list" errorStyle="stop">
      <formula1>"10 %,5 %,Exenta"</formula1>
    </dataValidation>
    <dataValidation sqref="F7:F306" showDropDown="0" showInputMessage="1" showErrorMessage="1" allowBlank="1" errorTitle="Dato no válido" error="Ingresá un monto positivo, sin signo menos." promptTitle="Monto total" prompt="Total de la factura, con el IVA incluido. Siempre positivo." type="decimal" operator="greaterThanOrEqual">
      <formula1>0</formula1>
    </dataValidation>
  </dataValidations>
  <hyperlinks>
    <hyperlink ref="B4" location="'CALCULADORA'!A1" display="← VOLVER"/>
    <hyperlink xmlns:r="http://schemas.openxmlformats.org/officeDocument/2006/relationships" ref="B310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&amp;K2E2A6BMIX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0B429"/>
    <outlinePr summaryBelow="1" summaryRight="1"/>
    <pageSetUpPr fitToPage="1"/>
  </sheetPr>
  <dimension ref="B1:P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</cols>
  <sheetData>
    <row r="1" ht="30" customHeight="1">
      <c r="B1" s="1" t="inlineStr">
        <is>
          <t>MIX SHOP DIGITAL</t>
        </is>
      </c>
      <c r="F1" s="2" t="inlineStr">
        <is>
          <t>RESUMEN DE IVA</t>
        </is>
      </c>
    </row>
    <row r="2" ht="18" customHeight="1">
      <c r="B2" s="3" t="inlineStr">
        <is>
          <t>Herramientas inteligentes que simplifican tu vida.</t>
        </is>
      </c>
      <c r="F2" s="4" t="inlineStr">
        <is>
          <t>Tu IVA, mes a mes</t>
        </is>
      </c>
    </row>
    <row r="3" ht="4" customHeight="1">
      <c r="B3" s="5" t="n"/>
    </row>
    <row r="4" ht="20" customHeight="1">
      <c r="B4" s="38" t="inlineStr">
        <is>
          <t>← VOLVER</t>
        </is>
      </c>
      <c r="C4" s="6" t="inlineStr">
        <is>
          <t>El resumen se arma solo con lo que anotás en REGISTRO. No hace falta escribir nada acá, salvo elegir el período.</t>
        </is>
      </c>
    </row>
    <row r="5" ht="22" customHeight="1">
      <c r="B5" s="8" t="inlineStr">
        <is>
          <t>Calculadora</t>
        </is>
      </c>
      <c r="E5" s="7" t="inlineStr">
        <is>
          <t>+ Registro</t>
        </is>
      </c>
      <c r="G5" s="9" t="inlineStr">
        <is>
          <t>Ajustes</t>
        </is>
      </c>
      <c r="I5" s="9" t="inlineStr">
        <is>
          <t>Ayuda</t>
        </is>
      </c>
    </row>
    <row r="6" ht="22" customHeight="1">
      <c r="B6" s="46" t="inlineStr">
        <is>
          <t>Período a mirar:</t>
        </is>
      </c>
      <c r="C6" s="14" t="inlineStr">
        <is>
          <t>Todo el año</t>
        </is>
      </c>
      <c r="E6" s="6">
        <f>"Año de control: "&amp;AnioCtl&amp;"   ·   "&amp;NombreNegocio</f>
        <v/>
      </c>
      <c r="P6">
        <f>IFERROR(MATCH(C6,{"Todo el año","Enero","Febrero","Marzo","Abril","Mayo","Junio","Julio","Agosto","Septiembre","Octubre","Noviembre","Diciembre"},0)-1,0)</f>
        <v/>
      </c>
    </row>
    <row r="7">
      <c r="P7">
        <f>IF(P6=0,DATE(AnioCtl,1,1),DATE(AnioCtl,P6,1))</f>
        <v/>
      </c>
    </row>
    <row r="8" ht="16" customHeight="1">
      <c r="B8" s="18" t="inlineStr">
        <is>
          <t>IVA DÉBITO (cobrado en ventas)</t>
        </is>
      </c>
      <c r="E8" s="19" t="inlineStr">
        <is>
          <t>IVA CRÉDITO (pagado en compras)</t>
        </is>
      </c>
      <c r="H8" s="17" t="inlineStr">
        <is>
          <t>IVA A PAGAR</t>
        </is>
      </c>
      <c r="K8" s="47" t="inlineStr">
        <is>
          <t>SALDO A FAVOR</t>
        </is>
      </c>
      <c r="P8">
        <f>IF(P6=0,DATE(AnioCtl+1,1,1),DATE(AnioCtl,P6+1,1))</f>
        <v/>
      </c>
    </row>
    <row r="9" ht="30" customHeight="1">
      <c r="B9" s="22">
        <f>IF(MesN=0,E29,INDEX(E17:E28,MesN))</f>
        <v/>
      </c>
      <c r="E9" s="48">
        <f>IF(MesN=0,F29,INDEX(F17:F28,MesN))</f>
        <v/>
      </c>
      <c r="H9" s="21">
        <f>IF(MesN=0,H29,INDEX(H17:H28,MesN))</f>
        <v/>
      </c>
      <c r="K9" s="49">
        <f>IF(MesN=0,I28,INDEX(I17:I28,MesN))</f>
        <v/>
      </c>
    </row>
    <row r="10" ht="15" customHeight="1">
      <c r="B10" s="26">
        <f>Moneda</f>
        <v/>
      </c>
      <c r="E10" s="27">
        <f>Moneda</f>
        <v/>
      </c>
      <c r="H10" s="25" t="inlineStr">
        <is>
          <t>débito − crédito</t>
        </is>
      </c>
      <c r="K10" s="50" t="inlineStr">
        <is>
          <t>para el mes siguiente</t>
        </is>
      </c>
    </row>
    <row r="11" ht="8" customHeight="1"/>
    <row r="12" ht="24" customHeight="1">
      <c r="B12" s="51">
        <f>IF(AND(B9=0,E9=0),"Anotá tus primeras ventas y compras en la hoja REGISTRO para ver tu IVA.",IF(H9&gt;0,"⚠ IVA a pagar en este período: "&amp;FIXED(H9,Decimales)&amp;" "&amp;Moneda&amp;" — recordá presentar y pagar a tiempo.",IF(K9&gt;0,"✔ Tenés saldo a favor de "&amp;FIXED(K9,Decimales)&amp;" "&amp;Moneda&amp;" para los próximos meses.","✔ Tu IVA de este período está en cero.")))</f>
        <v/>
      </c>
    </row>
    <row r="15">
      <c r="B15" s="10" t="inlineStr">
        <is>
          <t>MES A MES</t>
        </is>
      </c>
      <c r="J15" s="29" t="inlineStr">
        <is>
          <t>DATOS CLAVE DEL AÑO</t>
        </is>
      </c>
    </row>
    <row r="16" ht="30" customHeight="1">
      <c r="B16" s="30" t="inlineStr">
        <is>
          <t>Mes</t>
        </is>
      </c>
      <c r="C16" s="30" t="inlineStr">
        <is>
          <t>Ventas (con IVA)</t>
        </is>
      </c>
      <c r="D16" s="30" t="inlineStr">
        <is>
          <t>Compras (con IVA)</t>
        </is>
      </c>
      <c r="E16" s="30" t="inlineStr">
        <is>
          <t>IVA débito</t>
        </is>
      </c>
      <c r="F16" s="30" t="inlineStr">
        <is>
          <t>IVA crédito</t>
        </is>
      </c>
      <c r="G16" s="30" t="inlineStr">
        <is>
          <t>Saldo a favor anterior</t>
        </is>
      </c>
      <c r="H16" s="30" t="inlineStr">
        <is>
          <t>IVA a pagar</t>
        </is>
      </c>
      <c r="I16" s="30" t="inlineStr">
        <is>
          <t>Saldo a favor</t>
        </is>
      </c>
    </row>
    <row r="17" ht="18" customHeight="1">
      <c r="B17" s="31" t="inlineStr">
        <is>
          <t>Enero</t>
        </is>
      </c>
      <c r="C17" s="52">
        <f>SUMIFS(REGISTRO!$F$7:$F$306,REGISTRO!$C$7:$C$306,"Venta",REGISTRO!$B$7:$B$306,"&gt;="&amp;DATE(AnioCtl,1,1),REGISTRO!$B$7:$B$306,"&lt;"&amp;DATE(AnioCtl,2,1))</f>
        <v/>
      </c>
      <c r="D17" s="52">
        <f>SUMIFS(REGISTRO!$F$7:$F$306,REGISTRO!$C$7:$C$306,"Compra",REGISTRO!$B$7:$B$306,"&gt;="&amp;DATE(AnioCtl,1,1),REGISTRO!$B$7:$B$306,"&lt;"&amp;DATE(AnioCtl,2,1))</f>
        <v/>
      </c>
      <c r="E17" s="52">
        <f>SUMIFS(REGISTRO!$H$7:$H$306,REGISTRO!$C$7:$C$306,"Venta",REGISTRO!$B$7:$B$306,"&gt;="&amp;DATE(AnioCtl,1,1),REGISTRO!$B$7:$B$306,"&lt;"&amp;DATE(AnioCtl,2,1))</f>
        <v/>
      </c>
      <c r="F17" s="52">
        <f>SUMIFS(REGISTRO!$H$7:$H$306,REGISTRO!$C$7:$C$306,"Compra",REGISTRO!$B$7:$B$306,"&gt;="&amp;DATE(AnioCtl,1,1),REGISTRO!$B$7:$B$306,"&lt;"&amp;DATE(AnioCtl,2,1))</f>
        <v/>
      </c>
      <c r="G17" s="53">
        <f>IF(Arrastre="Sí",SaldoIni,0)</f>
        <v/>
      </c>
      <c r="H17" s="54">
        <f>MAX(0,E17-F17-G17)</f>
        <v/>
      </c>
      <c r="I17" s="52">
        <f>MAX(0,F17+G17-E17)</f>
        <v/>
      </c>
      <c r="J17" s="55" t="inlineStr">
        <is>
          <t>IVA a pagar en el año</t>
        </is>
      </c>
    </row>
    <row r="18" ht="18" customHeight="1">
      <c r="B18" s="56" t="inlineStr">
        <is>
          <t>Febrero</t>
        </is>
      </c>
      <c r="C18" s="57">
        <f>SUMIFS(REGISTRO!$F$7:$F$306,REGISTRO!$C$7:$C$306,"Venta",REGISTRO!$B$7:$B$306,"&gt;="&amp;DATE(AnioCtl,2,1),REGISTRO!$B$7:$B$306,"&lt;"&amp;DATE(AnioCtl,3,1))</f>
        <v/>
      </c>
      <c r="D18" s="57">
        <f>SUMIFS(REGISTRO!$F$7:$F$306,REGISTRO!$C$7:$C$306,"Compra",REGISTRO!$B$7:$B$306,"&gt;="&amp;DATE(AnioCtl,2,1),REGISTRO!$B$7:$B$306,"&lt;"&amp;DATE(AnioCtl,3,1))</f>
        <v/>
      </c>
      <c r="E18" s="57">
        <f>SUMIFS(REGISTRO!$H$7:$H$306,REGISTRO!$C$7:$C$306,"Venta",REGISTRO!$B$7:$B$306,"&gt;="&amp;DATE(AnioCtl,2,1),REGISTRO!$B$7:$B$306,"&lt;"&amp;DATE(AnioCtl,3,1))</f>
        <v/>
      </c>
      <c r="F18" s="57">
        <f>SUMIFS(REGISTRO!$H$7:$H$306,REGISTRO!$C$7:$C$306,"Compra",REGISTRO!$B$7:$B$306,"&gt;="&amp;DATE(AnioCtl,2,1),REGISTRO!$B$7:$B$306,"&lt;"&amp;DATE(AnioCtl,3,1))</f>
        <v/>
      </c>
      <c r="G18" s="58">
        <f>IF(Arrastre="Sí",I17,0)</f>
        <v/>
      </c>
      <c r="H18" s="59">
        <f>MAX(0,E18-F18-G18)</f>
        <v/>
      </c>
      <c r="I18" s="57">
        <f>MAX(0,F18+G18-E18)</f>
        <v/>
      </c>
      <c r="J18" s="60">
        <f>H29</f>
        <v/>
      </c>
    </row>
    <row r="19" ht="18" customHeight="1">
      <c r="B19" s="31" t="inlineStr">
        <is>
          <t>Marzo</t>
        </is>
      </c>
      <c r="C19" s="52">
        <f>SUMIFS(REGISTRO!$F$7:$F$306,REGISTRO!$C$7:$C$306,"Venta",REGISTRO!$B$7:$B$306,"&gt;="&amp;DATE(AnioCtl,3,1),REGISTRO!$B$7:$B$306,"&lt;"&amp;DATE(AnioCtl,4,1))</f>
        <v/>
      </c>
      <c r="D19" s="52">
        <f>SUMIFS(REGISTRO!$F$7:$F$306,REGISTRO!$C$7:$C$306,"Compra",REGISTRO!$B$7:$B$306,"&gt;="&amp;DATE(AnioCtl,3,1),REGISTRO!$B$7:$B$306,"&lt;"&amp;DATE(AnioCtl,4,1))</f>
        <v/>
      </c>
      <c r="E19" s="52">
        <f>SUMIFS(REGISTRO!$H$7:$H$306,REGISTRO!$C$7:$C$306,"Venta",REGISTRO!$B$7:$B$306,"&gt;="&amp;DATE(AnioCtl,3,1),REGISTRO!$B$7:$B$306,"&lt;"&amp;DATE(AnioCtl,4,1))</f>
        <v/>
      </c>
      <c r="F19" s="52">
        <f>SUMIFS(REGISTRO!$H$7:$H$306,REGISTRO!$C$7:$C$306,"Compra",REGISTRO!$B$7:$B$306,"&gt;="&amp;DATE(AnioCtl,3,1),REGISTRO!$B$7:$B$306,"&lt;"&amp;DATE(AnioCtl,4,1))</f>
        <v/>
      </c>
      <c r="G19" s="53">
        <f>IF(Arrastre="Sí",I18,0)</f>
        <v/>
      </c>
      <c r="H19" s="54">
        <f>MAX(0,E19-F19-G19)</f>
        <v/>
      </c>
      <c r="I19" s="52">
        <f>MAX(0,F19+G19-E19)</f>
        <v/>
      </c>
      <c r="J19" s="55" t="inlineStr">
        <is>
          <t>Saldo a favor al cierre</t>
        </is>
      </c>
    </row>
    <row r="20" ht="18" customHeight="1">
      <c r="B20" s="56" t="inlineStr">
        <is>
          <t>Abril</t>
        </is>
      </c>
      <c r="C20" s="57">
        <f>SUMIFS(REGISTRO!$F$7:$F$306,REGISTRO!$C$7:$C$306,"Venta",REGISTRO!$B$7:$B$306,"&gt;="&amp;DATE(AnioCtl,4,1),REGISTRO!$B$7:$B$306,"&lt;"&amp;DATE(AnioCtl,5,1))</f>
        <v/>
      </c>
      <c r="D20" s="57">
        <f>SUMIFS(REGISTRO!$F$7:$F$306,REGISTRO!$C$7:$C$306,"Compra",REGISTRO!$B$7:$B$306,"&gt;="&amp;DATE(AnioCtl,4,1),REGISTRO!$B$7:$B$306,"&lt;"&amp;DATE(AnioCtl,5,1))</f>
        <v/>
      </c>
      <c r="E20" s="57">
        <f>SUMIFS(REGISTRO!$H$7:$H$306,REGISTRO!$C$7:$C$306,"Venta",REGISTRO!$B$7:$B$306,"&gt;="&amp;DATE(AnioCtl,4,1),REGISTRO!$B$7:$B$306,"&lt;"&amp;DATE(AnioCtl,5,1))</f>
        <v/>
      </c>
      <c r="F20" s="57">
        <f>SUMIFS(REGISTRO!$H$7:$H$306,REGISTRO!$C$7:$C$306,"Compra",REGISTRO!$B$7:$B$306,"&gt;="&amp;DATE(AnioCtl,4,1),REGISTRO!$B$7:$B$306,"&lt;"&amp;DATE(AnioCtl,5,1))</f>
        <v/>
      </c>
      <c r="G20" s="58">
        <f>IF(Arrastre="Sí",I19,0)</f>
        <v/>
      </c>
      <c r="H20" s="59">
        <f>MAX(0,E20-F20-G20)</f>
        <v/>
      </c>
      <c r="I20" s="57">
        <f>MAX(0,F20+G20-E20)</f>
        <v/>
      </c>
      <c r="J20" s="60">
        <f>I28</f>
        <v/>
      </c>
    </row>
    <row r="21" ht="18" customHeight="1">
      <c r="B21" s="31" t="inlineStr">
        <is>
          <t>Mayo</t>
        </is>
      </c>
      <c r="C21" s="52">
        <f>SUMIFS(REGISTRO!$F$7:$F$306,REGISTRO!$C$7:$C$306,"Venta",REGISTRO!$B$7:$B$306,"&gt;="&amp;DATE(AnioCtl,5,1),REGISTRO!$B$7:$B$306,"&lt;"&amp;DATE(AnioCtl,6,1))</f>
        <v/>
      </c>
      <c r="D21" s="52">
        <f>SUMIFS(REGISTRO!$F$7:$F$306,REGISTRO!$C$7:$C$306,"Compra",REGISTRO!$B$7:$B$306,"&gt;="&amp;DATE(AnioCtl,5,1),REGISTRO!$B$7:$B$306,"&lt;"&amp;DATE(AnioCtl,6,1))</f>
        <v/>
      </c>
      <c r="E21" s="52">
        <f>SUMIFS(REGISTRO!$H$7:$H$306,REGISTRO!$C$7:$C$306,"Venta",REGISTRO!$B$7:$B$306,"&gt;="&amp;DATE(AnioCtl,5,1),REGISTRO!$B$7:$B$306,"&lt;"&amp;DATE(AnioCtl,6,1))</f>
        <v/>
      </c>
      <c r="F21" s="52">
        <f>SUMIFS(REGISTRO!$H$7:$H$306,REGISTRO!$C$7:$C$306,"Compra",REGISTRO!$B$7:$B$306,"&gt;="&amp;DATE(AnioCtl,5,1),REGISTRO!$B$7:$B$306,"&lt;"&amp;DATE(AnioCtl,6,1))</f>
        <v/>
      </c>
      <c r="G21" s="53">
        <f>IF(Arrastre="Sí",I20,0)</f>
        <v/>
      </c>
      <c r="H21" s="54">
        <f>MAX(0,E21-F21-G21)</f>
        <v/>
      </c>
      <c r="I21" s="52">
        <f>MAX(0,F21+G21-E21)</f>
        <v/>
      </c>
      <c r="J21" s="55" t="inlineStr">
        <is>
          <t>Mes con más IVA a pagar</t>
        </is>
      </c>
    </row>
    <row r="22" ht="18" customHeight="1">
      <c r="B22" s="56" t="inlineStr">
        <is>
          <t>Junio</t>
        </is>
      </c>
      <c r="C22" s="57">
        <f>SUMIFS(REGISTRO!$F$7:$F$306,REGISTRO!$C$7:$C$306,"Venta",REGISTRO!$B$7:$B$306,"&gt;="&amp;DATE(AnioCtl,6,1),REGISTRO!$B$7:$B$306,"&lt;"&amp;DATE(AnioCtl,7,1))</f>
        <v/>
      </c>
      <c r="D22" s="57">
        <f>SUMIFS(REGISTRO!$F$7:$F$306,REGISTRO!$C$7:$C$306,"Compra",REGISTRO!$B$7:$B$306,"&gt;="&amp;DATE(AnioCtl,6,1),REGISTRO!$B$7:$B$306,"&lt;"&amp;DATE(AnioCtl,7,1))</f>
        <v/>
      </c>
      <c r="E22" s="57">
        <f>SUMIFS(REGISTRO!$H$7:$H$306,REGISTRO!$C$7:$C$306,"Venta",REGISTRO!$B$7:$B$306,"&gt;="&amp;DATE(AnioCtl,6,1),REGISTRO!$B$7:$B$306,"&lt;"&amp;DATE(AnioCtl,7,1))</f>
        <v/>
      </c>
      <c r="F22" s="57">
        <f>SUMIFS(REGISTRO!$H$7:$H$306,REGISTRO!$C$7:$C$306,"Compra",REGISTRO!$B$7:$B$306,"&gt;="&amp;DATE(AnioCtl,6,1),REGISTRO!$B$7:$B$306,"&lt;"&amp;DATE(AnioCtl,7,1))</f>
        <v/>
      </c>
      <c r="G22" s="58">
        <f>IF(Arrastre="Sí",I21,0)</f>
        <v/>
      </c>
      <c r="H22" s="59">
        <f>MAX(0,E22-F22-G22)</f>
        <v/>
      </c>
      <c r="I22" s="57">
        <f>MAX(0,F22+G22-E22)</f>
        <v/>
      </c>
      <c r="J22" s="61">
        <f>IF(MAX(H17:H28)&lt;=0,"-",INDEX(B17:B28,MATCH(MAX(H17:H28),H17:H28,0)))</f>
        <v/>
      </c>
    </row>
    <row r="23" ht="18" customHeight="1">
      <c r="B23" s="31" t="inlineStr">
        <is>
          <t>Julio</t>
        </is>
      </c>
      <c r="C23" s="52">
        <f>SUMIFS(REGISTRO!$F$7:$F$306,REGISTRO!$C$7:$C$306,"Venta",REGISTRO!$B$7:$B$306,"&gt;="&amp;DATE(AnioCtl,7,1),REGISTRO!$B$7:$B$306,"&lt;"&amp;DATE(AnioCtl,8,1))</f>
        <v/>
      </c>
      <c r="D23" s="52">
        <f>SUMIFS(REGISTRO!$F$7:$F$306,REGISTRO!$C$7:$C$306,"Compra",REGISTRO!$B$7:$B$306,"&gt;="&amp;DATE(AnioCtl,7,1),REGISTRO!$B$7:$B$306,"&lt;"&amp;DATE(AnioCtl,8,1))</f>
        <v/>
      </c>
      <c r="E23" s="52">
        <f>SUMIFS(REGISTRO!$H$7:$H$306,REGISTRO!$C$7:$C$306,"Venta",REGISTRO!$B$7:$B$306,"&gt;="&amp;DATE(AnioCtl,7,1),REGISTRO!$B$7:$B$306,"&lt;"&amp;DATE(AnioCtl,8,1))</f>
        <v/>
      </c>
      <c r="F23" s="52">
        <f>SUMIFS(REGISTRO!$H$7:$H$306,REGISTRO!$C$7:$C$306,"Compra",REGISTRO!$B$7:$B$306,"&gt;="&amp;DATE(AnioCtl,7,1),REGISTRO!$B$7:$B$306,"&lt;"&amp;DATE(AnioCtl,8,1))</f>
        <v/>
      </c>
      <c r="G23" s="53">
        <f>IF(Arrastre="Sí",I22,0)</f>
        <v/>
      </c>
      <c r="H23" s="54">
        <f>MAX(0,E23-F23-G23)</f>
        <v/>
      </c>
      <c r="I23" s="52">
        <f>MAX(0,F23+G23-E23)</f>
        <v/>
      </c>
      <c r="J23" s="55" t="inlineStr">
        <is>
          <t>Meses con saldo a favor</t>
        </is>
      </c>
    </row>
    <row r="24" ht="18" customHeight="1">
      <c r="B24" s="56" t="inlineStr">
        <is>
          <t>Agosto</t>
        </is>
      </c>
      <c r="C24" s="57">
        <f>SUMIFS(REGISTRO!$F$7:$F$306,REGISTRO!$C$7:$C$306,"Venta",REGISTRO!$B$7:$B$306,"&gt;="&amp;DATE(AnioCtl,8,1),REGISTRO!$B$7:$B$306,"&lt;"&amp;DATE(AnioCtl,9,1))</f>
        <v/>
      </c>
      <c r="D24" s="57">
        <f>SUMIFS(REGISTRO!$F$7:$F$306,REGISTRO!$C$7:$C$306,"Compra",REGISTRO!$B$7:$B$306,"&gt;="&amp;DATE(AnioCtl,8,1),REGISTRO!$B$7:$B$306,"&lt;"&amp;DATE(AnioCtl,9,1))</f>
        <v/>
      </c>
      <c r="E24" s="57">
        <f>SUMIFS(REGISTRO!$H$7:$H$306,REGISTRO!$C$7:$C$306,"Venta",REGISTRO!$B$7:$B$306,"&gt;="&amp;DATE(AnioCtl,8,1),REGISTRO!$B$7:$B$306,"&lt;"&amp;DATE(AnioCtl,9,1))</f>
        <v/>
      </c>
      <c r="F24" s="57">
        <f>SUMIFS(REGISTRO!$H$7:$H$306,REGISTRO!$C$7:$C$306,"Compra",REGISTRO!$B$7:$B$306,"&gt;="&amp;DATE(AnioCtl,8,1),REGISTRO!$B$7:$B$306,"&lt;"&amp;DATE(AnioCtl,9,1))</f>
        <v/>
      </c>
      <c r="G24" s="58">
        <f>IF(Arrastre="Sí",I23,0)</f>
        <v/>
      </c>
      <c r="H24" s="59">
        <f>MAX(0,E24-F24-G24)</f>
        <v/>
      </c>
      <c r="I24" s="57">
        <f>MAX(0,F24+G24-E24)</f>
        <v/>
      </c>
      <c r="J24" s="62">
        <f>COUNTIF(I17:I28,"&gt;0")</f>
        <v/>
      </c>
    </row>
    <row r="25" ht="18" customHeight="1">
      <c r="B25" s="31" t="inlineStr">
        <is>
          <t>Septiembre</t>
        </is>
      </c>
      <c r="C25" s="52">
        <f>SUMIFS(REGISTRO!$F$7:$F$306,REGISTRO!$C$7:$C$306,"Venta",REGISTRO!$B$7:$B$306,"&gt;="&amp;DATE(AnioCtl,9,1),REGISTRO!$B$7:$B$306,"&lt;"&amp;DATE(AnioCtl,10,1))</f>
        <v/>
      </c>
      <c r="D25" s="52">
        <f>SUMIFS(REGISTRO!$F$7:$F$306,REGISTRO!$C$7:$C$306,"Compra",REGISTRO!$B$7:$B$306,"&gt;="&amp;DATE(AnioCtl,9,1),REGISTRO!$B$7:$B$306,"&lt;"&amp;DATE(AnioCtl,10,1))</f>
        <v/>
      </c>
      <c r="E25" s="52">
        <f>SUMIFS(REGISTRO!$H$7:$H$306,REGISTRO!$C$7:$C$306,"Venta",REGISTRO!$B$7:$B$306,"&gt;="&amp;DATE(AnioCtl,9,1),REGISTRO!$B$7:$B$306,"&lt;"&amp;DATE(AnioCtl,10,1))</f>
        <v/>
      </c>
      <c r="F25" s="52">
        <f>SUMIFS(REGISTRO!$H$7:$H$306,REGISTRO!$C$7:$C$306,"Compra",REGISTRO!$B$7:$B$306,"&gt;="&amp;DATE(AnioCtl,9,1),REGISTRO!$B$7:$B$306,"&lt;"&amp;DATE(AnioCtl,10,1))</f>
        <v/>
      </c>
      <c r="G25" s="53">
        <f>IF(Arrastre="Sí",I24,0)</f>
        <v/>
      </c>
      <c r="H25" s="54">
        <f>MAX(0,E25-F25-G25)</f>
        <v/>
      </c>
      <c r="I25" s="52">
        <f>MAX(0,F25+G25-E25)</f>
        <v/>
      </c>
      <c r="J25" s="55" t="inlineStr">
        <is>
          <t>IVA a pagar sobre ventas</t>
        </is>
      </c>
    </row>
    <row r="26" ht="18" customHeight="1">
      <c r="B26" s="56" t="inlineStr">
        <is>
          <t>Octubre</t>
        </is>
      </c>
      <c r="C26" s="57">
        <f>SUMIFS(REGISTRO!$F$7:$F$306,REGISTRO!$C$7:$C$306,"Venta",REGISTRO!$B$7:$B$306,"&gt;="&amp;DATE(AnioCtl,10,1),REGISTRO!$B$7:$B$306,"&lt;"&amp;DATE(AnioCtl,11,1))</f>
        <v/>
      </c>
      <c r="D26" s="57">
        <f>SUMIFS(REGISTRO!$F$7:$F$306,REGISTRO!$C$7:$C$306,"Compra",REGISTRO!$B$7:$B$306,"&gt;="&amp;DATE(AnioCtl,10,1),REGISTRO!$B$7:$B$306,"&lt;"&amp;DATE(AnioCtl,11,1))</f>
        <v/>
      </c>
      <c r="E26" s="57">
        <f>SUMIFS(REGISTRO!$H$7:$H$306,REGISTRO!$C$7:$C$306,"Venta",REGISTRO!$B$7:$B$306,"&gt;="&amp;DATE(AnioCtl,10,1),REGISTRO!$B$7:$B$306,"&lt;"&amp;DATE(AnioCtl,11,1))</f>
        <v/>
      </c>
      <c r="F26" s="57">
        <f>SUMIFS(REGISTRO!$H$7:$H$306,REGISTRO!$C$7:$C$306,"Compra",REGISTRO!$B$7:$B$306,"&gt;="&amp;DATE(AnioCtl,10,1),REGISTRO!$B$7:$B$306,"&lt;"&amp;DATE(AnioCtl,11,1))</f>
        <v/>
      </c>
      <c r="G26" s="58">
        <f>IF(Arrastre="Sí",I25,0)</f>
        <v/>
      </c>
      <c r="H26" s="59">
        <f>MAX(0,E26-F26-G26)</f>
        <v/>
      </c>
      <c r="I26" s="57">
        <f>MAX(0,F26+G26-E26)</f>
        <v/>
      </c>
      <c r="J26" s="63">
        <f>IF(C29=0,0,H29/C29)</f>
        <v/>
      </c>
    </row>
    <row r="27" ht="18" customHeight="1">
      <c r="B27" s="31" t="inlineStr">
        <is>
          <t>Noviembre</t>
        </is>
      </c>
      <c r="C27" s="52">
        <f>SUMIFS(REGISTRO!$F$7:$F$306,REGISTRO!$C$7:$C$306,"Venta",REGISTRO!$B$7:$B$306,"&gt;="&amp;DATE(AnioCtl,11,1),REGISTRO!$B$7:$B$306,"&lt;"&amp;DATE(AnioCtl,12,1))</f>
        <v/>
      </c>
      <c r="D27" s="52">
        <f>SUMIFS(REGISTRO!$F$7:$F$306,REGISTRO!$C$7:$C$306,"Compra",REGISTRO!$B$7:$B$306,"&gt;="&amp;DATE(AnioCtl,11,1),REGISTRO!$B$7:$B$306,"&lt;"&amp;DATE(AnioCtl,12,1))</f>
        <v/>
      </c>
      <c r="E27" s="52">
        <f>SUMIFS(REGISTRO!$H$7:$H$306,REGISTRO!$C$7:$C$306,"Venta",REGISTRO!$B$7:$B$306,"&gt;="&amp;DATE(AnioCtl,11,1),REGISTRO!$B$7:$B$306,"&lt;"&amp;DATE(AnioCtl,12,1))</f>
        <v/>
      </c>
      <c r="F27" s="52">
        <f>SUMIFS(REGISTRO!$H$7:$H$306,REGISTRO!$C$7:$C$306,"Compra",REGISTRO!$B$7:$B$306,"&gt;="&amp;DATE(AnioCtl,11,1),REGISTRO!$B$7:$B$306,"&lt;"&amp;DATE(AnioCtl,12,1))</f>
        <v/>
      </c>
      <c r="G27" s="53">
        <f>IF(Arrastre="Sí",I26,0)</f>
        <v/>
      </c>
      <c r="H27" s="54">
        <f>MAX(0,E27-F27-G27)</f>
        <v/>
      </c>
      <c r="I27" s="52">
        <f>MAX(0,F27+G27-E27)</f>
        <v/>
      </c>
    </row>
    <row r="28" ht="18" customHeight="1">
      <c r="B28" s="56" t="inlineStr">
        <is>
          <t>Diciembre</t>
        </is>
      </c>
      <c r="C28" s="57">
        <f>SUMIFS(REGISTRO!$F$7:$F$306,REGISTRO!$C$7:$C$306,"Venta",REGISTRO!$B$7:$B$306,"&gt;="&amp;DATE(AnioCtl,12,1),REGISTRO!$B$7:$B$306,"&lt;"&amp;DATE(AnioCtl,13,1))</f>
        <v/>
      </c>
      <c r="D28" s="57">
        <f>SUMIFS(REGISTRO!$F$7:$F$306,REGISTRO!$C$7:$C$306,"Compra",REGISTRO!$B$7:$B$306,"&gt;="&amp;DATE(AnioCtl,12,1),REGISTRO!$B$7:$B$306,"&lt;"&amp;DATE(AnioCtl,13,1))</f>
        <v/>
      </c>
      <c r="E28" s="57">
        <f>SUMIFS(REGISTRO!$H$7:$H$306,REGISTRO!$C$7:$C$306,"Venta",REGISTRO!$B$7:$B$306,"&gt;="&amp;DATE(AnioCtl,12,1),REGISTRO!$B$7:$B$306,"&lt;"&amp;DATE(AnioCtl,13,1))</f>
        <v/>
      </c>
      <c r="F28" s="57">
        <f>SUMIFS(REGISTRO!$H$7:$H$306,REGISTRO!$C$7:$C$306,"Compra",REGISTRO!$B$7:$B$306,"&gt;="&amp;DATE(AnioCtl,12,1),REGISTRO!$B$7:$B$306,"&lt;"&amp;DATE(AnioCtl,13,1))</f>
        <v/>
      </c>
      <c r="G28" s="58">
        <f>IF(Arrastre="Sí",I27,0)</f>
        <v/>
      </c>
      <c r="H28" s="59">
        <f>MAX(0,E28-F28-G28)</f>
        <v/>
      </c>
      <c r="I28" s="57">
        <f>MAX(0,F28+G28-E28)</f>
        <v/>
      </c>
    </row>
    <row r="29" ht="22" customHeight="1">
      <c r="B29" s="64" t="inlineStr">
        <is>
          <t>TOTAL</t>
        </is>
      </c>
      <c r="C29" s="65">
        <f>SUM(C17:C28)</f>
        <v/>
      </c>
      <c r="D29" s="65">
        <f>SUM(D17:D28)</f>
        <v/>
      </c>
      <c r="E29" s="65">
        <f>SUM(E17:E28)</f>
        <v/>
      </c>
      <c r="F29" s="65">
        <f>SUM(F17:F28)</f>
        <v/>
      </c>
      <c r="G29" s="66" t="n"/>
      <c r="H29" s="65">
        <f>SUM(H17:H28)</f>
        <v/>
      </c>
      <c r="I29" s="65">
        <f>I28</f>
        <v/>
      </c>
    </row>
    <row r="31">
      <c r="B31" s="29" t="inlineStr">
        <is>
          <t>GRÁFICOS</t>
        </is>
      </c>
    </row>
    <row r="50">
      <c r="B50" s="10" t="inlineStr">
        <is>
          <t>VENTAS Y COMPRAS SEGÚN TASA (período elegido)</t>
        </is>
      </c>
      <c r="I50" s="67" t="inlineStr">
        <is>
          <t>Esta planilla ofrece una estimación orientativa del IVA. No reemplaza la liquidación oficial: confirmá tus números con tu contador antes de presentar tu declaración. Si querés llevar toda la contabilidad de forma profesional, conocé ContadorPy Pro.</t>
        </is>
      </c>
    </row>
    <row r="51" ht="30" customHeight="1">
      <c r="B51" s="30" t="inlineStr">
        <is>
          <t>Tasa</t>
        </is>
      </c>
      <c r="D51" s="30" t="inlineStr">
        <is>
          <t>Ventas (con IVA)</t>
        </is>
      </c>
      <c r="E51" s="30" t="inlineStr">
        <is>
          <t>IVA débito</t>
        </is>
      </c>
      <c r="F51" s="30" t="inlineStr">
        <is>
          <t>Compras (con IVA)</t>
        </is>
      </c>
      <c r="G51" s="30" t="inlineStr">
        <is>
          <t>IVA crédito</t>
        </is>
      </c>
    </row>
    <row r="52" ht="18" customHeight="1">
      <c r="B52" s="31" t="inlineStr">
        <is>
          <t>Tasa 10 %</t>
        </is>
      </c>
      <c r="D52" s="52">
        <f>SUMIFS(REGISTRO!$F$7:$F$306,REGISTRO!$C$7:$C$306,"Venta",REGISTRO!$E$7:$E$306,"10 %",REGISTRO!$B$7:$B$306,"&gt;="&amp;FIni,REGISTRO!$B$7:$B$306,"&lt;"&amp;FFin)</f>
        <v/>
      </c>
      <c r="E52" s="52">
        <f>SUMIFS(REGISTRO!$H$7:$H$306,REGISTRO!$C$7:$C$306,"Venta",REGISTRO!$E$7:$E$306,"10 %",REGISTRO!$B$7:$B$306,"&gt;="&amp;FIni,REGISTRO!$B$7:$B$306,"&lt;"&amp;FFin)</f>
        <v/>
      </c>
      <c r="F52" s="52">
        <f>SUMIFS(REGISTRO!$F$7:$F$306,REGISTRO!$C$7:$C$306,"Compra",REGISTRO!$E$7:$E$306,"10 %",REGISTRO!$B$7:$B$306,"&gt;="&amp;FIni,REGISTRO!$B$7:$B$306,"&lt;"&amp;FFin)</f>
        <v/>
      </c>
      <c r="G52" s="52">
        <f>SUMIFS(REGISTRO!$H$7:$H$306,REGISTRO!$C$7:$C$306,"Compra",REGISTRO!$E$7:$E$306,"10 %",REGISTRO!$B$7:$B$306,"&gt;="&amp;FIni,REGISTRO!$B$7:$B$306,"&lt;"&amp;FFin)</f>
        <v/>
      </c>
    </row>
    <row r="53" ht="18" customHeight="1">
      <c r="B53" s="31" t="inlineStr">
        <is>
          <t>Tasa 5 %</t>
        </is>
      </c>
      <c r="D53" s="52">
        <f>SUMIFS(REGISTRO!$F$7:$F$306,REGISTRO!$C$7:$C$306,"Venta",REGISTRO!$E$7:$E$306,"5 %",REGISTRO!$B$7:$B$306,"&gt;="&amp;FIni,REGISTRO!$B$7:$B$306,"&lt;"&amp;FFin)</f>
        <v/>
      </c>
      <c r="E53" s="52">
        <f>SUMIFS(REGISTRO!$H$7:$H$306,REGISTRO!$C$7:$C$306,"Venta",REGISTRO!$E$7:$E$306,"5 %",REGISTRO!$B$7:$B$306,"&gt;="&amp;FIni,REGISTRO!$B$7:$B$306,"&lt;"&amp;FFin)</f>
        <v/>
      </c>
      <c r="F53" s="52">
        <f>SUMIFS(REGISTRO!$F$7:$F$306,REGISTRO!$C$7:$C$306,"Compra",REGISTRO!$E$7:$E$306,"5 %",REGISTRO!$B$7:$B$306,"&gt;="&amp;FIni,REGISTRO!$B$7:$B$306,"&lt;"&amp;FFin)</f>
        <v/>
      </c>
      <c r="G53" s="52">
        <f>SUMIFS(REGISTRO!$H$7:$H$306,REGISTRO!$C$7:$C$306,"Compra",REGISTRO!$E$7:$E$306,"5 %",REGISTRO!$B$7:$B$306,"&gt;="&amp;FIni,REGISTRO!$B$7:$B$306,"&lt;"&amp;FFin)</f>
        <v/>
      </c>
    </row>
    <row r="54" ht="18" customHeight="1">
      <c r="B54" s="31" t="inlineStr">
        <is>
          <t>Exenta</t>
        </is>
      </c>
      <c r="D54" s="52">
        <f>SUMIFS(REGISTRO!$F$7:$F$306,REGISTRO!$C$7:$C$306,"Venta",REGISTRO!$E$7:$E$306,"Exenta",REGISTRO!$B$7:$B$306,"&gt;="&amp;FIni,REGISTRO!$B$7:$B$306,"&lt;"&amp;FFin)</f>
        <v/>
      </c>
      <c r="E54" s="52">
        <f>SUMIFS(REGISTRO!$H$7:$H$306,REGISTRO!$C$7:$C$306,"Venta",REGISTRO!$E$7:$E$306,"Exenta",REGISTRO!$B$7:$B$306,"&gt;="&amp;FIni,REGISTRO!$B$7:$B$306,"&lt;"&amp;FFin)</f>
        <v/>
      </c>
      <c r="F54" s="52">
        <f>SUMIFS(REGISTRO!$F$7:$F$306,REGISTRO!$C$7:$C$306,"Compra",REGISTRO!$E$7:$E$306,"Exenta",REGISTRO!$B$7:$B$306,"&gt;="&amp;FIni,REGISTRO!$B$7:$B$306,"&lt;"&amp;FFin)</f>
        <v/>
      </c>
      <c r="G54" s="52">
        <f>SUMIFS(REGISTRO!$H$7:$H$306,REGISTRO!$C$7:$C$306,"Compra",REGISTRO!$E$7:$E$306,"Exenta",REGISTRO!$B$7:$B$306,"&gt;="&amp;FIni,REGISTRO!$B$7:$B$306,"&lt;"&amp;FFin)</f>
        <v/>
      </c>
    </row>
    <row r="55" ht="20" customHeight="1">
      <c r="B55" s="68" t="inlineStr">
        <is>
          <t>TOTAL</t>
        </is>
      </c>
      <c r="D55" s="65">
        <f>SUM(D52:D54)</f>
        <v/>
      </c>
      <c r="E55" s="65">
        <f>SUM(E52:E54)</f>
        <v/>
      </c>
      <c r="F55" s="65">
        <f>SUM(F52:F54)</f>
        <v/>
      </c>
      <c r="G55" s="65">
        <f>SUM(G52:G54)</f>
        <v/>
      </c>
    </row>
    <row r="58" ht="8" customHeight="1">
      <c r="B58" s="35" t="n"/>
    </row>
    <row r="59" ht="16" customHeight="1">
      <c r="B59" s="36" t="inlineStr">
        <is>
          <t>MIX SHOP DIGITAL  ·  Herramientas inteligentes que simplifican tu vida.</t>
        </is>
      </c>
    </row>
    <row r="60" ht="16" customHeight="1">
      <c r="B60" s="37" t="inlineStr">
        <is>
          <t>Versión gratuita  ·  ¿Sos contador o llevás tus propios impuestos? Conocé ContadorPy Pro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A6A1"/>
  <mergeCells count="48">
    <mergeCell ref="E10:G10"/>
    <mergeCell ref="J22:M22"/>
    <mergeCell ref="C6:D6"/>
    <mergeCell ref="B54:C54"/>
    <mergeCell ref="B60:M60"/>
    <mergeCell ref="B8:D8"/>
    <mergeCell ref="E5:F5"/>
    <mergeCell ref="E9:G9"/>
    <mergeCell ref="J21:M21"/>
    <mergeCell ref="J18:M18"/>
    <mergeCell ref="E6:M6"/>
    <mergeCell ref="B10:D10"/>
    <mergeCell ref="K8:M8"/>
    <mergeCell ref="J23:M23"/>
    <mergeCell ref="C4:M4"/>
    <mergeCell ref="B52:C52"/>
    <mergeCell ref="J17:M17"/>
    <mergeCell ref="B9:D9"/>
    <mergeCell ref="B53:C53"/>
    <mergeCell ref="J19:M19"/>
    <mergeCell ref="F2:M2"/>
    <mergeCell ref="B5:D5"/>
    <mergeCell ref="K10:M10"/>
    <mergeCell ref="G5:H5"/>
    <mergeCell ref="H8:J8"/>
    <mergeCell ref="B50:G50"/>
    <mergeCell ref="I5:J5"/>
    <mergeCell ref="I50:M55"/>
    <mergeCell ref="J24:M24"/>
    <mergeCell ref="B2:E2"/>
    <mergeCell ref="J15:M15"/>
    <mergeCell ref="B55:C55"/>
    <mergeCell ref="B1:E1"/>
    <mergeCell ref="H10:J10"/>
    <mergeCell ref="B15:I15"/>
    <mergeCell ref="B3:M3"/>
    <mergeCell ref="K9:M9"/>
    <mergeCell ref="J26:M26"/>
    <mergeCell ref="B51:C51"/>
    <mergeCell ref="B59:M59"/>
    <mergeCell ref="B31:M31"/>
    <mergeCell ref="E8:G8"/>
    <mergeCell ref="J20:M20"/>
    <mergeCell ref="H9:J9"/>
    <mergeCell ref="B58:M58"/>
    <mergeCell ref="J25:M25"/>
    <mergeCell ref="F1:M1"/>
    <mergeCell ref="B12:M12"/>
  </mergeCells>
  <conditionalFormatting sqref="B12:M12">
    <cfRule type="expression" priority="1" dxfId="5" stopIfTrue="1">
      <formula>ISNUMBER(SEARCH("érdida",$B$12))+ISNUMBER(SEARCH("NO conviene",$B$12))+ISNUMBER(SEARCH("por debajo",$B$12))&gt;0</formula>
    </cfRule>
    <cfRule type="expression" priority="2" dxfId="6" stopIfTrue="1">
      <formula>LEFT($B$12,1)="⚠"</formula>
    </cfRule>
    <cfRule type="expression" priority="3" dxfId="7">
      <formula>LEFT($B$12,1)="✔"</formula>
    </cfRule>
  </conditionalFormatting>
  <conditionalFormatting sqref="H17:H28">
    <cfRule type="dataBar" priority="4">
      <dataBar showValue="1">
        <cfvo type="num" val="0"/>
        <cfvo type="max"/>
        <color rgb="00F2A0B5"/>
      </dataBar>
    </cfRule>
  </conditionalFormatting>
  <conditionalFormatting sqref="I17:I28">
    <cfRule type="dataBar" priority="5">
      <dataBar showValue="1">
        <cfvo type="num" val="0"/>
        <cfvo type="max"/>
        <color rgb="009ADBC9"/>
      </dataBar>
    </cfRule>
  </conditionalFormatting>
  <dataValidations count="1">
    <dataValidation sqref="C6" showDropDown="0" showInputMessage="1" showErrorMessage="1" allowBlank="0" errorTitle="Valor no válido" error="Elegí un valor de la lista desplegable." promptTitle="Período" prompt="Elegí «Todo el año» o un mes para ver sus resultados." type="list" errorStyle="stop">
      <formula1>"Todo el año,Enero,Febrero,Marzo,Abril,Mayo,Junio,Julio,Agosto,Septiembre,Octubre,Noviembre,Diciembre"</formula1>
    </dataValidation>
  </dataValidations>
  <hyperlinks>
    <hyperlink ref="B4" location="'CALCULADORA'!A1" display="← VOLVER"/>
    <hyperlink ref="B5" location="'CALCULADORA'!A1" display="Calculadora"/>
    <hyperlink ref="E5" location="'REGISTRO'!A1" display="+ Registro"/>
    <hyperlink ref="G5" location="'AJUSTES'!A1" display="Ajustes"/>
    <hyperlink ref="I5" location="'AYUDA'!A1" display="Ayuda"/>
    <hyperlink xmlns:r="http://schemas.openxmlformats.org/officeDocument/2006/relationships" ref="B60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&amp;K2E2A6BMIX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5B4FD6"/>
    <outlinePr summaryBelow="1" summaryRight="1"/>
    <pageSetUpPr fitToPage="1"/>
  </sheetPr>
  <dimension ref="B1:D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0" customHeight="1">
      <c r="B1" s="1" t="inlineStr">
        <is>
          <t>MIX SHOP DIGITAL</t>
        </is>
      </c>
      <c r="C1" s="2" t="inlineStr">
        <is>
          <t>AJUSTES</t>
        </is>
      </c>
    </row>
    <row r="2" ht="18" customHeight="1">
      <c r="B2" s="3" t="inlineStr">
        <is>
          <t>Herramientas inteligentes que simplifican tu vida.</t>
        </is>
      </c>
      <c r="C2" s="4" t="inlineStr">
        <is>
          <t>Cargalos una sola vez</t>
        </is>
      </c>
    </row>
    <row r="3" ht="4" customHeight="1">
      <c r="B3" s="5" t="n"/>
    </row>
    <row r="4" ht="20" customHeight="1">
      <c r="B4" s="38" t="inlineStr">
        <is>
          <t>← VOLVER</t>
        </is>
      </c>
      <c r="C4" s="6" t="inlineStr">
        <is>
          <t>Completá solamente las celdas amarillas. Estos datos alimentan las demás hojas automáticamente.</t>
        </is>
      </c>
    </row>
    <row r="6">
      <c r="B6" s="10" t="inlineStr">
        <is>
          <t>1. TUS DATOS</t>
        </is>
      </c>
    </row>
    <row r="7" ht="26" customHeight="1">
      <c r="B7" s="69" t="inlineStr">
        <is>
          <t>Nombre del negocio o contribuyente</t>
        </is>
      </c>
      <c r="C7" s="70" t="inlineStr">
        <is>
          <t>Tienda de María (EJEMPLO)</t>
        </is>
      </c>
      <c r="D7" s="13" t="inlineStr">
        <is>
          <t>Aparece en el RESUMEN.</t>
        </is>
      </c>
    </row>
    <row r="8" ht="26" customHeight="1">
      <c r="B8" s="69" t="inlineStr">
        <is>
          <t>Año a controlar</t>
        </is>
      </c>
      <c r="C8" s="71" t="n">
        <v>2026</v>
      </c>
      <c r="D8" s="13" t="inlineStr">
        <is>
          <t>El RESUMEN muestra los 12 meses de este año. Los registros de otros años se ignoran.</t>
        </is>
      </c>
    </row>
    <row r="9" ht="26" customHeight="1">
      <c r="B9" s="69" t="inlineStr">
        <is>
          <t>Moneda</t>
        </is>
      </c>
      <c r="C9" s="70" t="inlineStr">
        <is>
          <t>Gs.</t>
        </is>
      </c>
      <c r="D9" s="13" t="inlineStr">
        <is>
          <t>Símbolo que se muestra en las hojas.</t>
        </is>
      </c>
    </row>
    <row r="10" ht="26" customHeight="1">
      <c r="B10" s="69" t="inlineStr">
        <is>
          <t>Decimales (automático)</t>
        </is>
      </c>
      <c r="C10" s="72">
        <f>IF(Moneda="Gs.",0,2)</f>
        <v/>
      </c>
      <c r="D10" s="13" t="inlineStr">
        <is>
          <t>El guaraní no usa decimales; otras monedas usan 2.</t>
        </is>
      </c>
    </row>
    <row r="12">
      <c r="B12" s="29" t="inlineStr">
        <is>
          <t>2. TASAS DE IVA (fijadas por ley)</t>
        </is>
      </c>
    </row>
    <row r="13" ht="26" customHeight="1">
      <c r="B13" s="69" t="inlineStr">
        <is>
          <t>Tasa general</t>
        </is>
      </c>
      <c r="C13" s="73" t="n">
        <v>0.1</v>
      </c>
      <c r="D13" s="13" t="inlineStr">
        <is>
          <t>10 % — Ley 125/91, modificada por la Ley 6380/2019.</t>
        </is>
      </c>
    </row>
    <row r="14" ht="26" customHeight="1">
      <c r="B14" s="69" t="inlineStr">
        <is>
          <t>Tasa reducida</t>
        </is>
      </c>
      <c r="C14" s="73" t="n">
        <v>0.05</v>
      </c>
      <c r="D14" s="13" t="inlineStr">
        <is>
          <t>5 % — productos y servicios con tasa reducida.</t>
        </is>
      </c>
    </row>
    <row r="15">
      <c r="B15" s="6" t="inlineStr">
        <is>
          <t>Las operaciones exentas no pagan IVA. Si la ley cambia, usá la versión actualizada de esta planilla.</t>
        </is>
      </c>
    </row>
    <row r="17">
      <c r="B17" s="74" t="inlineStr">
        <is>
          <t>3. SALDO A FAVOR</t>
        </is>
      </c>
    </row>
    <row r="18" ht="40" customHeight="1">
      <c r="B18" s="69" t="inlineStr">
        <is>
          <t>¿Arrastrar el saldo a favor?</t>
        </is>
      </c>
      <c r="C18" s="70" t="inlineStr">
        <is>
          <t>Sí</t>
        </is>
      </c>
      <c r="D18" s="13" t="inlineStr">
        <is>
          <t>Si en un mes pagaste más IVA en compras que el cobrado en ventas, ese saldo se descuenta del mes siguiente. Confirmalo con tu contador.</t>
        </is>
      </c>
    </row>
    <row r="19" ht="26" customHeight="1">
      <c r="B19" s="69" t="inlineStr">
        <is>
          <t>Saldo a favor al iniciar el año</t>
        </is>
      </c>
      <c r="C19" s="75" t="n">
        <v>0</v>
      </c>
      <c r="D19" s="13" t="inlineStr">
        <is>
          <t>Solo si venís con saldo a favor de diciembre del año anterior. Si no, dejalo en 0.</t>
        </is>
      </c>
    </row>
    <row r="22" ht="8" customHeight="1">
      <c r="B22" s="35" t="n"/>
    </row>
    <row r="23" ht="16" customHeight="1">
      <c r="B23" s="36" t="inlineStr">
        <is>
          <t>MIX SHOP DIGITAL  ·  Herramientas inteligentes que simplifican tu vida.</t>
        </is>
      </c>
    </row>
    <row r="24" ht="16" customHeight="1">
      <c r="B24" s="37" t="inlineStr">
        <is>
          <t>Versión gratuita  ·  ¿Sos contador o llevás tus propios impuestos? Conocé ContadorPy Pro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A6A1"/>
  <mergeCells count="10">
    <mergeCell ref="B3:D3"/>
    <mergeCell ref="C2:D2"/>
    <mergeCell ref="C1:D1"/>
    <mergeCell ref="B23:D23"/>
    <mergeCell ref="B22:D22"/>
    <mergeCell ref="B17:D17"/>
    <mergeCell ref="B12:D12"/>
    <mergeCell ref="B6:D6"/>
    <mergeCell ref="B24:D24"/>
    <mergeCell ref="C4:D4"/>
  </mergeCells>
  <dataValidations count="4">
    <dataValidation sqref="C9" showDropDown="0" showInputMessage="1" showErrorMessage="1" allowBlank="1" errorTitle="Valor no válido" error="Elegí un valor de la lista desplegable." promptTitle="Moneda" prompt="Elegí la moneda que usás." type="list" errorStyle="stop">
      <formula1>"Gs.,US$,R$,ARS $,€"</formula1>
    </dataValidation>
    <dataValidation sqref="C8" showDropDown="0" showInputMessage="1" showErrorMessage="1" allowBlank="1" errorTitle="Dato no válido" error="Escribí un año entre 2000 y 2100." promptTitle="Año" prompt="Escribí el año que querés controlar. Ej.: 2026" type="whole" operator="between">
      <formula1>2000</formula1>
      <formula2>2100</formula2>
    </dataValidation>
    <dataValidation sqref="C18" showDropDown="0" showInputMessage="1" showErrorMessage="1" allowBlank="0" errorTitle="Valor no válido" error="Elegí un valor de la lista desplegable." promptTitle="Saldo a favor" prompt="Sí: el saldo a favor se descuenta el mes siguiente. No: cada mes se calcula por separado." type="list" errorStyle="stop">
      <formula1>"Sí,No"</formula1>
    </dataValidation>
    <dataValidation sqref="C19" showDropDown="0" showInputMessage="1" showErrorMessage="1" allowBlank="1" errorTitle="Dato no válido" error="Ingresá un número válido. No se aceptan valores negativos ni texto." promptTitle="Saldo inicial" prompt="Monto en la moneda elegida. Podés dejarlo en 0." type="decimal" operator="greaterThanOrEqual">
      <formula1>0</formula1>
    </dataValidation>
  </dataValidations>
  <hyperlinks>
    <hyperlink ref="B4" location="'CALCULADORA'!A1" display="← VOLVER"/>
    <hyperlink xmlns:r="http://schemas.openxmlformats.org/officeDocument/2006/relationships" ref="B24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&amp;K2E2A6BMIX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2A6B"/>
    <outlinePr summaryBelow="1" summaryRight="1"/>
    <pageSetUpPr fitToPage="1"/>
  </sheetPr>
  <dimension ref="B1:H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B1" s="1" t="inlineStr">
        <is>
          <t>MIX SHOP DIGITAL</t>
        </is>
      </c>
      <c r="D1" s="2" t="inlineStr">
        <is>
          <t>AYUDA</t>
        </is>
      </c>
    </row>
    <row r="2" ht="18" customHeight="1">
      <c r="B2" s="3" t="inlineStr">
        <is>
          <t>Herramientas inteligentes que simplifican tu vida.</t>
        </is>
      </c>
      <c r="D2" s="4" t="inlineStr">
        <is>
          <t>Se aprende en 2 minutos</t>
        </is>
      </c>
    </row>
    <row r="3" ht="4" customHeight="1">
      <c r="B3" s="5" t="n"/>
    </row>
    <row r="4" ht="20" customHeight="1">
      <c r="B4" s="38" t="inlineStr">
        <is>
          <t>← VOLVER</t>
        </is>
      </c>
      <c r="C4" s="6" t="inlineStr">
        <is>
          <t>Leé esta hoja una vez. Después ya no la vas a necesitar.</t>
        </is>
      </c>
    </row>
    <row r="6">
      <c r="B6" s="10" t="inlineStr">
        <is>
          <t>¿PARA QUÉ SIRVE?</t>
        </is>
      </c>
    </row>
    <row r="7" ht="33" customHeight="1">
      <c r="B7" s="76" t="inlineStr">
        <is>
          <t>Para calcular el IVA de un precio al instante (10 %, 5 % o exenta) y para estimar cuánto IVA te toca pagar cada mes, a partir de tus facturas de ventas y de compras. Sin fórmulas y sin Internet.</t>
        </is>
      </c>
    </row>
    <row r="9">
      <c r="B9" s="29" t="inlineStr">
        <is>
          <t>CALCULADORA</t>
        </is>
      </c>
    </row>
    <row r="10" ht="33" customHeight="1">
      <c r="B10" s="76" t="inlineStr">
        <is>
          <t>Escribí el monto, elegí si ya incluye el IVA y elegí la tasa. Al instante ves el precio sin IVA, el IVA y el total. Abajo se comparan las tres tasas con el mismo monto.</t>
        </is>
      </c>
    </row>
    <row r="12">
      <c r="B12" s="10" t="inlineStr">
        <is>
          <t>IVA MENSUAL EN 3 PASOS</t>
        </is>
      </c>
    </row>
    <row r="13" ht="18.5" customHeight="1">
      <c r="B13" s="76" t="inlineStr">
        <is>
          <t>1) En AJUSTES poné el nombre de tu negocio y el año que querés controlar.</t>
        </is>
      </c>
    </row>
    <row r="14" ht="33" customHeight="1">
      <c r="B14" s="76" t="inlineStr">
        <is>
          <t>2) En REGISTRO anotá cada factura: fecha, tipo (Venta o Compra), tasa de IVA y monto total. El IVA se calcula solo.</t>
        </is>
      </c>
    </row>
    <row r="15" ht="33" customHeight="1">
      <c r="B15" s="76" t="inlineStr">
        <is>
          <t>3) Mirá el RESUMEN: IVA débito (el que cobraste), IVA crédito (el que pagaste en tus compras) y el IVA a pagar de cada mes.</t>
        </is>
      </c>
    </row>
    <row r="17">
      <c r="B17" s="29" t="inlineStr">
        <is>
          <t>COLORES</t>
        </is>
      </c>
    </row>
    <row r="18" ht="33" customHeight="1">
      <c r="B18" s="76" t="inlineStr">
        <is>
          <t>Amarillo/lila claro: celdas que completás vos.   Gris o blanco: se calcula solo (bloqueado).   Violeta: ventas.   Dorado: compras.   Rosa: IVA a pagar.</t>
        </is>
      </c>
    </row>
    <row r="20">
      <c r="B20" s="10" t="inlineStr">
        <is>
          <t>PREGUNTAS FRECUENTES</t>
        </is>
      </c>
    </row>
    <row r="21" ht="18.5" customHeight="1">
      <c r="B21" s="76" t="inlineStr">
        <is>
          <t>• Veo todo en cero: hacé clic en «Habilitar edición» en la barra amarilla de Excel.</t>
        </is>
      </c>
    </row>
    <row r="22" ht="33" customHeight="1">
      <c r="B22" s="76" t="inlineStr">
        <is>
          <t>• ¿Qué es el IVA débito y el crédito? El débito es el IVA de tus ventas. El crédito es el IVA de tus compras. El IVA a pagar es la diferencia (débito − crédito).</t>
        </is>
      </c>
    </row>
    <row r="23" ht="33" customHeight="1">
      <c r="B23" s="76" t="inlineStr">
        <is>
          <t>• ¿Qué pasa si el crédito es mayor que el débito? Queda un saldo a favor. En AJUSTES elegís si se arrastra al mes siguiente. Confirmá con tu contador cómo corresponde en tu caso.</t>
        </is>
      </c>
    </row>
    <row r="24" ht="33" customHeight="1">
      <c r="B24" s="76" t="inlineStr">
        <is>
          <t>• ¿Y las retenciones de IVA? Esta planilla no las incluye. Si te practicaron retenciones, descontalas al momento de tu declaración.</t>
        </is>
      </c>
    </row>
    <row r="25" ht="33" customHeight="1">
      <c r="B25" s="76" t="inlineStr">
        <is>
          <t>• ¿Por qué una factura no suma? Revisá que tenga fecha, tipo, tasa y monto, y que la fecha sea del año elegido en AJUSTES. Las filas incompletas se pintan de naranja.</t>
        </is>
      </c>
    </row>
    <row r="26" ht="18.5" customHeight="1">
      <c r="B26" s="76" t="inlineStr">
        <is>
          <t>• ¿Cuántas facturas entran? 300 filas. Cuando se llene, duplicá el archivo y usá otro por año.</t>
        </is>
      </c>
    </row>
    <row r="27" ht="33" customHeight="1">
      <c r="B27" s="76" t="inlineStr">
        <is>
          <t>• Solo se editan las celdas amarillas: el resto está protegido para que no se rompan las fórmulas por accidente.</t>
        </is>
      </c>
    </row>
    <row r="29">
      <c r="B29" s="29" t="inlineStr">
        <is>
          <t>IMPORTANTE</t>
        </is>
      </c>
    </row>
    <row r="30" ht="33" customHeight="1">
      <c r="B30" s="76" t="inlineStr">
        <is>
          <t>Es una estimación orientativa. No reemplaza la liquidación oficial ni el asesoramiento de un contador. La protección de Excel evita borrados accidentales, pero no es un sistema de seguridad criptográfico.</t>
        </is>
      </c>
    </row>
    <row r="32">
      <c r="B32" s="74" t="inlineStr">
        <is>
          <t>MIX SHOP DIGITAL Y CONTADORPY PRO</t>
        </is>
      </c>
    </row>
    <row r="33" ht="33" customHeight="1">
      <c r="B33" s="76" t="inlineStr">
        <is>
          <t>Esta planilla es una herramienta gratuita de Mix Shop Digital. Si sos contador o llevás tus propios impuestos y querés trabajar de forma más completa y profesional, conocé ContadorPy Pro.</t>
        </is>
      </c>
    </row>
    <row r="34">
      <c r="B34" s="77" t="inlineStr">
        <is>
          <t>→ mixshopdigital.com.py</t>
        </is>
      </c>
    </row>
    <row r="36" ht="8" customHeight="1">
      <c r="B36" s="35" t="n"/>
    </row>
    <row r="37" ht="16" customHeight="1">
      <c r="B37" s="36" t="inlineStr">
        <is>
          <t>MIX SHOP DIGITAL  ·  Herramientas inteligentes que simplifican tu vida.</t>
        </is>
      </c>
    </row>
    <row r="38" ht="16" customHeight="1">
      <c r="B38" s="37" t="inlineStr">
        <is>
          <t>Versión gratuita  ·  ¿Sos contador o llevás tus propios impuestos? Conocé ContadorPy Pro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A6A1"/>
  <mergeCells count="32">
    <mergeCell ref="B9:H9"/>
    <mergeCell ref="D1:H1"/>
    <mergeCell ref="B6:H6"/>
    <mergeCell ref="B24:H24"/>
    <mergeCell ref="B30:H30"/>
    <mergeCell ref="B15:H15"/>
    <mergeCell ref="B33:H33"/>
    <mergeCell ref="B20:H20"/>
    <mergeCell ref="B37:H37"/>
    <mergeCell ref="B36:H36"/>
    <mergeCell ref="B32:H32"/>
    <mergeCell ref="B2:C2"/>
    <mergeCell ref="B26:H26"/>
    <mergeCell ref="D2:H2"/>
    <mergeCell ref="B7:H7"/>
    <mergeCell ref="B25:H25"/>
    <mergeCell ref="B1:C1"/>
    <mergeCell ref="B3:H3"/>
    <mergeCell ref="B22:H22"/>
    <mergeCell ref="B18:H18"/>
    <mergeCell ref="B27:H27"/>
    <mergeCell ref="B21:H21"/>
    <mergeCell ref="B12:H12"/>
    <mergeCell ref="B23:H23"/>
    <mergeCell ref="B14:H14"/>
    <mergeCell ref="B17:H17"/>
    <mergeCell ref="B13:H13"/>
    <mergeCell ref="B38:H38"/>
    <mergeCell ref="C4:H4"/>
    <mergeCell ref="B10:H10"/>
    <mergeCell ref="B29:H29"/>
    <mergeCell ref="B34:H34"/>
  </mergeCells>
  <hyperlinks>
    <hyperlink ref="B4" location="'CALCULADORA'!A1" display="← VOLVER"/>
    <hyperlink xmlns:r="http://schemas.openxmlformats.org/officeDocument/2006/relationships" ref="B34" r:id="rId1"/>
    <hyperlink xmlns:r="http://schemas.openxmlformats.org/officeDocument/2006/relationships" ref="B38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&amp;K2E2A6BMIX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Calculadora de IVA Paraguay – Mix Shop Digital</dc:title>
  <dc:subject xmlns:dc="http://purl.org/dc/elements/1.1/">Versión gratuita</dc:subject>
  <dcterms:created xmlns:dcterms="http://purl.org/dc/terms/" xmlns:xsi="http://www.w3.org/2001/XMLSchema-instance" xsi:type="dcterms:W3CDTF">2026-10-30T12:38:17Z</dcterms:created>
  <dcterms:modified xmlns:dcterms="http://purl.org/dc/terms/" xmlns:xsi="http://www.w3.org/2001/XMLSchema-instance" xsi:type="dcterms:W3CDTF">2026-10-30T12:38:17Z</dcterms:modified>
</cp:coreProperties>
</file>