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workbookPassword="C527" lockStructure="1"/>
  <bookViews>
    <workbookView visibility="visible" minimized="0" showHorizontalScroll="1" showVerticalScroll="1" showSheetTabs="1" tabRatio="600" firstSheet="0" activeTab="0" autoFilterDateGrouping="1"/>
  </bookViews>
  <sheets>
    <sheet xmlns:r="http://schemas.openxmlformats.org/officeDocument/2006/relationships" name="INICIO" sheetId="1" state="visible" r:id="rId1"/>
    <sheet xmlns:r="http://schemas.openxmlformats.org/officeDocument/2006/relationships" name="CONFIGURACIÓN" sheetId="2" state="visible" r:id="rId2"/>
    <sheet xmlns:r="http://schemas.openxmlformats.org/officeDocument/2006/relationships" name="CALCULADORA" sheetId="3" state="visible" r:id="rId3"/>
    <sheet xmlns:r="http://schemas.openxmlformats.org/officeDocument/2006/relationships" name="COMPARADOR DE PRODUCTOS" sheetId="4" state="visible" r:id="rId4"/>
    <sheet xmlns:r="http://schemas.openxmlformats.org/officeDocument/2006/relationships" name="COSTOS Y GASTOS" sheetId="5" state="visible" r:id="rId5"/>
    <sheet xmlns:r="http://schemas.openxmlformats.org/officeDocument/2006/relationships" name="SIMULADOR DE PRECIOS" sheetId="6" state="visible" r:id="rId6"/>
    <sheet xmlns:r="http://schemas.openxmlformats.org/officeDocument/2006/relationships" name="DASHBOARD" sheetId="7" state="visible" r:id="rId7"/>
    <sheet xmlns:r="http://schemas.openxmlformats.org/officeDocument/2006/relationships" name="GUÍA DE USO" sheetId="8" state="visible" r:id="rId8"/>
  </sheets>
  <definedNames>
    <definedName name="NombreNegocio">'CONFIGURACIÓN'!$C$7</definedName>
    <definedName name="Responsable">'CONFIGURACIÓN'!$C$8</definedName>
    <definedName name="Moneda">'CONFIGURACIÓN'!$C$9</definedName>
    <definedName name="Comision">'CONFIGURACIÓN'!$C$11</definedName>
    <definedName name="Impuesto">'CONFIGURACIÓN'!$C$12</definedName>
    <definedName name="EnvioHab">'CONFIGURACIÓN'!$C$13</definedName>
    <definedName name="EmpaqueHab">'CONFIGURACIÓN'!$C$14</definedName>
    <definedName name="OtrosHab">'CONFIGURACIÓN'!$C$15</definedName>
    <definedName name="MargenObj">'CONFIGURACIÓN'!$C$16</definedName>
    <definedName name="MargenMin">'CONFIGURACIÓN'!$C$17</definedName>
    <definedName name="Redondeo">'CONFIGURACIÓN'!$C$19</definedName>
    <definedName name="DescHab">'CONFIGURACIÓN'!$C$20</definedName>
    <definedName name="MetaGan">'CONFIGURACIÓN'!$C$21</definedName>
    <definedName name="Metodo">'CONFIGURACIÓN'!$C$18</definedName>
    <definedName name="DivBase">'CONFIGURACIÓN'!$C$24</definedName>
    <definedName name="DivMargen">'CONFIGURACIÓN'!$C$25</definedName>
    <definedName name="DivPromo">'CONFIGURACIÓN'!$C$26</definedName>
    <definedName name="MargenObjReal">'CONFIGURACIÓN'!$C$27</definedName>
    <definedName name="Categorias">'CONFIGURACIÓN'!$B$31:$B$42</definedName>
    <definedName name="ListaCats">'CONFIGURACIÓN'!$G$30:$G$42</definedName>
    <definedName name="CostoFijoUnit">'COSTOS Y GASTOS'!$H$6</definedName>
    <definedName name="CatSel">'DASHBOARD'!$D$6</definedName>
    <definedName name="_xlnm.Print_Area" localSheetId="0">'INICIO'!$A$1:$M$36</definedName>
    <definedName name="_xlnm.Print_Area" localSheetId="1">'CONFIGURACIÓN'!$A$1:$D$48</definedName>
    <definedName name="_xlnm.Print_Area" localSheetId="2">'CALCULADORA'!$A$1:$J$40</definedName>
    <definedName name="_xlnm._FilterDatabase" localSheetId="3" hidden="1">'COMPARADOR DE PRODUCTOS'!$B$6:$N$206</definedName>
    <definedName name="_xlnm.Print_Titles" localSheetId="3">'COMPARADOR DE PRODUCTOS'!$6:$6</definedName>
    <definedName name="_xlnm.Print_Area" localSheetId="3">'COMPARADOR DE PRODUCTOS'!$A$1:$N$210</definedName>
    <definedName name="_xlnm.Print_Area" localSheetId="4">'COSTOS Y GASTOS'!$A$1:$I$47</definedName>
    <definedName name="_xlnm.Print_Area" localSheetId="5">'SIMULADOR DE PRECIOS'!$A$1:$J$53</definedName>
    <definedName name="_xlnm.Print_Area" localSheetId="6">'DASHBOARD'!$A$1:$M$81</definedName>
    <definedName name="_xlnm.Print_Area" localSheetId="7">'GUÍA DE USO'!$A$1:$J$52</definedName>
  </definedNames>
  <calcPr calcId="124519" fullCalcOnLoad="1"/>
</workbook>
</file>

<file path=xl/styles.xml><?xml version="1.0" encoding="utf-8"?>
<styleSheet xmlns="http://schemas.openxmlformats.org/spreadsheetml/2006/main">
  <numFmts count="8">
    <numFmt numFmtId="164" formatCode="0.0%"/>
    <numFmt numFmtId="165" formatCode="0.0000"/>
    <numFmt numFmtId="166" formatCode="#,##0;[Red]-#,##0;&quot;-&quot;"/>
    <numFmt numFmtId="167" formatCode="0.0%;[Red]-0.0%;&quot;-&quot;"/>
    <numFmt numFmtId="168" formatCode="#,##0;[Red]-#,##0;;@"/>
    <numFmt numFmtId="169" formatCode="0.0%;[Red]-0.0%;;@"/>
    <numFmt numFmtId="170" formatCode="0.000"/>
    <numFmt numFmtId="171" formatCode="+0.0%;-0.0%;0.0%"/>
  </numFmts>
  <fonts count="37">
    <font>
      <name val="Calibri"/>
      <family val="2"/>
      <color theme="1"/>
      <sz val="11"/>
      <scheme val="minor"/>
    </font>
    <font>
      <name val="Arial"/>
      <b val="1"/>
      <color rgb="00FFFFFF"/>
      <sz val="16"/>
    </font>
    <font>
      <name val="Arial"/>
      <b val="1"/>
      <color rgb="00FFB366"/>
      <sz val="13"/>
    </font>
    <font>
      <name val="Arial"/>
      <i val="1"/>
      <color rgb="00FFFFFF"/>
      <sz val="9"/>
    </font>
    <font>
      <name val="Arial"/>
      <color rgb="00FFFFFF"/>
      <sz val="9"/>
    </font>
    <font>
      <name val="Arial"/>
      <color rgb="00000000"/>
      <sz val="10"/>
    </font>
    <font>
      <name val="Arial"/>
      <b val="1"/>
      <color rgb="000B2A7A"/>
      <sz val="13"/>
    </font>
    <font>
      <name val="Arial"/>
      <b val="1"/>
      <color rgb="000A52C4"/>
      <sz val="9"/>
      <u val="single"/>
    </font>
    <font>
      <name val="Arial"/>
      <i val="1"/>
      <color rgb="005B6787"/>
      <sz val="9"/>
    </font>
    <font>
      <name val="Arial"/>
      <b val="1"/>
      <color rgb="00FFFFFF"/>
      <sz val="11"/>
    </font>
    <font>
      <name val="Arial"/>
      <b val="1"/>
      <color rgb="00000000"/>
      <sz val="10"/>
    </font>
    <font>
      <name val="Arial"/>
      <i val="1"/>
      <color rgb="005B6787"/>
      <sz val="8"/>
    </font>
    <font>
      <name val="Arial"/>
      <b val="1"/>
      <color rgb="000B2A7A"/>
      <sz val="9"/>
    </font>
    <font>
      <name val="Arial"/>
      <color rgb="005B6787"/>
      <sz val="8"/>
    </font>
    <font>
      <name val="Arial"/>
      <b val="1"/>
      <color rgb="005B6787"/>
      <sz val="8"/>
    </font>
    <font>
      <name val="Arial"/>
      <b val="1"/>
      <color rgb="00FF7A00"/>
      <sz val="20"/>
    </font>
    <font>
      <name val="Arial"/>
      <b val="1"/>
      <color rgb="000B2A7A"/>
      <sz val="18"/>
    </font>
    <font>
      <name val="Arial"/>
      <b val="1"/>
      <color rgb="00B00020"/>
      <sz val="18"/>
    </font>
    <font>
      <name val="Arial"/>
      <color rgb="005B6787"/>
      <sz val="10"/>
    </font>
    <font>
      <name val="Arial"/>
      <b val="1"/>
      <color rgb="00000000"/>
      <sz val="11"/>
    </font>
    <font>
      <name val="Arial"/>
      <color rgb="005B6787"/>
      <sz val="9"/>
    </font>
    <font>
      <name val="Arial"/>
      <color rgb="00000000"/>
      <sz val="9"/>
    </font>
    <font>
      <name val="Arial"/>
      <b val="1"/>
      <color rgb="00FF7A00"/>
      <sz val="11"/>
    </font>
    <font>
      <name val="Arial"/>
      <b val="1"/>
      <color rgb="00000000"/>
      <sz val="12"/>
    </font>
    <font>
      <name val="Arial"/>
      <color rgb="00000000"/>
      <sz val="8"/>
    </font>
    <font>
      <name val="Arial"/>
      <b val="1"/>
      <color rgb="00FFFFFF"/>
      <sz val="9"/>
    </font>
    <font>
      <name val="Arial"/>
      <b val="1"/>
      <color rgb="00FF7A00"/>
      <sz val="18"/>
    </font>
    <font>
      <name val="Arial"/>
      <b val="1"/>
      <color rgb="000B2A7A"/>
      <sz val="10"/>
    </font>
    <font>
      <name val="Arial"/>
      <b val="1"/>
      <color rgb="0017653B"/>
      <sz val="18"/>
    </font>
    <font>
      <name val="Arial"/>
      <b val="1"/>
      <color rgb="009A4A00"/>
      <sz val="18"/>
    </font>
    <font>
      <name val="Arial"/>
      <b val="1"/>
      <color rgb="000A52C4"/>
      <sz val="11"/>
      <u val="single"/>
    </font>
    <font>
      <name val="Arial"/>
      <b val="1"/>
      <color rgb="000B2A7A"/>
      <sz val="20"/>
    </font>
    <font>
      <name val="Arial"/>
      <b val="1"/>
      <color rgb="00FF7A00"/>
      <sz val="10"/>
    </font>
    <font>
      <name val="Arial"/>
      <b val="1"/>
      <color rgb="00FFFFFF"/>
      <sz val="14"/>
    </font>
    <font>
      <name val="Arial"/>
      <b val="1"/>
      <color rgb="000B2A7A"/>
      <sz val="11"/>
    </font>
    <font>
      <name val="Arial"/>
      <b val="1"/>
      <color rgb="00FFFFFF"/>
      <sz val="12"/>
    </font>
    <font>
      <name val="Arial"/>
      <b val="1"/>
      <color rgb="000A52C4"/>
      <sz val="10"/>
      <u val="single"/>
    </font>
  </fonts>
  <fills count="19">
    <fill>
      <patternFill/>
    </fill>
    <fill>
      <patternFill patternType="gray125"/>
    </fill>
    <fill>
      <patternFill patternType="solid">
        <fgColor rgb="000B2A7A"/>
        <bgColor rgb="000B2A7A"/>
      </patternFill>
    </fill>
    <fill>
      <patternFill patternType="solid">
        <fgColor rgb="000A52C4"/>
        <bgColor rgb="000A52C4"/>
      </patternFill>
    </fill>
    <fill>
      <patternFill patternType="solid">
        <fgColor rgb="00FF7A00"/>
        <bgColor rgb="00FF7A00"/>
      </patternFill>
    </fill>
    <fill>
      <patternFill patternType="solid">
        <fgColor rgb="00FFFFFF"/>
        <bgColor rgb="00FFFFFF"/>
      </patternFill>
    </fill>
    <fill>
      <patternFill patternType="solid">
        <fgColor rgb="00FFB800"/>
        <bgColor rgb="00FFB800"/>
      </patternFill>
    </fill>
    <fill>
      <patternFill patternType="solid">
        <fgColor rgb="000094FB"/>
        <bgColor rgb="000094FB"/>
      </patternFill>
    </fill>
    <fill>
      <patternFill patternType="solid">
        <fgColor rgb="00DCE9FF"/>
        <bgColor rgb="00DCE9FF"/>
      </patternFill>
    </fill>
    <fill>
      <patternFill patternType="solid">
        <fgColor rgb="005B6787"/>
        <bgColor rgb="005B6787"/>
      </patternFill>
    </fill>
    <fill>
      <patternFill patternType="solid">
        <fgColor rgb="00ECEFF5"/>
        <bgColor rgb="00ECEFF5"/>
      </patternFill>
    </fill>
    <fill>
      <patternFill patternType="solid">
        <fgColor rgb="002ECC40"/>
        <bgColor rgb="002ECC40"/>
      </patternFill>
    </fill>
    <fill>
      <patternFill patternType="solid">
        <fgColor rgb="008727E2"/>
        <bgColor rgb="008727E2"/>
      </patternFill>
    </fill>
    <fill>
      <patternFill patternType="solid">
        <fgColor rgb="00F5F8FF"/>
        <bgColor rgb="00F5F8FF"/>
      </patternFill>
    </fill>
    <fill>
      <patternFill patternType="solid">
        <fgColor rgb="00E3EAF8"/>
        <bgColor rgb="00E3EAF8"/>
      </patternFill>
    </fill>
    <fill>
      <patternFill patternType="solid">
        <fgColor rgb="00FFF1E0"/>
        <bgColor rgb="00FFF1E0"/>
      </patternFill>
    </fill>
    <fill>
      <patternFill patternType="solid">
        <fgColor rgb="00FFE5CC"/>
        <bgColor rgb="00FFE5CC"/>
      </patternFill>
    </fill>
    <fill>
      <patternFill patternType="solid">
        <fgColor rgb="00D9F2E3"/>
        <bgColor rgb="00D9F2E3"/>
      </patternFill>
    </fill>
    <fill>
      <patternFill patternType="solid">
        <fgColor rgb="00FBD5D5"/>
        <bgColor rgb="00FBD5D5"/>
      </patternFill>
    </fill>
  </fills>
  <borders count="6">
    <border>
      <left/>
      <right/>
      <top/>
      <bottom/>
      <diagonal/>
    </border>
    <border>
      <left style="thin">
        <color rgb="00C9D3EA"/>
      </left>
      <right style="thin">
        <color rgb="00C9D3EA"/>
      </right>
      <top style="thin">
        <color rgb="00C9D3EA"/>
      </top>
      <bottom style="thin">
        <color rgb="00C9D3EA"/>
      </bottom>
    </border>
    <border>
      <left style="thick">
        <color rgb="00FF7A00"/>
      </left>
    </border>
    <border>
      <left/>
      <right/>
      <top style="thin">
        <color rgb="00C9D3EA"/>
      </top>
      <bottom/>
      <diagonal/>
    </border>
    <border>
      <left/>
      <right style="thin">
        <color rgb="00C9D3EA"/>
      </right>
      <top style="thin">
        <color rgb="00C9D3EA"/>
      </top>
      <bottom/>
      <diagonal/>
    </border>
    <border>
      <left/>
      <right style="thin">
        <color rgb="00C9D3EA"/>
      </right>
      <top style="thin">
        <color rgb="00C9D3EA"/>
      </top>
      <bottom style="thin">
        <color rgb="00C9D3EA"/>
      </bottom>
      <diagonal/>
    </border>
  </borders>
  <cellStyleXfs count="1">
    <xf numFmtId="0" fontId="0" fillId="0" borderId="0"/>
  </cellStyleXfs>
  <cellXfs count="103">
    <xf numFmtId="0" fontId="0" fillId="0" borderId="0" pivotButton="0" quotePrefix="0" xfId="0"/>
    <xf numFmtId="0" fontId="1" fillId="5" borderId="0" applyAlignment="1" pivotButton="0" quotePrefix="0" xfId="0">
      <alignment horizontal="left" vertical="center"/>
    </xf>
    <xf numFmtId="0" fontId="0" fillId="5" borderId="0" pivotButton="0" quotePrefix="0" xfId="0"/>
    <xf numFmtId="0" fontId="6" fillId="5" borderId="0" applyAlignment="1" pivotButton="0" quotePrefix="0" xfId="0">
      <alignment horizontal="right" vertical="center"/>
    </xf>
    <xf numFmtId="0" fontId="3" fillId="3" borderId="0" applyAlignment="1" pivotButton="0" quotePrefix="0" xfId="0">
      <alignment horizontal="left" vertical="center"/>
    </xf>
    <xf numFmtId="0" fontId="4" fillId="3" borderId="0" applyAlignment="1" pivotButton="0" quotePrefix="0" xfId="0">
      <alignment horizontal="right" vertical="center"/>
    </xf>
    <xf numFmtId="0" fontId="5" fillId="4" borderId="0" applyAlignment="1" pivotButton="0" quotePrefix="0" xfId="0">
      <alignment vertical="center"/>
    </xf>
    <xf numFmtId="0" fontId="0" fillId="4" borderId="0" pivotButton="0" quotePrefix="0" xfId="0"/>
    <xf numFmtId="0" fontId="0" fillId="6" borderId="0" pivotButton="0" quotePrefix="0" xfId="0"/>
    <xf numFmtId="0" fontId="0" fillId="11" borderId="0" pivotButton="0" quotePrefix="0" xfId="0"/>
    <xf numFmtId="0" fontId="0" fillId="7" borderId="0" pivotButton="0" quotePrefix="0" xfId="0"/>
    <xf numFmtId="0" fontId="0" fillId="12" borderId="0" pivotButton="0" quotePrefix="0" xfId="0"/>
    <xf numFmtId="0" fontId="8" fillId="0" borderId="0" applyAlignment="1" pivotButton="0" quotePrefix="0" xfId="0">
      <alignment horizontal="left" vertical="center"/>
    </xf>
    <xf numFmtId="0" fontId="31" fillId="0" borderId="0" applyAlignment="1" pivotButton="0" quotePrefix="0" xfId="0">
      <alignment horizontal="left" vertical="center"/>
    </xf>
    <xf numFmtId="0" fontId="32" fillId="0" borderId="0" applyAlignment="1" pivotButton="0" quotePrefix="0" xfId="0">
      <alignment horizontal="left" vertical="center"/>
    </xf>
    <xf numFmtId="0" fontId="33" fillId="3" borderId="0" applyAlignment="1" pivotButton="0" quotePrefix="0" xfId="0">
      <alignment horizontal="center" vertical="center"/>
    </xf>
    <xf numFmtId="0" fontId="34" fillId="13" borderId="2" applyAlignment="1" pivotButton="0" quotePrefix="0" xfId="0">
      <alignment horizontal="center" vertical="center"/>
    </xf>
    <xf numFmtId="0" fontId="20" fillId="13" borderId="2" applyAlignment="1" pivotButton="0" quotePrefix="0" xfId="0">
      <alignment horizontal="center" vertical="top" wrapText="1"/>
    </xf>
    <xf numFmtId="0" fontId="9" fillId="2" borderId="0" applyAlignment="1" pivotButton="0" quotePrefix="0" xfId="0">
      <alignment horizontal="left" vertical="center"/>
    </xf>
    <xf numFmtId="0" fontId="35" fillId="3" borderId="1" applyAlignment="1" pivotButton="0" quotePrefix="0" xfId="0">
      <alignment horizontal="center" vertical="center"/>
    </xf>
    <xf numFmtId="0" fontId="4" fillId="3" borderId="1" applyAlignment="1" pivotButton="0" quotePrefix="0" xfId="0">
      <alignment horizontal="center" vertical="center"/>
    </xf>
    <xf numFmtId="0" fontId="35" fillId="4" borderId="1" applyAlignment="1" pivotButton="0" quotePrefix="0" xfId="0">
      <alignment horizontal="center" vertical="center"/>
    </xf>
    <xf numFmtId="0" fontId="4" fillId="4" borderId="1" applyAlignment="1" pivotButton="0" quotePrefix="0" xfId="0">
      <alignment horizontal="center" vertical="center"/>
    </xf>
    <xf numFmtId="0" fontId="34" fillId="13" borderId="2" applyAlignment="1" pivotButton="0" quotePrefix="0" xfId="0">
      <alignment horizontal="left" vertical="center"/>
    </xf>
    <xf numFmtId="0" fontId="20" fillId="13" borderId="2" applyAlignment="1" pivotButton="0" quotePrefix="0" xfId="0">
      <alignment horizontal="left" vertical="top" wrapText="1"/>
    </xf>
    <xf numFmtId="0" fontId="27" fillId="0" borderId="0" applyAlignment="1" pivotButton="0" quotePrefix="0" xfId="0">
      <alignment horizontal="left" vertical="center"/>
    </xf>
    <xf numFmtId="0" fontId="24" fillId="8" borderId="1" applyAlignment="1" pivotButton="0" quotePrefix="0" xfId="0">
      <alignment horizontal="center" vertical="center"/>
    </xf>
    <xf numFmtId="0" fontId="0" fillId="0" borderId="5" pivotButton="0" quotePrefix="0" xfId="0"/>
    <xf numFmtId="0" fontId="24" fillId="10" borderId="1" applyAlignment="1" pivotButton="0" quotePrefix="0" xfId="0">
      <alignment horizontal="center" vertical="center"/>
    </xf>
    <xf numFmtId="0" fontId="24" fillId="16" borderId="1" applyAlignment="1" pivotButton="0" quotePrefix="0" xfId="0">
      <alignment horizontal="center" vertical="center"/>
    </xf>
    <xf numFmtId="0" fontId="24" fillId="17" borderId="1" applyAlignment="1" pivotButton="0" quotePrefix="0" xfId="0">
      <alignment horizontal="center" vertical="center"/>
    </xf>
    <xf numFmtId="0" fontId="24" fillId="18" borderId="1" applyAlignment="1" pivotButton="0" quotePrefix="0" xfId="0">
      <alignment horizontal="center" vertical="center"/>
    </xf>
    <xf numFmtId="0" fontId="20" fillId="13" borderId="0" applyAlignment="1" pivotButton="0" quotePrefix="0" xfId="0">
      <alignment horizontal="left" vertical="center" wrapText="1"/>
    </xf>
    <xf numFmtId="0" fontId="36" fillId="13" borderId="0" applyAlignment="1" pivotButton="0" quotePrefix="0" xfId="0">
      <alignment horizontal="left" vertical="center"/>
    </xf>
    <xf numFmtId="0" fontId="5" fillId="2" borderId="0" applyAlignment="1" pivotButton="0" quotePrefix="0" xfId="0">
      <alignment vertical="center"/>
    </xf>
    <xf numFmtId="0" fontId="12" fillId="0" borderId="0" applyAlignment="1" pivotButton="0" quotePrefix="0" xfId="0">
      <alignment horizontal="center" vertical="center"/>
    </xf>
    <xf numFmtId="0" fontId="13" fillId="0" borderId="0" applyAlignment="1" pivotButton="0" quotePrefix="0" xfId="0">
      <alignment horizontal="center" vertical="center"/>
    </xf>
    <xf numFmtId="0" fontId="7" fillId="0" borderId="0" applyAlignment="1" pivotButton="0" quotePrefix="0" xfId="0">
      <alignment horizontal="left" vertical="center"/>
    </xf>
    <xf numFmtId="0" fontId="10" fillId="0" borderId="0" applyAlignment="1" pivotButton="0" quotePrefix="0" xfId="0">
      <alignment horizontal="left" vertical="center"/>
    </xf>
    <xf numFmtId="0" fontId="5" fillId="8" borderId="1" applyAlignment="1" applyProtection="1" pivotButton="0" quotePrefix="0" xfId="0">
      <alignment horizontal="left" vertical="center"/>
      <protection locked="0" hidden="0"/>
    </xf>
    <xf numFmtId="0" fontId="8" fillId="0" borderId="0" applyAlignment="1" pivotButton="0" quotePrefix="0" xfId="0">
      <alignment horizontal="left" vertical="center" wrapText="1"/>
    </xf>
    <xf numFmtId="0" fontId="9" fillId="3" borderId="0" applyAlignment="1" pivotButton="0" quotePrefix="0" xfId="0">
      <alignment horizontal="left" vertical="center"/>
    </xf>
    <xf numFmtId="164" fontId="5" fillId="8" borderId="1" applyAlignment="1" applyProtection="1" pivotButton="0" quotePrefix="0" xfId="0">
      <alignment horizontal="right" vertical="center"/>
      <protection locked="0" hidden="0"/>
    </xf>
    <xf numFmtId="3" fontId="5" fillId="8" borderId="1" applyAlignment="1" applyProtection="1" pivotButton="0" quotePrefix="0" xfId="0">
      <alignment horizontal="right" vertical="center"/>
      <protection locked="0" hidden="0"/>
    </xf>
    <xf numFmtId="0" fontId="9" fillId="9" borderId="0" applyAlignment="1" pivotButton="0" quotePrefix="0" xfId="0">
      <alignment horizontal="left" vertical="center"/>
    </xf>
    <xf numFmtId="0" fontId="5" fillId="0" borderId="0" applyAlignment="1" pivotButton="0" quotePrefix="0" xfId="0">
      <alignment horizontal="left" vertical="center"/>
    </xf>
    <xf numFmtId="165" fontId="5" fillId="10" borderId="1" applyAlignment="1" pivotButton="0" quotePrefix="0" xfId="0">
      <alignment horizontal="right" vertical="center"/>
    </xf>
    <xf numFmtId="164" fontId="5" fillId="10" borderId="1" applyAlignment="1" pivotButton="0" quotePrefix="0" xfId="0">
      <alignment horizontal="right" vertical="center"/>
    </xf>
    <xf numFmtId="0" fontId="10" fillId="10" borderId="1" applyAlignment="1" pivotButton="0" quotePrefix="0" xfId="0">
      <alignment vertical="center"/>
    </xf>
    <xf numFmtId="0" fontId="11" fillId="0" borderId="0" applyAlignment="1" pivotButton="0" quotePrefix="0" xfId="0">
      <alignment horizontal="left" vertical="center"/>
    </xf>
    <xf numFmtId="0" fontId="14" fillId="13" borderId="2" applyAlignment="1" pivotButton="0" quotePrefix="0" xfId="0">
      <alignment horizontal="center" vertical="center"/>
    </xf>
    <xf numFmtId="166" fontId="15" fillId="13" borderId="2" applyAlignment="1" pivotButton="0" quotePrefix="0" xfId="0">
      <alignment horizontal="center" vertical="center"/>
    </xf>
    <xf numFmtId="166" fontId="16" fillId="13" borderId="2" applyAlignment="1" pivotButton="0" quotePrefix="0" xfId="0">
      <alignment horizontal="center" vertical="center"/>
    </xf>
    <xf numFmtId="167" fontId="16" fillId="13" borderId="2" applyAlignment="1" pivotButton="0" quotePrefix="0" xfId="0">
      <alignment horizontal="center" vertical="center"/>
    </xf>
    <xf numFmtId="166" fontId="17" fillId="13" borderId="2" applyAlignment="1" pivotButton="0" quotePrefix="0" xfId="0">
      <alignment horizontal="center" vertical="center"/>
    </xf>
    <xf numFmtId="0" fontId="13" fillId="13" borderId="2" applyAlignment="1" pivotButton="0" quotePrefix="0" xfId="0">
      <alignment horizontal="center" vertical="center"/>
    </xf>
    <xf numFmtId="0" fontId="9" fillId="4" borderId="0" applyAlignment="1" pivotButton="0" quotePrefix="0" xfId="0">
      <alignment horizontal="left" vertical="center"/>
    </xf>
    <xf numFmtId="0" fontId="12" fillId="14" borderId="1" applyAlignment="1" pivotButton="0" quotePrefix="0" xfId="0">
      <alignment horizontal="center" vertical="center" wrapText="1"/>
    </xf>
    <xf numFmtId="0" fontId="12" fillId="14" borderId="1" applyAlignment="1" pivotButton="0" quotePrefix="0" xfId="0">
      <alignment horizontal="center" vertical="center"/>
    </xf>
    <xf numFmtId="166" fontId="5" fillId="10" borderId="1" applyAlignment="1" pivotButton="0" quotePrefix="0" xfId="0">
      <alignment horizontal="right" vertical="center"/>
    </xf>
    <xf numFmtId="0" fontId="13" fillId="10" borderId="1" applyAlignment="1" pivotButton="0" quotePrefix="0" xfId="0">
      <alignment vertical="center"/>
    </xf>
    <xf numFmtId="0" fontId="22" fillId="0" borderId="0" applyAlignment="1" pivotButton="0" quotePrefix="0" xfId="0">
      <alignment horizontal="left" vertical="center"/>
    </xf>
    <xf numFmtId="166" fontId="23" fillId="15" borderId="1" applyAlignment="1" pivotButton="0" quotePrefix="0" xfId="0">
      <alignment horizontal="right" vertical="center"/>
    </xf>
    <xf numFmtId="0" fontId="5" fillId="8" borderId="1" applyAlignment="1" applyProtection="1" pivotButton="0" quotePrefix="0" xfId="0">
      <alignment horizontal="right" vertical="center"/>
      <protection locked="0" hidden="0"/>
    </xf>
    <xf numFmtId="0" fontId="18" fillId="10" borderId="1" applyAlignment="1" pivotButton="0" quotePrefix="0" xfId="0">
      <alignment horizontal="center" vertical="center"/>
    </xf>
    <xf numFmtId="0" fontId="5" fillId="10" borderId="1" applyAlignment="1" pivotButton="0" quotePrefix="0" xfId="0">
      <alignment vertical="center"/>
    </xf>
    <xf numFmtId="166" fontId="10" fillId="10" borderId="1" applyAlignment="1" pivotButton="0" quotePrefix="0" xfId="0">
      <alignment horizontal="right" vertical="center"/>
    </xf>
    <xf numFmtId="0" fontId="24" fillId="10" borderId="1" applyAlignment="1" pivotButton="0" quotePrefix="0" xfId="0">
      <alignment vertical="center"/>
    </xf>
    <xf numFmtId="0" fontId="5" fillId="8" borderId="1" applyAlignment="1" applyProtection="1" pivotButton="0" quotePrefix="0" xfId="0">
      <alignment horizontal="center" vertical="center"/>
      <protection locked="0" hidden="0"/>
    </xf>
    <xf numFmtId="167" fontId="10" fillId="10" borderId="1" applyAlignment="1" pivotButton="0" quotePrefix="0" xfId="0">
      <alignment horizontal="right" vertical="center"/>
    </xf>
    <xf numFmtId="167" fontId="5" fillId="10" borderId="1" applyAlignment="1" pivotButton="0" quotePrefix="0" xfId="0">
      <alignment horizontal="right" vertical="center"/>
    </xf>
    <xf numFmtId="3" fontId="5" fillId="10" borderId="1" applyAlignment="1" pivotButton="0" quotePrefix="0" xfId="0">
      <alignment horizontal="right" vertical="center"/>
    </xf>
    <xf numFmtId="166" fontId="19" fillId="14" borderId="1" applyAlignment="1" pivotButton="0" quotePrefix="0" xfId="0">
      <alignment horizontal="right" vertical="center"/>
    </xf>
    <xf numFmtId="0" fontId="20" fillId="0" borderId="0" applyAlignment="1" pivotButton="0" quotePrefix="0" xfId="0">
      <alignment horizontal="left" vertical="center"/>
    </xf>
    <xf numFmtId="0" fontId="21" fillId="10" borderId="1" applyAlignment="1" pivotButton="0" quotePrefix="0" xfId="0">
      <alignment horizontal="center" vertical="center"/>
    </xf>
    <xf numFmtId="0" fontId="13" fillId="10" borderId="1" applyAlignment="1" pivotButton="0" quotePrefix="0" xfId="0">
      <alignment horizontal="center" vertical="center"/>
    </xf>
    <xf numFmtId="164" fontId="10" fillId="10" borderId="1" applyAlignment="1" pivotButton="0" quotePrefix="0" xfId="0">
      <alignment horizontal="right" vertical="center"/>
    </xf>
    <xf numFmtId="165" fontId="20" fillId="10" borderId="1" applyAlignment="1" pivotButton="0" quotePrefix="0" xfId="0">
      <alignment horizontal="right" vertical="center"/>
    </xf>
    <xf numFmtId="3" fontId="10" fillId="10" borderId="1" applyAlignment="1" pivotButton="0" quotePrefix="0" xfId="0">
      <alignment horizontal="right" vertical="center"/>
    </xf>
    <xf numFmtId="0" fontId="11" fillId="0" borderId="0" applyAlignment="1" pivotButton="0" quotePrefix="0" xfId="0">
      <alignment horizontal="left" vertical="center" wrapText="1"/>
    </xf>
    <xf numFmtId="0" fontId="12" fillId="0" borderId="0" applyAlignment="1" pivotButton="0" quotePrefix="0" xfId="0">
      <alignment horizontal="left" vertical="center"/>
    </xf>
    <xf numFmtId="0" fontId="25" fillId="3" borderId="1" applyAlignment="1" pivotButton="0" quotePrefix="0" xfId="0">
      <alignment horizontal="center" vertical="center" wrapText="1"/>
    </xf>
    <xf numFmtId="0" fontId="25" fillId="2" borderId="1" applyAlignment="1" pivotButton="0" quotePrefix="0" xfId="0">
      <alignment horizontal="center" vertical="center" wrapText="1"/>
    </xf>
    <xf numFmtId="0" fontId="21" fillId="8" borderId="1" applyAlignment="1" applyProtection="1" pivotButton="0" quotePrefix="0" xfId="0">
      <alignment horizontal="left" vertical="center"/>
      <protection locked="0" hidden="0"/>
    </xf>
    <xf numFmtId="3" fontId="21" fillId="8" borderId="1" applyAlignment="1" applyProtection="1" pivotButton="0" quotePrefix="0" xfId="0">
      <alignment horizontal="right" vertical="center"/>
      <protection locked="0" hidden="0"/>
    </xf>
    <xf numFmtId="168" fontId="21" fillId="10" borderId="1" applyAlignment="1" pivotButton="0" quotePrefix="0" xfId="0">
      <alignment horizontal="right" vertical="center"/>
    </xf>
    <xf numFmtId="169" fontId="21" fillId="10" borderId="1" applyAlignment="1" pivotButton="0" quotePrefix="0" xfId="0">
      <alignment horizontal="right" vertical="center"/>
    </xf>
    <xf numFmtId="1" fontId="21" fillId="10" borderId="1" applyAlignment="1" pivotButton="0" quotePrefix="0" xfId="0">
      <alignment horizontal="center" vertical="center"/>
    </xf>
    <xf numFmtId="170" fontId="21" fillId="10" borderId="1" applyAlignment="1" pivotButton="0" quotePrefix="0" xfId="0">
      <alignment horizontal="right" vertical="center"/>
    </xf>
    <xf numFmtId="166" fontId="26" fillId="13" borderId="2" applyAlignment="1" pivotButton="0" quotePrefix="0" xfId="0">
      <alignment horizontal="center" vertical="center"/>
    </xf>
    <xf numFmtId="0" fontId="21" fillId="8" borderId="1" applyAlignment="1" applyProtection="1" pivotButton="0" quotePrefix="0" xfId="0">
      <alignment horizontal="center" vertical="center"/>
      <protection locked="0" hidden="0"/>
    </xf>
    <xf numFmtId="0" fontId="25" fillId="2" borderId="0" applyAlignment="1" pivotButton="0" quotePrefix="0" xfId="0">
      <alignment horizontal="center" vertical="center"/>
    </xf>
    <xf numFmtId="0" fontId="21" fillId="10" borderId="1" applyAlignment="1" pivotButton="0" quotePrefix="0" xfId="0">
      <alignment vertical="center"/>
    </xf>
    <xf numFmtId="171" fontId="5" fillId="8" borderId="1" applyAlignment="1" applyProtection="1" pivotButton="0" quotePrefix="0" xfId="0">
      <alignment horizontal="right" vertical="center"/>
      <protection locked="0" hidden="0"/>
    </xf>
    <xf numFmtId="3" fontId="16" fillId="13" borderId="2" applyAlignment="1" pivotButton="0" quotePrefix="0" xfId="0">
      <alignment horizontal="center" vertical="center"/>
    </xf>
    <xf numFmtId="3" fontId="28" fillId="13" borderId="2" applyAlignment="1" pivotButton="0" quotePrefix="0" xfId="0">
      <alignment horizontal="center" vertical="center"/>
    </xf>
    <xf numFmtId="3" fontId="29" fillId="13" borderId="2" applyAlignment="1" pivotButton="0" quotePrefix="0" xfId="0">
      <alignment horizontal="center" vertical="center"/>
    </xf>
    <xf numFmtId="3" fontId="17" fillId="13" borderId="2" applyAlignment="1" pivotButton="0" quotePrefix="0" xfId="0">
      <alignment horizontal="center" vertical="center"/>
    </xf>
    <xf numFmtId="0" fontId="5" fillId="10" borderId="1" applyAlignment="1" pivotButton="0" quotePrefix="0" xfId="0">
      <alignment horizontal="center" vertical="center"/>
    </xf>
    <xf numFmtId="0" fontId="5" fillId="10" borderId="1" applyAlignment="1" pivotButton="0" quotePrefix="0" xfId="0">
      <alignment horizontal="left" vertical="center"/>
    </xf>
    <xf numFmtId="0" fontId="20" fillId="0" borderId="0" applyAlignment="1" pivotButton="0" quotePrefix="0" xfId="0">
      <alignment horizontal="left" vertical="top" wrapText="1"/>
    </xf>
    <xf numFmtId="0" fontId="5" fillId="0" borderId="0" applyAlignment="1" pivotButton="0" quotePrefix="0" xfId="0">
      <alignment horizontal="left" vertical="top" wrapText="1"/>
    </xf>
    <xf numFmtId="0" fontId="30" fillId="0" borderId="0" applyAlignment="1" pivotButton="0" quotePrefix="0" xfId="0">
      <alignment horizontal="left" vertical="center"/>
    </xf>
  </cellXfs>
  <cellStyles count="1">
    <cellStyle name="Normal" xfId="0" builtinId="0" hidden="0"/>
  </cellStyles>
  <dxfs count="7">
    <dxf>
      <font>
        <b val="1"/>
        <color rgb="00B00020"/>
      </font>
      <fill>
        <patternFill patternType="solid">
          <fgColor rgb="00FBD5D5"/>
          <bgColor rgb="00FBD5D5"/>
        </patternFill>
      </fill>
    </dxf>
    <dxf>
      <font>
        <b val="1"/>
        <color rgb="009A4A00"/>
      </font>
      <fill>
        <patternFill patternType="solid">
          <fgColor rgb="00FFE5CC"/>
          <bgColor rgb="00FFE5CC"/>
        </patternFill>
      </fill>
    </dxf>
    <dxf>
      <font>
        <b val="1"/>
        <color rgb="0017653B"/>
      </font>
      <fill>
        <patternFill patternType="solid">
          <fgColor rgb="00D9F2E3"/>
          <bgColor rgb="00D9F2E3"/>
        </patternFill>
      </fill>
    </dxf>
    <dxf>
      <font>
        <b val="1"/>
        <color rgb="00B00020"/>
      </font>
    </dxf>
    <dxf>
      <font>
        <b val="1"/>
        <color rgb="009A4A00"/>
      </font>
    </dxf>
    <dxf>
      <font>
        <b val="1"/>
        <color rgb="0017653B"/>
      </font>
    </dxf>
    <dxf>
      <font>
        <b val="1"/>
        <color rgb="007A5B00"/>
      </font>
      <fill>
        <patternFill patternType="solid">
          <fgColor rgb="00FFF6D6"/>
          <bgColor rgb="00FFF6D6"/>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Costo vs. precio actual (primeros 15 productos)</a:t>
            </a:r>
          </a:p>
        </rich>
      </tx>
    </title>
    <plotArea>
      <barChart>
        <barDir val="col"/>
        <grouping val="clustered"/>
        <ser>
          <idx val="0"/>
          <order val="0"/>
          <tx>
            <strRef>
              <f>'COMPARADOR DE PRODUCTOS'!E6</f>
            </strRef>
          </tx>
          <spPr>
            <a:solidFill xmlns:a="http://schemas.openxmlformats.org/drawingml/2006/main">
              <a:srgbClr val="0B2A7A"/>
            </a:solidFill>
            <a:ln xmlns:a="http://schemas.openxmlformats.org/drawingml/2006/main">
              <a:prstDash val="solid"/>
            </a:ln>
          </spPr>
          <cat>
            <numRef>
              <f>'COMPARADOR DE PRODUCTOS'!$C$7:$C$21</f>
            </numRef>
          </cat>
          <val>
            <numRef>
              <f>'COMPARADOR DE PRODUCTOS'!$E$7:$E$21</f>
            </numRef>
          </val>
        </ser>
        <ser>
          <idx val="1"/>
          <order val="1"/>
          <tx>
            <strRef>
              <f>'COMPARADOR DE PRODUCTOS'!F6</f>
            </strRef>
          </tx>
          <spPr>
            <a:solidFill xmlns:a="http://schemas.openxmlformats.org/drawingml/2006/main">
              <a:srgbClr val="FF7A00"/>
            </a:solidFill>
            <a:ln xmlns:a="http://schemas.openxmlformats.org/drawingml/2006/main">
              <a:prstDash val="solid"/>
            </a:ln>
          </spPr>
          <cat>
            <numRef>
              <f>'COMPARADOR DE PRODUCTOS'!$C$7:$C$21</f>
            </numRef>
          </cat>
          <val>
            <numRef>
              <f>'COMPARADOR DE PRODUCTOS'!$F$7:$F$21</f>
            </numRef>
          </val>
        </ser>
        <gapWidth val="150"/>
        <axId val="10"/>
        <axId val="100"/>
      </barChart>
      <catAx>
        <axId val="10"/>
        <scaling>
          <orientation val="minMax"/>
        </scaling>
        <delete val="0"/>
        <axPos val="l"/>
        <majorTickMark val="none"/>
        <minorTickMark val="none"/>
        <crossAx val="100"/>
        <lblOffset val="100"/>
      </catAx>
      <valAx>
        <axId val="100"/>
        <scaling>
          <orientation val="minMax"/>
        </scaling>
        <delete val="0"/>
        <axPos val="l"/>
        <majorGridlines/>
        <numFmt formatCode="#,##0" sourceLinked="0"/>
        <majorTickMark val="none"/>
        <minorTickMark val="none"/>
        <crossAx val="10"/>
      </valAx>
    </plotArea>
    <legend>
      <legendPos val="b"/>
    </legend>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Ganancia total por escenario</a:t>
            </a:r>
          </a:p>
        </rich>
      </tx>
    </title>
    <plotArea>
      <barChart>
        <barDir val="col"/>
        <grouping val="clustered"/>
        <ser>
          <idx val="0"/>
          <order val="0"/>
          <tx>
            <strRef>
              <f>'SIMULADOR DE PRECIOS'!H18</f>
            </strRef>
          </tx>
          <spPr>
            <a:solidFill xmlns:a="http://schemas.openxmlformats.org/drawingml/2006/main">
              <a:srgbClr val="FF7A00"/>
            </a:solidFill>
            <a:ln xmlns:a="http://schemas.openxmlformats.org/drawingml/2006/main">
              <a:prstDash val="solid"/>
            </a:ln>
          </spPr>
          <cat>
            <numRef>
              <f>'SIMULADOR DE PRECIOS'!$B$19:$B$21</f>
            </numRef>
          </cat>
          <val>
            <numRef>
              <f>'SIMULADOR DE PRECIOS'!$H$19:$H$21</f>
            </numRef>
          </val>
        </ser>
        <gapWidth val="150"/>
        <axId val="10"/>
        <axId val="100"/>
      </barChart>
      <catAx>
        <axId val="10"/>
        <scaling>
          <orientation val="minMax"/>
        </scaling>
        <delete val="0"/>
        <axPos val="l"/>
        <majorTickMark val="none"/>
        <minorTickMark val="none"/>
        <crossAx val="100"/>
        <lblOffset val="100"/>
      </catAx>
      <valAx>
        <axId val="100"/>
        <scaling>
          <orientation val="minMax"/>
        </scaling>
        <delete val="0"/>
        <axPos val="l"/>
        <majorGridlines/>
        <numFmt formatCode="#,##0" sourceLinked="0"/>
        <majorTickMark val="none"/>
        <minorTickMark val="none"/>
        <crossAx val="10"/>
      </valAx>
    </plotArea>
    <plotVisOnly val="1"/>
    <dispBlanksAs val="gap"/>
  </chart>
</chartSpace>
</file>

<file path=xl/charts/chart3.xml><?xml version="1.0" encoding="utf-8"?>
<chartSpace xmlns="http://schemas.openxmlformats.org/drawingml/2006/chart">
  <chart>
    <title>
      <tx>
        <rich>
          <a:bodyPr xmlns:a="http://schemas.openxmlformats.org/drawingml/2006/main"/>
          <a:p xmlns:a="http://schemas.openxmlformats.org/drawingml/2006/main">
            <a:pPr>
              <a:defRPr/>
            </a:pPr>
            <a:r>
              <a:t>Precio de venta por escenario</a:t>
            </a:r>
          </a:p>
        </rich>
      </tx>
    </title>
    <plotArea>
      <barChart>
        <barDir val="col"/>
        <grouping val="clustered"/>
        <ser>
          <idx val="0"/>
          <order val="0"/>
          <tx>
            <strRef>
              <f>'SIMULADOR DE PRECIOS'!F18</f>
            </strRef>
          </tx>
          <spPr>
            <a:solidFill xmlns:a="http://schemas.openxmlformats.org/drawingml/2006/main">
              <a:srgbClr val="0A52C4"/>
            </a:solidFill>
            <a:ln xmlns:a="http://schemas.openxmlformats.org/drawingml/2006/main">
              <a:prstDash val="solid"/>
            </a:ln>
          </spPr>
          <cat>
            <numRef>
              <f>'SIMULADOR DE PRECIOS'!$B$19:$B$21</f>
            </numRef>
          </cat>
          <val>
            <numRef>
              <f>'SIMULADOR DE PRECIOS'!$F$19:$F$21</f>
            </numRef>
          </val>
        </ser>
        <gapWidth val="150"/>
        <axId val="10"/>
        <axId val="100"/>
      </barChart>
      <catAx>
        <axId val="10"/>
        <scaling>
          <orientation val="minMax"/>
        </scaling>
        <delete val="0"/>
        <axPos val="l"/>
        <majorTickMark val="none"/>
        <minorTickMark val="none"/>
        <crossAx val="100"/>
        <lblOffset val="100"/>
      </catAx>
      <valAx>
        <axId val="100"/>
        <scaling>
          <orientation val="minMax"/>
        </scaling>
        <delete val="0"/>
        <axPos val="l"/>
        <majorGridlines/>
        <numFmt formatCode="#,##0" sourceLinked="0"/>
        <majorTickMark val="none"/>
        <minorTickMark val="none"/>
        <crossAx val="10"/>
      </valAx>
    </plotArea>
    <plotVisOnly val="1"/>
    <dispBlanksAs val="gap"/>
  </chart>
</chartSpace>
</file>

<file path=xl/charts/chart4.xml><?xml version="1.0" encoding="utf-8"?>
<chartSpace xmlns="http://schemas.openxmlformats.org/drawingml/2006/chart">
  <chart>
    <title>
      <tx>
        <rich>
          <a:bodyPr xmlns:a="http://schemas.openxmlformats.org/drawingml/2006/main"/>
          <a:p xmlns:a="http://schemas.openxmlformats.org/drawingml/2006/main">
            <a:pPr>
              <a:defRPr/>
            </a:pPr>
            <a:r>
              <a:t>1. Costo frente a precio de venta</a:t>
            </a:r>
          </a:p>
        </rich>
      </tx>
    </title>
    <plotArea>
      <barChart>
        <barDir val="bar"/>
        <grouping val="clustered"/>
        <ser>
          <idx val="0"/>
          <order val="0"/>
          <tx>
            <strRef>
              <f>'DASHBOARD'!D17</f>
            </strRef>
          </tx>
          <spPr>
            <a:solidFill xmlns:a="http://schemas.openxmlformats.org/drawingml/2006/main">
              <a:srgbClr val="0B2A7A"/>
            </a:solidFill>
            <a:ln xmlns:a="http://schemas.openxmlformats.org/drawingml/2006/main">
              <a:prstDash val="solid"/>
            </a:ln>
          </spPr>
          <cat>
            <numRef>
              <f>'DASHBOARD'!$C$18:$C$27</f>
            </numRef>
          </cat>
          <val>
            <numRef>
              <f>'DASHBOARD'!$D$18:$D$27</f>
            </numRef>
          </val>
        </ser>
        <ser>
          <idx val="1"/>
          <order val="1"/>
          <tx>
            <strRef>
              <f>'DASHBOARD'!E17</f>
            </strRef>
          </tx>
          <spPr>
            <a:solidFill xmlns:a="http://schemas.openxmlformats.org/drawingml/2006/main">
              <a:srgbClr val="FF7A00"/>
            </a:solidFill>
            <a:ln xmlns:a="http://schemas.openxmlformats.org/drawingml/2006/main">
              <a:prstDash val="solid"/>
            </a:ln>
          </spPr>
          <cat>
            <numRef>
              <f>'DASHBOARD'!$C$18:$C$27</f>
            </numRef>
          </cat>
          <val>
            <numRef>
              <f>'DASHBOARD'!$E$18:$E$27</f>
            </numRef>
          </val>
        </ser>
        <gapWidth val="150"/>
        <axId val="10"/>
        <axId val="100"/>
      </barChart>
      <catAx>
        <axId val="10"/>
        <scaling>
          <orientation val="maxMin"/>
        </scaling>
        <delete val="0"/>
        <axPos val="l"/>
        <majorTickMark val="none"/>
        <minorTickMark val="none"/>
        <crossAx val="100"/>
        <lblOffset val="100"/>
      </catAx>
      <valAx>
        <axId val="100"/>
        <scaling>
          <orientation val="minMax"/>
        </scaling>
        <delete val="0"/>
        <axPos val="l"/>
        <majorGridlines/>
        <numFmt formatCode="#,##0" sourceLinked="0"/>
        <majorTickMark val="none"/>
        <minorTickMark val="none"/>
        <crossAx val="10"/>
      </valAx>
    </plotArea>
    <legend>
      <legendPos val="b"/>
    </legend>
    <plotVisOnly val="1"/>
    <dispBlanksAs val="gap"/>
  </chart>
</chartSpace>
</file>

<file path=xl/charts/chart5.xml><?xml version="1.0" encoding="utf-8"?>
<chartSpace xmlns="http://schemas.openxmlformats.org/drawingml/2006/chart">
  <chart>
    <title>
      <tx>
        <rich>
          <a:bodyPr xmlns:a="http://schemas.openxmlformats.org/drawingml/2006/main"/>
          <a:p xmlns:a="http://schemas.openxmlformats.org/drawingml/2006/main">
            <a:pPr>
              <a:defRPr/>
            </a:pPr>
            <a:r>
              <a:t>2. Ganancia por producto (neta por unidad)</a:t>
            </a:r>
          </a:p>
        </rich>
      </tx>
    </title>
    <plotArea>
      <barChart>
        <barDir val="bar"/>
        <grouping val="clustered"/>
        <ser>
          <idx val="0"/>
          <order val="0"/>
          <tx>
            <strRef>
              <f>'DASHBOARD'!F17</f>
            </strRef>
          </tx>
          <spPr>
            <a:solidFill xmlns:a="http://schemas.openxmlformats.org/drawingml/2006/main">
              <a:srgbClr val="0A52C4"/>
            </a:solidFill>
            <a:ln xmlns:a="http://schemas.openxmlformats.org/drawingml/2006/main">
              <a:prstDash val="solid"/>
            </a:ln>
          </spPr>
          <cat>
            <numRef>
              <f>'DASHBOARD'!$C$18:$C$27</f>
            </numRef>
          </cat>
          <val>
            <numRef>
              <f>'DASHBOARD'!$F$18:$F$27</f>
            </numRef>
          </val>
        </ser>
        <gapWidth val="150"/>
        <axId val="10"/>
        <axId val="100"/>
      </barChart>
      <catAx>
        <axId val="10"/>
        <scaling>
          <orientation val="maxMin"/>
        </scaling>
        <delete val="0"/>
        <axPos val="l"/>
        <majorTickMark val="none"/>
        <minorTickMark val="none"/>
        <crossAx val="100"/>
        <lblOffset val="100"/>
      </catAx>
      <valAx>
        <axId val="100"/>
        <scaling>
          <orientation val="minMax"/>
        </scaling>
        <delete val="0"/>
        <axPos val="l"/>
        <majorGridlines/>
        <numFmt formatCode="#,##0" sourceLinked="0"/>
        <majorTickMark val="none"/>
        <minorTickMark val="none"/>
        <crossAx val="10"/>
      </valAx>
    </plotArea>
    <plotVisOnly val="1"/>
    <dispBlanksAs val="gap"/>
  </chart>
</chartSpace>
</file>

<file path=xl/charts/chart6.xml><?xml version="1.0" encoding="utf-8"?>
<chartSpace xmlns="http://schemas.openxmlformats.org/drawingml/2006/chart">
  <chart>
    <title>
      <tx>
        <rich>
          <a:bodyPr xmlns:a="http://schemas.openxmlformats.org/drawingml/2006/main"/>
          <a:p xmlns:a="http://schemas.openxmlformats.org/drawingml/2006/main">
            <a:pPr>
              <a:defRPr/>
            </a:pPr>
            <a:r>
              <a:t>3. Margen de rentabilidad por producto</a:t>
            </a:r>
          </a:p>
        </rich>
      </tx>
    </title>
    <plotArea>
      <barChart>
        <barDir val="bar"/>
        <grouping val="clustered"/>
        <ser>
          <idx val="0"/>
          <order val="0"/>
          <tx>
            <strRef>
              <f>'DASHBOARD'!G17</f>
            </strRef>
          </tx>
          <spPr>
            <a:solidFill xmlns:a="http://schemas.openxmlformats.org/drawingml/2006/main">
              <a:srgbClr val="FF7A00"/>
            </a:solidFill>
            <a:ln xmlns:a="http://schemas.openxmlformats.org/drawingml/2006/main">
              <a:prstDash val="solid"/>
            </a:ln>
          </spPr>
          <cat>
            <numRef>
              <f>'DASHBOARD'!$C$18:$C$27</f>
            </numRef>
          </cat>
          <val>
            <numRef>
              <f>'DASHBOARD'!$G$18:$G$27</f>
            </numRef>
          </val>
        </ser>
        <gapWidth val="150"/>
        <axId val="10"/>
        <axId val="100"/>
      </barChart>
      <catAx>
        <axId val="10"/>
        <scaling>
          <orientation val="maxMin"/>
        </scaling>
        <delete val="0"/>
        <axPos val="l"/>
        <majorTickMark val="none"/>
        <minorTickMark val="none"/>
        <crossAx val="100"/>
        <lblOffset val="100"/>
      </catAx>
      <valAx>
        <axId val="100"/>
        <scaling>
          <orientation val="minMax"/>
        </scaling>
        <delete val="0"/>
        <axPos val="l"/>
        <majorGridlines/>
        <numFmt formatCode="0%" sourceLinked="0"/>
        <majorTickMark val="none"/>
        <minorTickMark val="none"/>
        <crossAx val="10"/>
      </valAx>
    </plotArea>
    <plotVisOnly val="1"/>
    <dispBlanksAs val="gap"/>
  </chart>
</chartSpace>
</file>

<file path=xl/charts/chart7.xml><?xml version="1.0" encoding="utf-8"?>
<chartSpace xmlns="http://schemas.openxmlformats.org/drawingml/2006/chart">
  <chart>
    <title>
      <tx>
        <rich>
          <a:bodyPr xmlns:a="http://schemas.openxmlformats.org/drawingml/2006/main"/>
          <a:p xmlns:a="http://schemas.openxmlformats.org/drawingml/2006/main">
            <a:pPr>
              <a:defRPr/>
            </a:pPr>
            <a:r>
              <a:t>4. Distribución de costos del producto cargado en la CALCULADORA</a:t>
            </a:r>
          </a:p>
        </rich>
      </tx>
    </title>
    <plotArea>
      <pieChart>
        <varyColors val="1"/>
        <ser>
          <idx val="0"/>
          <order val="0"/>
          <spPr>
            <a:ln xmlns:a="http://schemas.openxmlformats.org/drawingml/2006/main">
              <a:prstDash val="solid"/>
            </a:ln>
          </spPr>
          <dPt>
            <idx val="0"/>
            <spPr>
              <a:solidFill xmlns:a="http://schemas.openxmlformats.org/drawingml/2006/main">
                <a:srgbClr val="0B2A7A"/>
              </a:solidFill>
              <a:ln xmlns:a="http://schemas.openxmlformats.org/drawingml/2006/main">
                <a:prstDash val="solid"/>
              </a:ln>
            </spPr>
          </dPt>
          <dPt>
            <idx val="1"/>
            <spPr>
              <a:solidFill xmlns:a="http://schemas.openxmlformats.org/drawingml/2006/main">
                <a:srgbClr val="0A52C4"/>
              </a:solidFill>
              <a:ln xmlns:a="http://schemas.openxmlformats.org/drawingml/2006/main">
                <a:prstDash val="solid"/>
              </a:ln>
            </spPr>
          </dPt>
          <dPt>
            <idx val="2"/>
            <spPr>
              <a:solidFill xmlns:a="http://schemas.openxmlformats.org/drawingml/2006/main">
                <a:srgbClr val="FF7A00"/>
              </a:solidFill>
              <a:ln xmlns:a="http://schemas.openxmlformats.org/drawingml/2006/main">
                <a:prstDash val="solid"/>
              </a:ln>
            </spPr>
          </dPt>
          <dPt>
            <idx val="3"/>
            <spPr>
              <a:solidFill xmlns:a="http://schemas.openxmlformats.org/drawingml/2006/main">
                <a:srgbClr val="7FA6E8"/>
              </a:solidFill>
              <a:ln xmlns:a="http://schemas.openxmlformats.org/drawingml/2006/main">
                <a:prstDash val="solid"/>
              </a:ln>
            </spPr>
          </dPt>
          <dPt>
            <idx val="4"/>
            <spPr>
              <a:solidFill xmlns:a="http://schemas.openxmlformats.org/drawingml/2006/main">
                <a:srgbClr val="FFB366"/>
              </a:solidFill>
              <a:ln xmlns:a="http://schemas.openxmlformats.org/drawingml/2006/main">
                <a:prstDash val="solid"/>
              </a:ln>
            </spPr>
          </dPt>
          <dPt>
            <idx val="5"/>
            <spPr>
              <a:solidFill xmlns:a="http://schemas.openxmlformats.org/drawingml/2006/main">
                <a:srgbClr val="5B6787"/>
              </a:solidFill>
              <a:ln xmlns:a="http://schemas.openxmlformats.org/drawingml/2006/main">
                <a:prstDash val="solid"/>
              </a:ln>
            </spPr>
          </dPt>
          <dPt>
            <idx val="6"/>
            <spPr>
              <a:solidFill xmlns:a="http://schemas.openxmlformats.org/drawingml/2006/main">
                <a:srgbClr val="9DB7E8"/>
              </a:solidFill>
              <a:ln xmlns:a="http://schemas.openxmlformats.org/drawingml/2006/main">
                <a:prstDash val="solid"/>
              </a:ln>
            </spPr>
          </dPt>
          <dPt>
            <idx val="7"/>
            <spPr>
              <a:solidFill xmlns:a="http://schemas.openxmlformats.org/drawingml/2006/main">
                <a:srgbClr val="C9D3EA"/>
              </a:solidFill>
              <a:ln xmlns:a="http://schemas.openxmlformats.org/drawingml/2006/main">
                <a:prstDash val="solid"/>
              </a:ln>
            </spPr>
          </dPt>
          <cat>
            <numRef>
              <f>'CALCULADORA'!$B$16:$B$23</f>
            </numRef>
          </cat>
          <val>
            <numRef>
              <f>'CALCULADORA'!$E$16:$E$23</f>
            </numRef>
          </val>
        </ser>
        <dLbls>
          <showVal val="0"/>
          <showCatName val="0"/>
          <showSerName val="0"/>
          <showPercent val="1"/>
          <showLeaderLines val="0"/>
        </dLbls>
        <firstSliceAng val="0"/>
      </pieChart>
    </plotArea>
    <legend>
      <legendPos val="r"/>
    </legend>
    <plotVisOnly val="1"/>
    <dispBlanksAs val="gap"/>
  </chart>
</chartSpace>
</file>

<file path=xl/charts/chart8.xml><?xml version="1.0" encoding="utf-8"?>
<chartSpace xmlns="http://schemas.openxmlformats.org/drawingml/2006/chart">
  <chart>
    <title>
      <tx>
        <rich>
          <a:bodyPr xmlns:a="http://schemas.openxmlformats.org/drawingml/2006/main"/>
          <a:p xmlns:a="http://schemas.openxmlformats.org/drawingml/2006/main">
            <a:pPr>
              <a:defRPr/>
            </a:pPr>
            <a:r>
              <a:t>5. Comparación de escenarios de precios (ganancia total)</a:t>
            </a:r>
          </a:p>
        </rich>
      </tx>
    </title>
    <plotArea>
      <barChart>
        <barDir val="col"/>
        <grouping val="clustered"/>
        <ser>
          <idx val="0"/>
          <order val="0"/>
          <tx>
            <strRef>
              <f>'SIMULADOR DE PRECIOS'!H18</f>
            </strRef>
          </tx>
          <spPr>
            <a:solidFill xmlns:a="http://schemas.openxmlformats.org/drawingml/2006/main">
              <a:srgbClr val="FF7A00"/>
            </a:solidFill>
            <a:ln xmlns:a="http://schemas.openxmlformats.org/drawingml/2006/main">
              <a:prstDash val="solid"/>
            </a:ln>
          </spPr>
          <cat>
            <numRef>
              <f>'SIMULADOR DE PRECIOS'!$B$19:$B$21</f>
            </numRef>
          </cat>
          <val>
            <numRef>
              <f>'SIMULADOR DE PRECIOS'!$H$19:$H$21</f>
            </numRef>
          </val>
        </ser>
        <gapWidth val="150"/>
        <axId val="10"/>
        <axId val="100"/>
      </barChart>
      <catAx>
        <axId val="10"/>
        <scaling>
          <orientation val="minMax"/>
        </scaling>
        <delete val="0"/>
        <axPos val="l"/>
        <majorTickMark val="none"/>
        <minorTickMark val="none"/>
        <crossAx val="100"/>
        <lblOffset val="100"/>
      </catAx>
      <valAx>
        <axId val="100"/>
        <scaling>
          <orientation val="minMax"/>
        </scaling>
        <delete val="0"/>
        <axPos val="l"/>
        <majorGridlines/>
        <numFmt formatCode="#,##0" sourceLinked="0"/>
        <majorTickMark val="none"/>
        <minorTickMark val="none"/>
        <crossAx val="10"/>
      </valAx>
    </plotArea>
    <plotVisOnly val="1"/>
    <dispBlanksAs val="gap"/>
  </chart>
</chartSpace>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_rels/drawing3.xml.rels><Relationships xmlns="http://schemas.openxmlformats.org/package/2006/relationships"><Relationship Type="http://schemas.openxmlformats.org/officeDocument/2006/relationships/image" Target="/xl/media/image3.png" Id="rId1"/></Relationships>
</file>

<file path=xl/drawings/_rels/drawing4.xml.rels><Relationships xmlns="http://schemas.openxmlformats.org/package/2006/relationships"><Relationship Type="http://schemas.openxmlformats.org/officeDocument/2006/relationships/chart" Target="/xl/charts/chart1.xml" Id="rId1"/><Relationship Type="http://schemas.openxmlformats.org/officeDocument/2006/relationships/image" Target="/xl/media/image4.png" Id="rId2"/></Relationships>
</file>

<file path=xl/drawings/_rels/drawing5.xml.rels><Relationships xmlns="http://schemas.openxmlformats.org/package/2006/relationships"><Relationship Type="http://schemas.openxmlformats.org/officeDocument/2006/relationships/image" Target="/xl/media/image5.png" Id="rId1"/></Relationships>
</file>

<file path=xl/drawings/_rels/drawing6.xml.rels><Relationships xmlns="http://schemas.openxmlformats.org/package/2006/relationships"><Relationship Type="http://schemas.openxmlformats.org/officeDocument/2006/relationships/chart" Target="/xl/charts/chart2.xml" Id="rId1"/><Relationship Type="http://schemas.openxmlformats.org/officeDocument/2006/relationships/chart" Target="/xl/charts/chart3.xml" Id="rId2"/><Relationship Type="http://schemas.openxmlformats.org/officeDocument/2006/relationships/image" Target="/xl/media/image6.png" Id="rId3"/></Relationships>
</file>

<file path=xl/drawings/_rels/drawing7.xml.rels><Relationships xmlns="http://schemas.openxmlformats.org/package/2006/relationships"><Relationship Type="http://schemas.openxmlformats.org/officeDocument/2006/relationships/chart" Target="/xl/charts/chart4.xml" Id="rId1"/><Relationship Type="http://schemas.openxmlformats.org/officeDocument/2006/relationships/chart" Target="/xl/charts/chart5.xml" Id="rId2"/><Relationship Type="http://schemas.openxmlformats.org/officeDocument/2006/relationships/chart" Target="/xl/charts/chart6.xml" Id="rId3"/><Relationship Type="http://schemas.openxmlformats.org/officeDocument/2006/relationships/chart" Target="/xl/charts/chart7.xml" Id="rId4"/><Relationship Type="http://schemas.openxmlformats.org/officeDocument/2006/relationships/chart" Target="/xl/charts/chart8.xml" Id="rId5"/><Relationship Type="http://schemas.openxmlformats.org/officeDocument/2006/relationships/image" Target="/xl/media/image7.png" Id="rId6"/></Relationships>
</file>

<file path=xl/drawings/_rels/drawing8.xml.rels><Relationships xmlns="http://schemas.openxmlformats.org/package/2006/relationships"><Relationship Type="http://schemas.openxmlformats.org/officeDocument/2006/relationships/image" Target="/xl/media/image8.png" Id="rId1"/></Relationships>
</file>

<file path=xl/drawings/drawing1.xml><?xml version="1.0" encoding="utf-8"?>
<wsDr xmlns="http://schemas.openxmlformats.org/drawingml/2006/spreadsheetDrawing">
  <oneCellAnchor>
    <from>
      <col>1</col>
      <colOff>57150</colOff>
      <row>0</row>
      <rowOff>76200</rowOff>
    </from>
    <ext cx="1409700" cy="2857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1</col>
      <colOff>57150</colOff>
      <row>0</row>
      <rowOff>76200</rowOff>
    </from>
    <ext cx="1409700" cy="2857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3.xml><?xml version="1.0" encoding="utf-8"?>
<wsDr xmlns="http://schemas.openxmlformats.org/drawingml/2006/spreadsheetDrawing">
  <oneCellAnchor>
    <from>
      <col>1</col>
      <colOff>57150</colOff>
      <row>0</row>
      <rowOff>76200</rowOff>
    </from>
    <ext cx="1409700" cy="2857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4.xml><?xml version="1.0" encoding="utf-8"?>
<wsDr xmlns="http://schemas.openxmlformats.org/drawingml/2006/spreadsheetDrawing">
  <oneCellAnchor>
    <from>
      <col>15</col>
      <colOff>0</colOff>
      <row>5</row>
      <rowOff>0</rowOff>
    </from>
    <ext cx="7920000" cy="324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1</col>
      <colOff>57150</colOff>
      <row>0</row>
      <rowOff>76200</rowOff>
    </from>
    <ext cx="1409700" cy="2857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drawings/drawing5.xml><?xml version="1.0" encoding="utf-8"?>
<wsDr xmlns="http://schemas.openxmlformats.org/drawingml/2006/spreadsheetDrawing">
  <oneCellAnchor>
    <from>
      <col>1</col>
      <colOff>57150</colOff>
      <row>0</row>
      <rowOff>76200</rowOff>
    </from>
    <ext cx="1409700" cy="2857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6.xml><?xml version="1.0" encoding="utf-8"?>
<wsDr xmlns="http://schemas.openxmlformats.org/drawingml/2006/spreadsheetDrawing">
  <oneCellAnchor>
    <from>
      <col>1</col>
      <colOff>0</colOff>
      <row>22</row>
      <rowOff>0</rowOff>
    </from>
    <ext cx="4860000" cy="27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5</col>
      <colOff>0</colOff>
      <row>22</row>
      <rowOff>0</rowOff>
    </from>
    <ext cx="4860000" cy="270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1</col>
      <colOff>57150</colOff>
      <row>0</row>
      <rowOff>76200</rowOff>
    </from>
    <ext cx="1409700" cy="28575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wsDr>
</file>

<file path=xl/drawings/drawing7.xml><?xml version="1.0" encoding="utf-8"?>
<wsDr xmlns="http://schemas.openxmlformats.org/drawingml/2006/spreadsheetDrawing">
  <oneCellAnchor>
    <from>
      <col>1</col>
      <colOff>0</colOff>
      <row>29</row>
      <rowOff>0</rowOff>
    </from>
    <ext cx="5580000" cy="27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7</col>
      <colOff>0</colOff>
      <row>29</row>
      <rowOff>0</rowOff>
    </from>
    <ext cx="5580000" cy="270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1</col>
      <colOff>0</colOff>
      <row>45</row>
      <rowOff>0</rowOff>
    </from>
    <ext cx="5580000" cy="270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7</col>
      <colOff>0</colOff>
      <row>45</row>
      <rowOff>0</rowOff>
    </from>
    <ext cx="5580000" cy="270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1</col>
      <colOff>0</colOff>
      <row>61</row>
      <rowOff>0</rowOff>
    </from>
    <ext cx="5580000" cy="270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oneCellAnchor>
    <from>
      <col>1</col>
      <colOff>57150</colOff>
      <row>0</row>
      <rowOff>76200</rowOff>
    </from>
    <ext cx="1409700" cy="285750"/>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wsDr>
</file>

<file path=xl/drawings/drawing8.xml><?xml version="1.0" encoding="utf-8"?>
<wsDr xmlns="http://schemas.openxmlformats.org/drawingml/2006/spreadsheetDrawing">
  <oneCellAnchor>
    <from>
      <col>1</col>
      <colOff>57150</colOff>
      <row>0</row>
      <rowOff>76200</rowOff>
    </from>
    <ext cx="1409700" cy="2857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mixshopdigital.com.py" TargetMode="External" Id="rId1"/><Relationship Type="http://schemas.openxmlformats.org/officeDocument/2006/relationships/hyperlink" Target="https://mixshopdigital.com.py" TargetMode="External" Id="rId2"/><Relationship Type="http://schemas.openxmlformats.org/officeDocument/2006/relationships/hyperlink" Target="https://mixshopdigital.com.py" TargetMode="External" Id="rId3"/><Relationship Type="http://schemas.openxmlformats.org/officeDocument/2006/relationships/hyperlink" Target="https://mixshopdigital.com.py" TargetMode="External" Id="rId4"/><Relationship Type="http://schemas.openxmlformats.org/officeDocument/2006/relationships/drawing" Target="/xl/drawings/drawing1.xml" Id="rId5"/></Relationships>
</file>

<file path=xl/worksheets/_rels/sheet2.xml.rels><Relationships xmlns="http://schemas.openxmlformats.org/package/2006/relationships"><Relationship Type="http://schemas.openxmlformats.org/officeDocument/2006/relationships/hyperlink" Target="https://mixshopdigital.com.py" TargetMode="External" Id="rId1"/><Relationship Type="http://schemas.openxmlformats.org/officeDocument/2006/relationships/drawing" Target="/xl/drawings/drawing2.xml" Id="rId2"/></Relationships>
</file>

<file path=xl/worksheets/_rels/sheet3.xml.rels><Relationships xmlns="http://schemas.openxmlformats.org/package/2006/relationships"><Relationship Type="http://schemas.openxmlformats.org/officeDocument/2006/relationships/hyperlink" Target="https://mixshopdigital.com.py" TargetMode="External" Id="rId1"/><Relationship Type="http://schemas.openxmlformats.org/officeDocument/2006/relationships/drawing" Target="/xl/drawings/drawing3.xml" Id="rId2"/></Relationships>
</file>

<file path=xl/worksheets/_rels/sheet4.xml.rels><Relationships xmlns="http://schemas.openxmlformats.org/package/2006/relationships"><Relationship Type="http://schemas.openxmlformats.org/officeDocument/2006/relationships/hyperlink" Target="https://mixshopdigital.com.py" TargetMode="External" Id="rId1"/><Relationship Type="http://schemas.openxmlformats.org/officeDocument/2006/relationships/drawing" Target="/xl/drawings/drawing4.xml" Id="rId2"/></Relationships>
</file>

<file path=xl/worksheets/_rels/sheet5.xml.rels><Relationships xmlns="http://schemas.openxmlformats.org/package/2006/relationships"><Relationship Type="http://schemas.openxmlformats.org/officeDocument/2006/relationships/hyperlink" Target="https://mixshopdigital.com.py" TargetMode="External" Id="rId1"/><Relationship Type="http://schemas.openxmlformats.org/officeDocument/2006/relationships/drawing" Target="/xl/drawings/drawing5.xml" Id="rId2"/></Relationships>
</file>

<file path=xl/worksheets/_rels/sheet6.xml.rels><Relationships xmlns="http://schemas.openxmlformats.org/package/2006/relationships"><Relationship Type="http://schemas.openxmlformats.org/officeDocument/2006/relationships/hyperlink" Target="https://mixshopdigital.com.py" TargetMode="External" Id="rId1"/><Relationship Type="http://schemas.openxmlformats.org/officeDocument/2006/relationships/drawing" Target="/xl/drawings/drawing6.xml" Id="rId2"/></Relationships>
</file>

<file path=xl/worksheets/_rels/sheet7.xml.rels><Relationships xmlns="http://schemas.openxmlformats.org/package/2006/relationships"><Relationship Type="http://schemas.openxmlformats.org/officeDocument/2006/relationships/hyperlink" Target="https://mixshopdigital.com.py" TargetMode="External" Id="rId1"/><Relationship Type="http://schemas.openxmlformats.org/officeDocument/2006/relationships/drawing" Target="/xl/drawings/drawing7.xml" Id="rId2"/></Relationships>
</file>

<file path=xl/worksheets/_rels/sheet8.xml.rels><Relationships xmlns="http://schemas.openxmlformats.org/package/2006/relationships"><Relationship Type="http://schemas.openxmlformats.org/officeDocument/2006/relationships/hyperlink" Target="https://mixshopdigital.com.py" TargetMode="External" Id="rId1"/><Relationship Type="http://schemas.openxmlformats.org/officeDocument/2006/relationships/hyperlink" Target="https://mixshopdigital.com.py" TargetMode="External" Id="rId2"/><Relationship Type="http://schemas.openxmlformats.org/officeDocument/2006/relationships/drawing" Target="/xl/drawings/drawing8.xml" Id="rId3"/></Relationships>
</file>

<file path=xl/worksheets/sheet1.xml><?xml version="1.0" encoding="utf-8"?>
<worksheet xmlns="http://schemas.openxmlformats.org/spreadsheetml/2006/main">
  <sheetPr>
    <tabColor rgb="00FF7A00"/>
    <outlinePr summaryBelow="1" summaryRight="1"/>
    <pageSetUpPr fitToPage="1"/>
  </sheetPr>
  <dimension ref="B1:M35"/>
  <sheetViews>
    <sheetView showGridLines="0" tabSelected="1" workbookViewId="0">
      <selection activeCell="A1" sqref="A1"/>
    </sheetView>
  </sheetViews>
  <sheetFormatPr baseColWidth="8" defaultRowHeight="15"/>
  <cols>
    <col width="2" customWidth="1" min="1" max="1"/>
    <col width="11"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s>
  <sheetData>
    <row r="1" ht="38" customHeight="1">
      <c r="B1" s="1" t="n"/>
      <c r="C1" s="2" t="n"/>
      <c r="D1" s="2" t="n"/>
      <c r="E1" s="2" t="n"/>
      <c r="F1" s="3" t="inlineStr">
        <is>
          <t>INICIO</t>
        </is>
      </c>
      <c r="G1" s="2" t="n"/>
      <c r="H1" s="2" t="n"/>
      <c r="I1" s="2" t="n"/>
      <c r="J1" s="2" t="n"/>
      <c r="K1" s="2" t="n"/>
      <c r="L1" s="2" t="n"/>
      <c r="M1" s="2" t="n"/>
    </row>
    <row r="2" ht="18" customHeight="1">
      <c r="B2" s="4" t="inlineStr">
        <is>
          <t>Herramientas inteligentes que simplifican tu vida.</t>
        </is>
      </c>
      <c r="F2" s="5" t="inlineStr">
        <is>
          <t>Calculadora gratuita</t>
        </is>
      </c>
    </row>
    <row r="3" ht="5" customHeight="1">
      <c r="B3" s="6" t="n"/>
      <c r="C3" s="7" t="n"/>
      <c r="D3" s="7" t="n"/>
      <c r="E3" s="8" t="n"/>
      <c r="F3" s="8" t="n"/>
      <c r="G3" s="9" t="n"/>
      <c r="H3" s="9" t="n"/>
      <c r="I3" s="9" t="n"/>
      <c r="J3" s="10" t="n"/>
      <c r="K3" s="10" t="n"/>
      <c r="L3" s="11" t="n"/>
      <c r="M3" s="11" t="n"/>
    </row>
    <row r="4" ht="20" customHeight="1">
      <c r="C4" s="12" t="inlineStr">
        <is>
          <t>Hacé clic en cualquier botón del menú para ir directo a esa hoja.</t>
        </is>
      </c>
    </row>
    <row r="5" ht="10" customHeight="1"/>
    <row r="6" ht="34" customHeight="1">
      <c r="B6" s="13" t="inlineStr">
        <is>
          <t>CALCULADORA INTELIGENTE DE PRECIOS Y GANANCIAS</t>
        </is>
      </c>
    </row>
    <row r="7" ht="20" customHeight="1">
      <c r="B7" s="14" t="inlineStr">
        <is>
          <t>VERSIÓN GRATUITA  ·  Hecha para emprendedores y pequeños negocios de Paraguay</t>
        </is>
      </c>
    </row>
    <row r="8" ht="36" customHeight="1">
      <c r="B8" s="15" t="inlineStr">
        <is>
          <t>Descubrí cuánto te cuesta realmente vender y cuánto ganás por cada producto.</t>
        </is>
      </c>
    </row>
    <row r="9" ht="10" customHeight="1"/>
    <row r="10" ht="22" customHeight="1">
      <c r="B10" s="16" t="inlineStr">
        <is>
          <t>Precio justo</t>
        </is>
      </c>
      <c r="E10" s="16" t="inlineStr">
        <is>
          <t>Hasta 200 productos</t>
        </is>
      </c>
      <c r="H10" s="16" t="inlineStr">
        <is>
          <t>Promociones y escenarios</t>
        </is>
      </c>
      <c r="K10" s="16" t="inlineStr">
        <is>
          <t>Panel de control</t>
        </is>
      </c>
    </row>
    <row r="11" ht="44" customHeight="1">
      <c r="B11" s="17" t="inlineStr">
        <is>
          <t>Calculá el precio mínimo y el recomendado sin perder dinero.</t>
        </is>
      </c>
      <c r="E11" s="17" t="inlineStr">
        <is>
          <t>Compará costos, precios y márgenes con alertas automáticas.</t>
        </is>
      </c>
      <c r="H11" s="17" t="inlineStr">
        <is>
          <t>Simulá descuentos, 2x1 y combos antes de aplicarlos.</t>
        </is>
      </c>
      <c r="K11" s="17" t="inlineStr">
        <is>
          <t>Indicadores y gráficos que te ayudan a decidir.</t>
        </is>
      </c>
    </row>
    <row r="12" ht="12" customHeight="1"/>
    <row r="13">
      <c r="B13" s="18" t="inlineStr">
        <is>
          <t>MENÚ</t>
        </is>
      </c>
    </row>
    <row r="14" ht="26" customHeight="1">
      <c r="B14" s="19" t="inlineStr">
        <is>
          <t>CONFIGURACIÓN</t>
        </is>
      </c>
      <c r="E14" s="19" t="inlineStr">
        <is>
          <t>CALCULADORA</t>
        </is>
      </c>
      <c r="H14" s="19" t="inlineStr">
        <is>
          <t>COMPARADOR</t>
        </is>
      </c>
      <c r="K14" s="19" t="inlineStr">
        <is>
          <t>COSTOS Y GASTOS</t>
        </is>
      </c>
    </row>
    <row r="15" ht="18" customHeight="1">
      <c r="B15" s="20" t="inlineStr">
        <is>
          <t>1. Tus datos y porcentajes</t>
        </is>
      </c>
      <c r="E15" s="20" t="inlineStr">
        <is>
          <t>2. Costo, precio y ganancia</t>
        </is>
      </c>
      <c r="H15" s="20" t="inlineStr">
        <is>
          <t>Hasta 200 productos</t>
        </is>
      </c>
      <c r="K15" s="20" t="inlineStr">
        <is>
          <t>Los gastos que se olvidan</t>
        </is>
      </c>
    </row>
    <row r="16" ht="6" customHeight="1"/>
    <row r="17" ht="26" customHeight="1">
      <c r="B17" s="19" t="inlineStr">
        <is>
          <t>SIMULADOR</t>
        </is>
      </c>
      <c r="E17" s="19" t="inlineStr">
        <is>
          <t>DASHBOARD</t>
        </is>
      </c>
      <c r="H17" s="19" t="inlineStr">
        <is>
          <t>GUÍA DE USO</t>
        </is>
      </c>
      <c r="K17" s="21" t="inlineStr">
        <is>
          <t>MI NEGOCIO PY</t>
        </is>
      </c>
    </row>
    <row r="18" ht="18" customHeight="1">
      <c r="B18" s="20" t="inlineStr">
        <is>
          <t>Escenarios y promociones</t>
        </is>
      </c>
      <c r="E18" s="20" t="inlineStr">
        <is>
          <t>Indicadores y gráficos</t>
        </is>
      </c>
      <c r="H18" s="20" t="inlineStr">
        <is>
          <t>Cómo usar la herramienta</t>
        </is>
      </c>
      <c r="K18" s="22" t="inlineStr">
        <is>
          <t>Todo tu negocio, en un solo lugar</t>
        </is>
      </c>
    </row>
    <row r="19" ht="6" customHeight="1"/>
    <row r="20" ht="10" customHeight="1"/>
    <row r="21">
      <c r="B21" s="18" t="inlineStr">
        <is>
          <t>EMPEZÁ EN 3 PASOS</t>
        </is>
      </c>
    </row>
    <row r="22" ht="24" customHeight="1">
      <c r="B22" s="23" t="inlineStr">
        <is>
          <t>1.  Configurá tu negocio</t>
        </is>
      </c>
      <c r="F22" s="23" t="inlineStr">
        <is>
          <t>2.  Cargá un producto</t>
        </is>
      </c>
      <c r="J22" s="23" t="inlineStr">
        <is>
          <t>3.  Mirá tus resultados</t>
        </is>
      </c>
    </row>
    <row r="23" ht="34" customHeight="1">
      <c r="B23" s="24" t="inlineStr">
        <is>
          <t>Cargá tu comisión, impuestos y el margen que querés ganar.</t>
        </is>
      </c>
      <c r="F23" s="24" t="inlineStr">
        <is>
          <t>En la CALCULADORA, ingresá lo que pagaste y tus costos.</t>
        </is>
      </c>
      <c r="J23" s="24" t="inlineStr">
        <is>
          <t>Precio recomendado, ganancia y alertas, al instante.</t>
        </is>
      </c>
    </row>
    <row r="24" ht="10" customHeight="1"/>
    <row r="25">
      <c r="B25" s="25" t="inlineStr">
        <is>
          <t>Completá solamente las celdas resaltadas.  Las fórmulas, gráficos y títulos están protegidos para que no se borren por accidente.</t>
        </is>
      </c>
    </row>
    <row r="26" ht="18" customHeight="1">
      <c r="B26" s="26" t="inlineStr">
        <is>
          <t>Azul claro: completás vos</t>
        </is>
      </c>
      <c r="C26" s="27" t="n"/>
      <c r="D26" s="28" t="inlineStr">
        <is>
          <t>Gris: automático</t>
        </is>
      </c>
      <c r="F26" s="29" t="inlineStr">
        <is>
          <t>Naranja: advertencia</t>
        </is>
      </c>
      <c r="H26" s="30" t="inlineStr">
        <is>
          <t>Verde: favorable</t>
        </is>
      </c>
      <c r="J26" s="31" t="inlineStr">
        <is>
          <t>Rojo: pérdida</t>
        </is>
      </c>
    </row>
    <row r="27" ht="10" customHeight="1"/>
    <row r="28" ht="18" customHeight="1">
      <c r="B28" s="12" t="inlineStr">
        <is>
          <t>¿Ves todo en blanco? Hacé clic en «Habilitar edición» en la barra amarilla de Excel para que se calculen las fórmulas.</t>
        </is>
      </c>
    </row>
    <row r="29" ht="18" customHeight="1"/>
    <row r="30" ht="34" customHeight="1">
      <c r="B30" s="32" t="inlineStr">
        <is>
          <t>Esta es una versión gratuita de Mix Shop Digital. Si querés gestionar todo tu negocio en un solo lugar, conocé Mi Negocio PY: el sistema de gestión para pequeños negocios de Paraguay.</t>
        </is>
      </c>
    </row>
    <row r="31" ht="18" customHeight="1">
      <c r="B31" s="33" t="inlineStr">
        <is>
          <t>→ mixshopdigital.com.py</t>
        </is>
      </c>
    </row>
    <row r="33" ht="8" customHeight="1">
      <c r="B33" s="34" t="n"/>
    </row>
    <row r="34" ht="16" customHeight="1">
      <c r="B34" s="35" t="inlineStr">
        <is>
          <t>MIX SHOP DIGITAL  ·  Herramientas inteligentes que simplifican tu vida.</t>
        </is>
      </c>
    </row>
    <row r="35" ht="16" customHeight="1">
      <c r="B35" s="36" t="inlineStr">
        <is>
          <t>Versión gratuita  ·  Para gestionar todo tu negocio en un solo lugar, conocé Mi Negocio PY  →  mixshopdigital.com.py</t>
        </is>
      </c>
    </row>
  </sheetData>
  <sheetProtection selectLockedCells="0" selectUnlockedCells="0" sheet="1" objects="1" insertRows="1" insertHyperlinks="1" autoFilter="0" scenarios="1" formatColumns="1" deleteColumns="1" insertColumns="1" pivotTables="1" deleteRows="1" formatCells="1" formatRows="1" sort="1" password="C527"/>
  <mergeCells count="52">
    <mergeCell ref="B11:D11"/>
    <mergeCell ref="E10:G10"/>
    <mergeCell ref="J22:M22"/>
    <mergeCell ref="B14:D14"/>
    <mergeCell ref="B17:D17"/>
    <mergeCell ref="B8:M8"/>
    <mergeCell ref="B13:M13"/>
    <mergeCell ref="H17:J17"/>
    <mergeCell ref="E15:G15"/>
    <mergeCell ref="H11:J11"/>
    <mergeCell ref="B10:D10"/>
    <mergeCell ref="J23:M23"/>
    <mergeCell ref="B34:M34"/>
    <mergeCell ref="C4:M4"/>
    <mergeCell ref="B28:M28"/>
    <mergeCell ref="E11:G11"/>
    <mergeCell ref="K14:M14"/>
    <mergeCell ref="D26:E26"/>
    <mergeCell ref="K17:M17"/>
    <mergeCell ref="B15:D15"/>
    <mergeCell ref="F26:G26"/>
    <mergeCell ref="B30:M30"/>
    <mergeCell ref="B22:E22"/>
    <mergeCell ref="J26:K26"/>
    <mergeCell ref="B6:M6"/>
    <mergeCell ref="H15:J15"/>
    <mergeCell ref="F2:M2"/>
    <mergeCell ref="B33:M33"/>
    <mergeCell ref="K10:M10"/>
    <mergeCell ref="H18:J18"/>
    <mergeCell ref="H14:J14"/>
    <mergeCell ref="E18:G18"/>
    <mergeCell ref="K18:M18"/>
    <mergeCell ref="B2:E2"/>
    <mergeCell ref="B35:M35"/>
    <mergeCell ref="K15:M15"/>
    <mergeCell ref="B23:E23"/>
    <mergeCell ref="B1:E1"/>
    <mergeCell ref="B7:M7"/>
    <mergeCell ref="H10:J10"/>
    <mergeCell ref="E14:G14"/>
    <mergeCell ref="B25:M25"/>
    <mergeCell ref="H26:I26"/>
    <mergeCell ref="B31:M31"/>
    <mergeCell ref="B18:D18"/>
    <mergeCell ref="E17:G17"/>
    <mergeCell ref="B26:C26"/>
    <mergeCell ref="F23:I23"/>
    <mergeCell ref="B21:M21"/>
    <mergeCell ref="F1:M1"/>
    <mergeCell ref="K11:M11"/>
    <mergeCell ref="F22:I22"/>
  </mergeCells>
  <hyperlinks>
    <hyperlink ref="B14" location="'CONFIGURACIÓN'!A1" display="CONFIGURACIÓN"/>
    <hyperlink ref="E14" location="'CALCULADORA'!A1" display="CALCULADORA"/>
    <hyperlink ref="H14" location="'COMPARADOR DE PRODUCTOS'!A1" display="COMPARADOR"/>
    <hyperlink ref="K14" location="'COSTOS Y GASTOS'!A1" display="COSTOS Y GASTOS"/>
    <hyperlink ref="B15" location="'CONFIGURACIÓN'!A1" display="1. Tus datos y porcentajes"/>
    <hyperlink ref="E15" location="'CALCULADORA'!A1" display="2. Costo, precio y ganancia"/>
    <hyperlink ref="H15" location="'COMPARADOR DE PRODUCTOS'!A1" display="Hasta 200 productos"/>
    <hyperlink ref="K15" location="'COSTOS Y GASTOS'!A1" display="Los gastos que se olvidan"/>
    <hyperlink ref="B17" location="'SIMULADOR DE PRECIOS'!A1" display="SIMULADOR"/>
    <hyperlink ref="E17" location="'DASHBOARD'!A1" display="DASHBOARD"/>
    <hyperlink ref="H17" location="'GUÍA DE USO'!A1" display="GUÍA DE USO"/>
    <hyperlink xmlns:r="http://schemas.openxmlformats.org/officeDocument/2006/relationships" ref="K17" r:id="rId1"/>
    <hyperlink ref="B18" location="'SIMULADOR DE PRECIOS'!A1" display="Escenarios y promociones"/>
    <hyperlink ref="E18" location="'DASHBOARD'!A1" display="Indicadores y gráficos"/>
    <hyperlink ref="H18" location="'GUÍA DE USO'!A1" display="Cómo usar la herramienta"/>
    <hyperlink xmlns:r="http://schemas.openxmlformats.org/officeDocument/2006/relationships" ref="K18" r:id="rId2"/>
    <hyperlink xmlns:r="http://schemas.openxmlformats.org/officeDocument/2006/relationships" ref="B31" r:id="rId3"/>
    <hyperlink xmlns:r="http://schemas.openxmlformats.org/officeDocument/2006/relationships" ref="B35" r:id="rId4"/>
  </hyperlinks>
  <printOptions horizontalCentered="1"/>
  <pageMargins left="0.75" right="0.75" top="1" bottom="1" header="0.5" footer="0.5"/>
  <pageSetup orientation="landscape" paperSize="9" fitToHeight="1" fitToWidth="1"/>
  <headerFooter>
    <oddHeader>&amp;C&amp;"Arial,Bold"&amp;14 &amp;K0B2A7AMIX SHOP DIGITAL</oddHeader>
    <oddFooter>&amp;L&amp;8 MIX SHOP DIGITAL — Herramientas inteligentes que simplifican tu vida.&amp;C&amp;8 Versión gratuita · mixshopdigital.com.py&amp;R&amp;8 Pág. &amp;P de &amp;N</oddFooter>
    <evenHeader/>
    <evenFooter/>
    <firstHeader/>
    <firstFooter/>
  </headerFooter>
  <drawing xmlns:r="http://schemas.openxmlformats.org/officeDocument/2006/relationships" r:id="rId5"/>
</worksheet>
</file>

<file path=xl/worksheets/sheet2.xml><?xml version="1.0" encoding="utf-8"?>
<worksheet xmlns="http://schemas.openxmlformats.org/spreadsheetml/2006/main">
  <sheetPr>
    <tabColor rgb="000A52C4"/>
    <outlinePr summaryBelow="1" summaryRight="1"/>
    <pageSetUpPr fitToPage="1"/>
  </sheetPr>
  <dimension ref="B1:G48"/>
  <sheetViews>
    <sheetView showGridLines="0" workbookViewId="0">
      <selection activeCell="A1" sqref="A1"/>
    </sheetView>
  </sheetViews>
  <sheetFormatPr baseColWidth="8" defaultRowHeight="15"/>
  <cols>
    <col width="2" customWidth="1" min="1" max="1"/>
    <col width="44" customWidth="1" min="2" max="2"/>
    <col width="26" customWidth="1" min="3" max="3"/>
    <col width="78" customWidth="1" min="4" max="4"/>
    <col hidden="1" width="13" customWidth="1" min="7" max="7"/>
  </cols>
  <sheetData>
    <row r="1" ht="38" customHeight="1">
      <c r="B1" s="1" t="n"/>
      <c r="C1" s="3" t="inlineStr">
        <is>
          <t>CONFIGURACIÓN</t>
        </is>
      </c>
      <c r="D1" s="2" t="n"/>
    </row>
    <row r="2" ht="18" customHeight="1">
      <c r="B2" s="4" t="inlineStr">
        <is>
          <t>Herramientas inteligentes que simplifican tu vida.</t>
        </is>
      </c>
      <c r="C2" s="5" t="inlineStr">
        <is>
          <t>Datos de tu negocio y reglas de cálculo</t>
        </is>
      </c>
    </row>
    <row r="3" ht="5" customHeight="1">
      <c r="B3" s="6" t="n"/>
      <c r="C3" s="8" t="n"/>
      <c r="D3" s="10" t="n"/>
    </row>
    <row r="4" ht="20" customHeight="1">
      <c r="B4" s="37" t="inlineStr">
        <is>
          <t>← INICIO</t>
        </is>
      </c>
      <c r="C4" s="12" t="inlineStr">
        <is>
          <t>Completá solamente las celdas resaltadas. Todo lo que cargues acá alimenta automáticamente las demás hojas.</t>
        </is>
      </c>
    </row>
    <row r="6">
      <c r="B6" s="18" t="inlineStr">
        <is>
          <t>1. DATOS DE TU NEGOCIO</t>
        </is>
      </c>
    </row>
    <row r="7" ht="24" customHeight="1">
      <c r="B7" s="38" t="inlineStr">
        <is>
          <t>Nombre del negocio</t>
        </is>
      </c>
      <c r="C7" s="39" t="inlineStr">
        <is>
          <t>Mi negocio</t>
        </is>
      </c>
      <c r="D7" s="40" t="inlineStr">
        <is>
          <t>Aparece en los reportes impresos.</t>
        </is>
      </c>
    </row>
    <row r="8" ht="24" customHeight="1">
      <c r="B8" s="38" t="inlineStr">
        <is>
          <t>Nombre del responsable</t>
        </is>
      </c>
      <c r="C8" s="39" t="inlineStr"/>
      <c r="D8" s="40" t="inlineStr">
        <is>
          <t>Persona que usa la calculadora (opcional).</t>
        </is>
      </c>
    </row>
    <row r="9" ht="24" customHeight="1">
      <c r="B9" s="38" t="inlineStr">
        <is>
          <t>Moneda utilizada</t>
        </is>
      </c>
      <c r="C9" s="39" t="inlineStr">
        <is>
          <t>Gs.</t>
        </is>
      </c>
      <c r="D9" s="40" t="inlineStr">
        <is>
          <t>Símbolo que se muestra en los títulos. Para guaraníes dejá «Gs.».</t>
        </is>
      </c>
    </row>
    <row r="10">
      <c r="B10" s="41" t="inlineStr">
        <is>
          <t>2. COSTOS Y PORCENTAJES HABITUALES</t>
        </is>
      </c>
    </row>
    <row r="11" ht="36" customHeight="1">
      <c r="B11" s="38" t="inlineStr">
        <is>
          <t>Comisión por ventas (%)</t>
        </is>
      </c>
      <c r="C11" s="42" t="n">
        <v>0.03</v>
      </c>
      <c r="D11" s="40" t="inlineStr">
        <is>
          <t>Porcentaje del precio de venta que se lleva la plataforma o el medio de pago (tarjeta, pasarela, marketplace). Ajustalo a tu realidad.</t>
        </is>
      </c>
    </row>
    <row r="12" ht="36" customHeight="1">
      <c r="B12" s="38" t="inlineStr">
        <is>
          <t>Impuestos o retenciones sobre ventas (%)</t>
        </is>
      </c>
      <c r="C12" s="42" t="n">
        <v>0</v>
      </c>
      <c r="D12" s="40" t="inlineStr">
        <is>
          <t>Se calcula sobre el precio de venta. Está en 0 % a propósito: cada negocio tiene una situación distinta. Consultá con tu contador y cargá el porcentaje que corresponda.</t>
        </is>
      </c>
    </row>
    <row r="13" ht="26" customHeight="1">
      <c r="B13" s="38" t="inlineStr">
        <is>
          <t>Costo de envío habitual (por unidad)</t>
        </is>
      </c>
      <c r="C13" s="43" t="n">
        <v>0</v>
      </c>
      <c r="D13" s="40" t="inlineStr">
        <is>
          <t>Se usa en la CALCULADORA cuando dejás vacío el campo de envío al cliente.</t>
        </is>
      </c>
    </row>
    <row r="14" ht="26" customHeight="1">
      <c r="B14" s="38" t="inlineStr">
        <is>
          <t>Costo de empaque habitual (por unidad)</t>
        </is>
      </c>
      <c r="C14" s="43" t="n">
        <v>1000</v>
      </c>
      <c r="D14" s="40" t="inlineStr">
        <is>
          <t>Bolsa, caja, cinta, etc. Se usa en la CALCULADORA si dejás vacío el campo de empaque.</t>
        </is>
      </c>
    </row>
    <row r="15" ht="26" customHeight="1">
      <c r="B15" s="38" t="inlineStr">
        <is>
          <t>Otros gastos habituales (por unidad)</t>
        </is>
      </c>
      <c r="C15" s="43" t="n">
        <v>0</v>
      </c>
      <c r="D15" s="40" t="inlineStr">
        <is>
          <t>Cualquier gasto variable que repetís en casi todos tus productos.</t>
        </is>
      </c>
    </row>
    <row r="16" ht="26" customHeight="1">
      <c r="B16" s="38" t="inlineStr">
        <is>
          <t>Margen de ganancia objetivo (%)</t>
        </is>
      </c>
      <c r="C16" s="42" t="n">
        <v>0.3</v>
      </c>
      <c r="D16" s="40" t="inlineStr">
        <is>
          <t>Cuánto querés ganar. Se interpreta según el método de cálculo elegido más abajo.</t>
        </is>
      </c>
    </row>
    <row r="17" ht="26" customHeight="1">
      <c r="B17" s="38" t="inlineStr">
        <is>
          <t>Margen mínimo aceptable (%)</t>
        </is>
      </c>
      <c r="C17" s="42" t="n">
        <v>0.1</v>
      </c>
      <c r="D17" s="40" t="inlineStr">
        <is>
          <t>Por debajo de este margen real la planilla te muestra una advertencia.</t>
        </is>
      </c>
    </row>
    <row r="18" ht="38" customHeight="1">
      <c r="B18" s="38" t="inlineStr">
        <is>
          <t>Método de cálculo preferido</t>
        </is>
      </c>
      <c r="C18" s="39" t="inlineStr">
        <is>
          <t>Margen sobre venta</t>
        </is>
      </c>
      <c r="D18" s="40" t="inlineStr">
        <is>
          <t>«Margen sobre venta»: el margen es un % del precio final (lo más usado y lo más seguro). «Recargo sobre costo»: el % se suma al costo (markup).</t>
        </is>
      </c>
    </row>
    <row r="19" ht="36" customHeight="1">
      <c r="B19" s="38" t="inlineStr">
        <is>
          <t>Redondear precios a múltiplos de</t>
        </is>
      </c>
      <c r="C19" s="43" t="n">
        <v>500</v>
      </c>
      <c r="D19" s="40" t="inlineStr">
        <is>
          <t>Ej.: 500 redondea hacia arriba a los 500 Gs. más cercanos (precios más prolijos). Poné 0 para no redondear.</t>
        </is>
      </c>
    </row>
    <row r="20" ht="26" customHeight="1">
      <c r="B20" s="38" t="inlineStr">
        <is>
          <t>Descuento habitual que podrías ofrecer (%)</t>
        </is>
      </c>
      <c r="C20" s="42" t="n">
        <v>0.1</v>
      </c>
      <c r="D20" s="40" t="inlineStr">
        <is>
          <t>Se usa en la CALCULADORA si no indicás un descuento para el producto.</t>
        </is>
      </c>
    </row>
    <row r="21" ht="26" customHeight="1">
      <c r="B21" s="38" t="inlineStr">
        <is>
          <t>Meta de ganancia a alcanzar</t>
        </is>
      </c>
      <c r="C21" s="43" t="n">
        <v>3000000</v>
      </c>
      <c r="D21" s="40" t="inlineStr">
        <is>
          <t>Ganancia neta que querés lograr. La CALCULADORA te dice cuántas unidades tenés que vender.</t>
        </is>
      </c>
    </row>
    <row r="23">
      <c r="B23" s="44" t="inlineStr">
        <is>
          <t>3. VALORES CALCULADOS (automáticos, no se modifican)</t>
        </is>
      </c>
    </row>
    <row r="24">
      <c r="B24" s="45" t="inlineStr">
        <is>
          <t>Divisor base  (1 − comisión − impuestos)</t>
        </is>
      </c>
      <c r="C24" s="46">
        <f>1-Comision-Impuesto</f>
        <v/>
      </c>
      <c r="D24" s="12" t="inlineStr">
        <is>
          <t>Parte del precio que te queda después de comisiones e impuestos.</t>
        </is>
      </c>
    </row>
    <row r="25">
      <c r="B25" s="45" t="inlineStr">
        <is>
          <t>Divisor para el precio objetivo</t>
        </is>
      </c>
      <c r="C25" s="46">
        <f>IF(Metodo="Margen sobre venta",1-Comision-Impuesto-MargenObj,(1-Comision-Impuesto)/(1+MargenObj))</f>
        <v/>
      </c>
      <c r="D25" s="12" t="inlineStr">
        <is>
          <t>Precio recomendado = costo ÷ este divisor.</t>
        </is>
      </c>
    </row>
    <row r="26">
      <c r="B26" s="45" t="inlineStr">
        <is>
          <t>Divisor para el precio promocional (mitad del margen)</t>
        </is>
      </c>
      <c r="C26" s="46">
        <f>IF(Metodo="Margen sobre venta",1-Comision-Impuesto-MargenObj/2,(1-Comision-Impuesto)/(1+MargenObj/2))</f>
        <v/>
      </c>
      <c r="D26" s="12" t="inlineStr">
        <is>
          <t>Precio promocional = costo ÷ este divisor.</t>
        </is>
      </c>
    </row>
    <row r="27">
      <c r="B27" s="45" t="inlineStr">
        <is>
          <t>Margen real objetivo equivalente</t>
        </is>
      </c>
      <c r="C27" s="47">
        <f>IF(Metodo="Margen sobre venta",MargenObj,MargenObj/(1+MargenObj))</f>
        <v/>
      </c>
      <c r="D27" s="12" t="inlineStr">
        <is>
          <t>Si elegiste recargo sobre costo, es el margen sobre venta que equivale a tu recargo.</t>
        </is>
      </c>
    </row>
    <row r="28">
      <c r="B28" s="38" t="inlineStr">
        <is>
          <t>Verificación de la configuración</t>
        </is>
      </c>
      <c r="C28" s="48">
        <f>IF(DivMargen&lt;=0,"⚠ Revisá: comisión + impuestos + margen superan el 100 %","✔ Configuración válida")</f>
        <v/>
      </c>
    </row>
    <row r="30">
      <c r="B30" s="41" t="inlineStr">
        <is>
          <t>4. TUS CATEGORÍAS DE PRODUCTOS (podés renombrarlas)</t>
        </is>
      </c>
      <c r="G30" t="inlineStr">
        <is>
          <t>Todas</t>
        </is>
      </c>
    </row>
    <row r="31">
      <c r="B31" s="39" t="inlineStr">
        <is>
          <t>Ropa y accesorios</t>
        </is>
      </c>
      <c r="C31" s="49" t="inlineStr">
        <is>
          <t>← categoría editable</t>
        </is>
      </c>
      <c r="G31">
        <f>IF(B31="","",B31)</f>
        <v/>
      </c>
    </row>
    <row r="32">
      <c r="B32" s="39" t="inlineStr">
        <is>
          <t>Alimentos y bebidas</t>
        </is>
      </c>
      <c r="C32" s="49" t="n"/>
      <c r="G32">
        <f>IF(B32="","",B32)</f>
        <v/>
      </c>
    </row>
    <row r="33">
      <c r="B33" s="39" t="inlineStr">
        <is>
          <t>Electrónica y celulares</t>
        </is>
      </c>
      <c r="C33" s="49" t="n"/>
      <c r="G33">
        <f>IF(B33="","",B33)</f>
        <v/>
      </c>
    </row>
    <row r="34">
      <c r="B34" s="39" t="inlineStr">
        <is>
          <t>Hogar y decoración</t>
        </is>
      </c>
      <c r="C34" s="49" t="n"/>
      <c r="G34">
        <f>IF(B34="","",B34)</f>
        <v/>
      </c>
    </row>
    <row r="35">
      <c r="B35" s="39" t="inlineStr">
        <is>
          <t>Belleza y cuidado personal</t>
        </is>
      </c>
      <c r="C35" s="49" t="n"/>
      <c r="G35">
        <f>IF(B35="","",B35)</f>
        <v/>
      </c>
    </row>
    <row r="36">
      <c r="B36" s="39" t="inlineStr">
        <is>
          <t>Herramientas y ferretería</t>
        </is>
      </c>
      <c r="C36" s="49" t="n"/>
      <c r="G36">
        <f>IF(B36="","",B36)</f>
        <v/>
      </c>
    </row>
    <row r="37">
      <c r="B37" s="39" t="inlineStr">
        <is>
          <t>Papelería y librería</t>
        </is>
      </c>
      <c r="C37" s="49" t="n"/>
      <c r="G37">
        <f>IF(B37="","",B37)</f>
        <v/>
      </c>
    </row>
    <row r="38">
      <c r="B38" s="39" t="inlineStr">
        <is>
          <t>Servicios</t>
        </is>
      </c>
      <c r="C38" s="49" t="n"/>
      <c r="G38">
        <f>IF(B38="","",B38)</f>
        <v/>
      </c>
    </row>
    <row r="39">
      <c r="B39" s="39" t="inlineStr">
        <is>
          <t>Mascotas</t>
        </is>
      </c>
      <c r="C39" s="49" t="n"/>
      <c r="G39">
        <f>IF(B39="","",B39)</f>
        <v/>
      </c>
    </row>
    <row r="40">
      <c r="B40" s="39" t="inlineStr">
        <is>
          <t>Otros</t>
        </is>
      </c>
      <c r="C40" s="49" t="n"/>
      <c r="G40">
        <f>IF(B40="","",B40)</f>
        <v/>
      </c>
    </row>
    <row r="41">
      <c r="B41" s="39" t="n"/>
      <c r="C41" s="49" t="n"/>
      <c r="G41">
        <f>IF(B41="","",B41)</f>
        <v/>
      </c>
    </row>
    <row r="42">
      <c r="B42" s="39" t="n"/>
      <c r="C42" s="49" t="n"/>
      <c r="G42">
        <f>IF(B42="","",B42)</f>
        <v/>
      </c>
    </row>
    <row r="44" ht="28" customHeight="1">
      <c r="B44" s="40" t="inlineStr">
        <is>
          <t>Importante: los impuestos y retenciones dependen de la situación particular de cada negocio. Esta herramienta no reemplaza el asesoramiento de un contador.</t>
        </is>
      </c>
    </row>
    <row r="46" ht="8" customHeight="1">
      <c r="B46" s="34" t="n"/>
    </row>
    <row r="47" ht="16" customHeight="1">
      <c r="B47" s="35" t="inlineStr">
        <is>
          <t>MIX SHOP DIGITAL  ·  Herramientas inteligentes que simplifican tu vida.</t>
        </is>
      </c>
    </row>
    <row r="48" ht="16" customHeight="1">
      <c r="B48" s="36" t="inlineStr">
        <is>
          <t>Versión gratuita  ·  Para gestionar todo tu negocio en un solo lugar, conocé Mi Negocio PY  →  mixshopdigital.com.py</t>
        </is>
      </c>
    </row>
  </sheetData>
  <sheetProtection selectLockedCells="0" selectUnlockedCells="0" sheet="1" objects="1" insertRows="1" insertHyperlinks="1" autoFilter="0" scenarios="1" formatColumns="1" deleteColumns="1" insertColumns="1" pivotTables="1" deleteRows="1" formatCells="1" formatRows="1" sort="1" password="C527"/>
  <mergeCells count="11">
    <mergeCell ref="B10:D10"/>
    <mergeCell ref="C2:D2"/>
    <mergeCell ref="C1:D1"/>
    <mergeCell ref="B23:D23"/>
    <mergeCell ref="B46:D46"/>
    <mergeCell ref="C28:D28"/>
    <mergeCell ref="B30:D30"/>
    <mergeCell ref="B6:D6"/>
    <mergeCell ref="B47:D47"/>
    <mergeCell ref="B48:D48"/>
    <mergeCell ref="C4:D4"/>
  </mergeCells>
  <conditionalFormatting sqref="C28:D28">
    <cfRule type="expression" priority="1" dxfId="0" stopIfTrue="1">
      <formula>ISNUMBER(SEARCH("érdida",$C$28))+ISNUMBER(SEARCH("NO conviene",$C$28))+ISNUMBER(SEARCH("por debajo",$C$28))&gt;0</formula>
    </cfRule>
    <cfRule type="expression" priority="2" dxfId="1" stopIfTrue="1">
      <formula>LEFT($C$28,1)="⚠"</formula>
    </cfRule>
    <cfRule type="expression" priority="3" dxfId="2">
      <formula>LEFT($C$28,1)="✔"</formula>
    </cfRule>
  </conditionalFormatting>
  <dataValidations count="12">
    <dataValidation sqref="C9" showDropDown="0" showInputMessage="1" showErrorMessage="1" allowBlank="1" errorTitle="Valor no válido" error="Elegí un valor de la lista desplegable." promptTitle="Moneda" prompt="Elegí la moneda que usás." type="list" errorStyle="stop">
      <formula1>"Gs.,US$,R$,ARS $,€"</formula1>
    </dataValidation>
    <dataValidation sqref="C11" showDropDown="0" showInputMessage="1" showErrorMessage="1" allowBlank="1" errorTitle="Dato no válido" error="El porcentaje debe estar entre 0 % y 95 %." promptTitle="Porcentaje" prompt="Escribí un porcentaje entre 0 % y 95 %. Ej.: 30 %" type="decimal" operator="between">
      <formula1>0</formula1>
      <formula2>0.95</formula2>
    </dataValidation>
    <dataValidation sqref="C12" showDropDown="0" showInputMessage="1" showErrorMessage="1" allowBlank="1" errorTitle="Dato no válido" error="El porcentaje debe estar entre 0 % y 95 %." promptTitle="Porcentaje" prompt="Escribí un porcentaje entre 0 % y 95 %. Ej.: 30 %" type="decimal" operator="between">
      <formula1>0</formula1>
      <formula2>0.95</formula2>
    </dataValidation>
    <dataValidation sqref="C13" showDropDown="0" showInputMessage="1" showErrorMessage="1" allowBlank="1" errorTitle="Dato no válido" error="Ingresá un número válido. No se aceptan valores negativos ni texto." promptTitle="Ingresá un número" prompt="Solo números mayores o iguales a 0." type="decimal" operator="greaterThanOrEqual">
      <formula1>0</formula1>
    </dataValidation>
    <dataValidation sqref="C14" showDropDown="0" showInputMessage="1" showErrorMessage="1" allowBlank="1" errorTitle="Dato no válido" error="Ingresá un número válido. No se aceptan valores negativos ni texto." promptTitle="Ingresá un número" prompt="Solo números mayores o iguales a 0." type="decimal" operator="greaterThanOrEqual">
      <formula1>0</formula1>
    </dataValidation>
    <dataValidation sqref="C15" showDropDown="0" showInputMessage="1" showErrorMessage="1" allowBlank="1" errorTitle="Dato no válido" error="Ingresá un número válido. No se aceptan valores negativos ni texto." promptTitle="Ingresá un número" prompt="Solo números mayores o iguales a 0." type="decimal" operator="greaterThanOrEqual">
      <formula1>0</formula1>
    </dataValidation>
    <dataValidation sqref="C16" showDropDown="0" showInputMessage="1" showErrorMessage="1" allowBlank="1" errorTitle="Dato no válido" error="El porcentaje debe estar entre 0 % y 95 %." promptTitle="Porcentaje" prompt="Escribí un porcentaje entre 0 % y 95 %. Ej.: 30 %" type="decimal" operator="between">
      <formula1>0</formula1>
      <formula2>0.95</formula2>
    </dataValidation>
    <dataValidation sqref="C17" showDropDown="0" showInputMessage="1" showErrorMessage="1" allowBlank="1" errorTitle="Dato no válido" error="El porcentaje debe estar entre 0 % y 95 %." promptTitle="Porcentaje" prompt="Escribí un porcentaje entre 0 % y 95 %. Ej.: 30 %" type="decimal" operator="between">
      <formula1>0</formula1>
      <formula2>0.95</formula2>
    </dataValidation>
    <dataValidation sqref="C19" showDropDown="0" showInputMessage="1" showErrorMessage="1" allowBlank="1" errorTitle="Dato no válido" error="Ingresá un número válido. No se aceptan valores negativos ni texto." promptTitle="Ingresá un número" prompt="Solo números mayores o iguales a 0." type="decimal" operator="greaterThanOrEqual">
      <formula1>0</formula1>
    </dataValidation>
    <dataValidation sqref="C20" showDropDown="0" showInputMessage="1" showErrorMessage="1" allowBlank="1" errorTitle="Dato no válido" error="El porcentaje debe estar entre 0 % y 95 %." promptTitle="Porcentaje" prompt="Escribí un porcentaje entre 0 % y 95 %. Ej.: 30 %" type="decimal" operator="between">
      <formula1>0</formula1>
      <formula2>0.95</formula2>
    </dataValidation>
    <dataValidation sqref="C21" showDropDown="0" showInputMessage="1" showErrorMessage="1" allowBlank="1" errorTitle="Dato no válido" error="Ingresá un número válido. No se aceptan valores negativos ni texto." promptTitle="Ingresá un número" prompt="Solo números mayores o iguales a 0." type="decimal" operator="greaterThanOrEqual">
      <formula1>0</formula1>
    </dataValidation>
    <dataValidation sqref="C18" showDropDown="0" showInputMessage="1" showErrorMessage="1" allowBlank="0" errorTitle="Valor no válido" error="Elegí un valor de la lista desplegable." promptTitle="Método de cálculo" prompt="Margen sobre venta (recomendado) o Recargo sobre costo." type="list" errorStyle="stop">
      <formula1>"Margen sobre venta,Recargo sobre costo"</formula1>
    </dataValidation>
  </dataValidations>
  <hyperlinks>
    <hyperlink ref="B4" location="'INICIO'!A1" display="← INICIO"/>
    <hyperlink xmlns:r="http://schemas.openxmlformats.org/officeDocument/2006/relationships" ref="B48" r:id="rId1"/>
  </hyperlinks>
  <printOptions horizontalCentered="1"/>
  <pageMargins left="0.75" right="0.75" top="1" bottom="1" header="0.5" footer="0.5"/>
  <pageSetup orientation="landscape" paperSize="9" fitToHeight="1" fitToWidth="1"/>
  <headerFooter>
    <oddHeader>&amp;C&amp;"Arial,Bold"&amp;14 &amp;K0B2A7AMIX SHOP DIGITAL</oddHeader>
    <oddFooter>&amp;L&amp;8 MIX SHOP DIGITAL — Herramientas inteligentes que simplifican tu vida.&amp;C&amp;8 Versión gratuita · mixshopdigital.com.py&amp;R&amp;8 Pág. &amp;P de &amp;N</oddFooter>
    <evenHeader/>
    <evenFooter/>
    <firstHeader/>
    <firstFooter/>
  </headerFooter>
  <drawing xmlns:r="http://schemas.openxmlformats.org/officeDocument/2006/relationships" r:id="rId2"/>
</worksheet>
</file>

<file path=xl/worksheets/sheet3.xml><?xml version="1.0" encoding="utf-8"?>
<worksheet xmlns="http://schemas.openxmlformats.org/spreadsheetml/2006/main">
  <sheetPr>
    <tabColor rgb="000A52C4"/>
    <outlinePr summaryBelow="1" summaryRight="1"/>
    <pageSetUpPr fitToPage="1"/>
  </sheetPr>
  <dimension ref="B1:J40"/>
  <sheetViews>
    <sheetView showGridLines="0" workbookViewId="0">
      <selection activeCell="A1" sqref="A1"/>
    </sheetView>
  </sheetViews>
  <sheetFormatPr baseColWidth="8" defaultRowHeight="15"/>
  <cols>
    <col width="2" customWidth="1" min="1" max="1"/>
    <col width="40" customWidth="1" min="2" max="2"/>
    <col width="17" customWidth="1" min="3" max="3"/>
    <col width="17" customWidth="1" min="4" max="4"/>
    <col width="17" customWidth="1" min="5" max="5"/>
    <col width="3" customWidth="1" min="6" max="6"/>
    <col width="38" customWidth="1" min="7" max="7"/>
    <col width="17" customWidth="1" min="8" max="8"/>
    <col width="46" customWidth="1" min="9" max="9"/>
    <col width="3" customWidth="1" min="10" max="10"/>
  </cols>
  <sheetData>
    <row r="1" ht="38" customHeight="1">
      <c r="B1" s="1" t="n"/>
      <c r="C1" s="2" t="n"/>
      <c r="D1" s="2" t="n"/>
      <c r="E1" s="2" t="n"/>
      <c r="F1" s="3" t="inlineStr">
        <is>
          <t>CALCULADORA</t>
        </is>
      </c>
      <c r="G1" s="2" t="n"/>
      <c r="H1" s="2" t="n"/>
      <c r="I1" s="2" t="n"/>
      <c r="J1" s="2" t="n"/>
    </row>
    <row r="2" ht="18" customHeight="1">
      <c r="B2" s="4" t="inlineStr">
        <is>
          <t>Herramientas inteligentes que simplifican tu vida.</t>
        </is>
      </c>
      <c r="F2" s="5" t="inlineStr">
        <is>
          <t>Costo real, precio recomendado y ganancia</t>
        </is>
      </c>
    </row>
    <row r="3" ht="5" customHeight="1">
      <c r="B3" s="6" t="n"/>
      <c r="C3" s="7" t="n"/>
      <c r="D3" s="8" t="n"/>
      <c r="E3" s="8" t="n"/>
      <c r="F3" s="9" t="n"/>
      <c r="G3" s="9" t="n"/>
      <c r="H3" s="10" t="n"/>
      <c r="I3" s="10" t="n"/>
      <c r="J3" s="11" t="n"/>
    </row>
    <row r="4" ht="20" customHeight="1">
      <c r="B4" s="37" t="inlineStr">
        <is>
          <t>← INICIO</t>
        </is>
      </c>
      <c r="C4" s="12" t="inlineStr">
        <is>
          <t>Completá solamente las celdas resaltadas. Si dejás un campo en blanco, se usa el valor de CONFIGURACIÓN.</t>
        </is>
      </c>
    </row>
    <row r="5" ht="16" customHeight="1">
      <c r="B5" s="50" t="inlineStr">
        <is>
          <t>PRECIO RECOMENDADO</t>
        </is>
      </c>
      <c r="D5" s="50" t="inlineStr">
        <is>
          <t>GANANCIA NETA POR UNIDAD</t>
        </is>
      </c>
      <c r="G5" s="50" t="inlineStr">
        <is>
          <t>MARGEN REAL SOBRE LA VENTA</t>
        </is>
      </c>
      <c r="H5" s="50" t="inlineStr">
        <is>
          <t>PRECIO MÍNIMO (SIN PÉRDIDA)</t>
        </is>
      </c>
    </row>
    <row r="6" ht="30" customHeight="1">
      <c r="B6" s="51">
        <f>H14</f>
        <v/>
      </c>
      <c r="D6" s="52">
        <f>H16</f>
        <v/>
      </c>
      <c r="G6" s="53">
        <f>H17</f>
        <v/>
      </c>
      <c r="H6" s="54">
        <f>H12</f>
        <v/>
      </c>
    </row>
    <row r="7" ht="15" customHeight="1">
      <c r="B7" s="55">
        <f>"por unidad · "&amp;Moneda</f>
        <v/>
      </c>
      <c r="D7" s="55">
        <f>"por unidad · "&amp;Moneda</f>
        <v/>
      </c>
      <c r="G7" s="55" t="inlineStr">
        <is>
          <t>ganancia ÷ precio de venta</t>
        </is>
      </c>
      <c r="H7" s="55">
        <f>"por debajo perdés · "&amp;Moneda</f>
        <v/>
      </c>
    </row>
    <row r="9">
      <c r="B9" s="18" t="inlineStr">
        <is>
          <t>1. DATOS DEL PRODUCTO Y SUS COSTOS</t>
        </is>
      </c>
      <c r="G9" s="56" t="inlineStr">
        <is>
          <t>3. RESULTADOS AUTOMÁTICOS</t>
        </is>
      </c>
    </row>
    <row r="10" ht="26" customHeight="1">
      <c r="B10" s="57" t="inlineStr">
        <is>
          <t>Concepto</t>
        </is>
      </c>
      <c r="C10" s="57" t="inlineStr">
        <is>
          <t>Monto que ingresás</t>
        </is>
      </c>
      <c r="D10" s="57" t="inlineStr">
        <is>
          <t>Se aplica a</t>
        </is>
      </c>
      <c r="E10" s="57" t="inlineStr">
        <is>
          <t>Costo por unidad</t>
        </is>
      </c>
      <c r="G10" s="58" t="inlineStr">
        <is>
          <t>Resultado</t>
        </is>
      </c>
      <c r="H10" s="58" t="inlineStr">
        <is>
          <t>Valor</t>
        </is>
      </c>
      <c r="I10" s="58" t="inlineStr">
        <is>
          <t>Estado / cómo leerlo</t>
        </is>
      </c>
    </row>
    <row r="11" ht="21" customHeight="1">
      <c r="B11" s="38" t="inlineStr">
        <is>
          <t>Nombre del producto</t>
        </is>
      </c>
      <c r="C11" s="39" t="n"/>
      <c r="G11" s="45" t="inlineStr">
        <is>
          <t>Costo total unitario</t>
        </is>
      </c>
      <c r="H11" s="59">
        <f>E24</f>
        <v/>
      </c>
      <c r="I11" s="60" t="inlineStr">
        <is>
          <t>Todo lo que te cuesta cada unidad.</t>
        </is>
      </c>
    </row>
    <row r="12" ht="21" customHeight="1">
      <c r="B12" s="38" t="inlineStr">
        <is>
          <t>Código o SKU</t>
        </is>
      </c>
      <c r="C12" s="39" t="n"/>
      <c r="G12" s="45" t="inlineStr">
        <is>
          <t>Precio mínimo para no perder dinero</t>
        </is>
      </c>
      <c r="H12" s="59">
        <f>IF(OR(E24&lt;=0,H29&lt;=0),0,E24/H29)</f>
        <v/>
      </c>
      <c r="I12" s="60" t="inlineStr">
        <is>
          <t>Por debajo de este precio perdés plata.</t>
        </is>
      </c>
    </row>
    <row r="13" ht="21" customHeight="1">
      <c r="B13" s="38" t="inlineStr">
        <is>
          <t>Categoría</t>
        </is>
      </c>
      <c r="C13" s="39" t="n"/>
      <c r="G13" s="45" t="inlineStr">
        <is>
          <t>Precio con margen objetivo (exacto)</t>
        </is>
      </c>
      <c r="H13" s="59">
        <f>IF(OR(E24&lt;=0,H30&lt;=0),0,E24/H30)</f>
        <v/>
      </c>
      <c r="I13" s="60" t="inlineStr">
        <is>
          <t>Resuelto matemáticamente, sin sumar % al costo.</t>
        </is>
      </c>
    </row>
    <row r="14" ht="26" customHeight="1">
      <c r="B14" s="38" t="inlineStr">
        <is>
          <t>Proveedor</t>
        </is>
      </c>
      <c r="C14" s="39" t="n"/>
      <c r="G14" s="61" t="inlineStr">
        <is>
          <t>PRECIO RECOMENDADO</t>
        </is>
      </c>
      <c r="H14" s="62">
        <f>IF(H13=0,0,IF(Redondeo&gt;0,CEILING(H13,Redondeo),H13))</f>
        <v/>
      </c>
      <c r="I14" s="60" t="inlineStr">
        <is>
          <t>Precio sugerido (redondeado hacia arriba).</t>
        </is>
      </c>
    </row>
    <row r="15" ht="21" customHeight="1">
      <c r="B15" s="45" t="inlineStr">
        <is>
          <t>Cantidad adquirida (unidades)</t>
        </is>
      </c>
      <c r="C15" s="63" t="n"/>
      <c r="D15" s="64" t="inlineStr">
        <is>
          <t>unidades</t>
        </is>
      </c>
      <c r="E15" s="65" t="n"/>
      <c r="G15" s="45" t="inlineStr">
        <is>
          <t>Ganancia bruta por unidad</t>
        </is>
      </c>
      <c r="H15" s="59">
        <f>H14-E24</f>
        <v/>
      </c>
      <c r="I15" s="60" t="inlineStr">
        <is>
          <t>Precio − costo, antes de comisiones e impuestos.</t>
        </is>
      </c>
    </row>
    <row r="16" ht="21" customHeight="1">
      <c r="B16" s="45" t="inlineStr">
        <is>
          <t>Costo total de compra (lote)</t>
        </is>
      </c>
      <c r="C16" s="43" t="n"/>
      <c r="D16" s="64" t="inlineStr">
        <is>
          <t>Lote completo</t>
        </is>
      </c>
      <c r="E16" s="59">
        <f>IF(C16="",0,C16/IF(N(C15)&gt;0,C15,1))</f>
        <v/>
      </c>
      <c r="G16" s="38" t="inlineStr">
        <is>
          <t>Ganancia neta estimada por unidad</t>
        </is>
      </c>
      <c r="H16" s="66">
        <f>H14*H29-E24</f>
        <v/>
      </c>
      <c r="I16" s="67">
        <f>IF(H14=0,"",IF(H16&lt;0,"✖ Pérdida por unidad","✔ Ganancia por unidad"))</f>
        <v/>
      </c>
    </row>
    <row r="17" ht="21" customHeight="1">
      <c r="B17" s="45" t="inlineStr">
        <is>
          <t>Transporte o importación</t>
        </is>
      </c>
      <c r="C17" s="43" t="n"/>
      <c r="D17" s="68" t="inlineStr">
        <is>
          <t>Por unidad</t>
        </is>
      </c>
      <c r="E17" s="59">
        <f>IF(C17="",0,IF(D17="Lote completo",C17/IF(N($C$15)&gt;0,$C$15,1),C17))</f>
        <v/>
      </c>
      <c r="G17" s="38" t="inlineStr">
        <is>
          <t>Margen real sobre el precio de venta</t>
        </is>
      </c>
      <c r="H17" s="69">
        <f>IF(H14=0,0,H16/H14)</f>
        <v/>
      </c>
      <c r="I17" s="67">
        <f>IF(H14=0,"",IF(H17&lt;0,"✖ Pérdida",IF(H17&lt;MargenMin,"⚠ Margen insuficiente","✔ Margen saludable")))</f>
        <v/>
      </c>
    </row>
    <row r="18" ht="21" customHeight="1">
      <c r="B18" s="45" t="inlineStr">
        <is>
          <t>Envío al cliente</t>
        </is>
      </c>
      <c r="C18" s="43" t="n"/>
      <c r="D18" s="68" t="inlineStr">
        <is>
          <t>Por unidad</t>
        </is>
      </c>
      <c r="E18" s="59">
        <f>IF(C18="",EnvioHab,IF(D18="Lote completo",C18/IF(N($C$15)&gt;0,$C$15,1),C18))</f>
        <v/>
      </c>
      <c r="G18" s="45" t="inlineStr">
        <is>
          <t>Rentabilidad sobre el costo (recargo)</t>
        </is>
      </c>
      <c r="H18" s="70">
        <f>IF(E24=0,0,H16/E24)</f>
        <v/>
      </c>
      <c r="I18" s="60" t="inlineStr">
        <is>
          <t>Ganancia neta ÷ costo. No es lo mismo que el margen.</t>
        </is>
      </c>
    </row>
    <row r="19" ht="21" customHeight="1">
      <c r="B19" s="45" t="inlineStr">
        <is>
          <t>Empaque</t>
        </is>
      </c>
      <c r="C19" s="43" t="n"/>
      <c r="D19" s="68" t="inlineStr">
        <is>
          <t>Por unidad</t>
        </is>
      </c>
      <c r="E19" s="59">
        <f>IF(C19="",EmpaqueHab,IF(D19="Lote completo",C19/IF(N($C$15)&gt;0,$C$15,1),C19))</f>
        <v/>
      </c>
      <c r="G19" s="45" t="inlineStr">
        <is>
          <t>Ganancia total estimada del lote</t>
        </is>
      </c>
      <c r="H19" s="59">
        <f>H16*E34</f>
        <v/>
      </c>
      <c r="I19" s="60">
        <f>"Con "&amp;FIXED(E34,0)&amp;" unidades disponibles"</f>
        <v/>
      </c>
    </row>
    <row r="20" ht="21" customHeight="1">
      <c r="B20" s="45" t="inlineStr">
        <is>
          <t>Etiquetas y presentación</t>
        </is>
      </c>
      <c r="C20" s="43" t="n"/>
      <c r="D20" s="68" t="inlineStr">
        <is>
          <t>Por unidad</t>
        </is>
      </c>
      <c r="E20" s="59">
        <f>IF(C20="",0,IF(D20="Lote completo",C20/IF(N($C$15)&gt;0,$C$15,1),C20))</f>
        <v/>
      </c>
      <c r="G20" s="45" t="inlineStr">
        <is>
          <t>Precio promocional posible</t>
        </is>
      </c>
      <c r="H20" s="59">
        <f>IF(OR(E24&lt;=0,H31&lt;=0),0,IF(Redondeo&gt;0,CEILING(E24/H31,Redondeo),E24/H31))</f>
        <v/>
      </c>
      <c r="I20" s="60" t="inlineStr">
        <is>
          <t>Conserva la mitad de tu margen objetivo.</t>
        </is>
      </c>
    </row>
    <row r="21" ht="21" customHeight="1">
      <c r="B21" s="45" t="inlineStr">
        <is>
          <t>Otros costos variables</t>
        </is>
      </c>
      <c r="C21" s="43" t="n"/>
      <c r="D21" s="68" t="inlineStr">
        <is>
          <t>Por unidad</t>
        </is>
      </c>
      <c r="E21" s="59">
        <f>IF(C21="",OtrosHab,IF(D21="Lote completo",C21/IF(N($C$15)&gt;0,$C$15,1),C21))</f>
        <v/>
      </c>
      <c r="G21" s="45" t="inlineStr">
        <is>
          <t>Precio después del descuento</t>
        </is>
      </c>
      <c r="H21" s="59">
        <f>H14*(1-E32)</f>
        <v/>
      </c>
      <c r="I21" s="60">
        <f>"Descuento aplicado: "&amp;ROUND(E32*100,1)&amp;" %"</f>
        <v/>
      </c>
    </row>
    <row r="22" ht="21" customHeight="1">
      <c r="B22" s="45" t="inlineStr">
        <is>
          <t>Otros costos asignables</t>
        </is>
      </c>
      <c r="C22" s="43" t="n"/>
      <c r="D22" s="68" t="inlineStr">
        <is>
          <t>Por unidad</t>
        </is>
      </c>
      <c r="E22" s="59">
        <f>IF(C22="",0,IF(D22="Lote completo",C22/IF(N($C$15)&gt;0,$C$15,1),C22))</f>
        <v/>
      </c>
      <c r="G22" s="45" t="inlineStr">
        <is>
          <t>Ganancia neta después del descuento</t>
        </is>
      </c>
      <c r="H22" s="59">
        <f>H21*H29-E24</f>
        <v/>
      </c>
      <c r="I22" s="67">
        <f>IF(H21=0,"",IF(H22&lt;0,"✖ Con este descuento perdés",IF(H22/H21&lt;MargenMin,"⚠ Margen bajo con descuento","✔ Sigue siendo rentable")))</f>
        <v/>
      </c>
    </row>
    <row r="23" ht="21" customHeight="1">
      <c r="B23" s="45" t="inlineStr">
        <is>
          <t>Incluir costos fijos (por unidad)</t>
        </is>
      </c>
      <c r="C23" s="68" t="inlineStr">
        <is>
          <t>No</t>
        </is>
      </c>
      <c r="D23" s="64" t="inlineStr">
        <is>
          <t>¿incluir?</t>
        </is>
      </c>
      <c r="E23" s="59">
        <f>IF(C23="Sí",CostoFijoUnit,0)</f>
        <v/>
      </c>
      <c r="G23" s="45" t="inlineStr">
        <is>
          <t>Unidades para alcanzar tu meta</t>
        </is>
      </c>
      <c r="H23" s="71">
        <f>IF(OR(H14=0,H16&lt;=0),"N/D",ROUNDUP(E35/H16,0))</f>
        <v/>
      </c>
      <c r="I23" s="60">
        <f>"Meta: "&amp;FIXED(E35,0)&amp;" "&amp;Moneda</f>
        <v/>
      </c>
    </row>
    <row r="24" ht="21" customHeight="1">
      <c r="B24" s="18" t="inlineStr">
        <is>
          <t>COSTO TOTAL UNITARIO</t>
        </is>
      </c>
      <c r="E24" s="72">
        <f>IF(N(C16)&lt;=0,0,SUM(E16:E23))</f>
        <v/>
      </c>
      <c r="G24" s="45" t="inlineStr">
        <is>
          <t>Ganancia neta con tu precio actual</t>
        </is>
      </c>
      <c r="H24" s="59">
        <f>IF(E33&lt;=0,0,E33*H29-E24)</f>
        <v/>
      </c>
      <c r="I24" s="67">
        <f>IF(E33&lt;=0,"Cargá tu precio actual",IF(H24&lt;0,"✖ Vendés por debajo del costo","✔ Ganancia con precio actual"))</f>
        <v/>
      </c>
    </row>
    <row r="25" ht="21" customHeight="1">
      <c r="B25" s="73" t="inlineStr">
        <is>
          <t>Chequeo</t>
        </is>
      </c>
      <c r="C25" s="74">
        <f>IF(AND(N(C16)&gt;0,N(C15)&lt;=0),"⚠ Indicá la cantidad adquirida",IF(E24=0,"Cargá el costo de compra para ver resultados","✔ Datos completos"))</f>
        <v/>
      </c>
      <c r="G25" s="45" t="inlineStr">
        <is>
          <t>Margen real con tu precio actual</t>
        </is>
      </c>
      <c r="H25" s="70">
        <f>IF(E33&lt;=0,0,H24/E33)</f>
        <v/>
      </c>
      <c r="I25" s="67">
        <f>IF(E33&lt;=0,"",IF(H25&lt;0,"✖ Pérdida",IF(H25&lt;MargenMin,"⚠ Margen insuficiente","✔ Precio actual rentable")))</f>
        <v/>
      </c>
    </row>
    <row r="27">
      <c r="B27" s="41" t="inlineStr">
        <is>
          <t>2. PARÁMETROS COMERCIALES</t>
        </is>
      </c>
      <c r="G27" s="44" t="inlineStr">
        <is>
          <t>Detalle técnico del cálculo</t>
        </is>
      </c>
    </row>
    <row r="28" ht="26" customHeight="1">
      <c r="B28" s="57" t="inlineStr">
        <is>
          <t>Concepto</t>
        </is>
      </c>
      <c r="C28" s="57" t="inlineStr">
        <is>
          <t>Tu dato (opcional)</t>
        </is>
      </c>
      <c r="D28" s="57" t="inlineStr">
        <is>
          <t>Si lo dejás vacío</t>
        </is>
      </c>
      <c r="E28" s="57" t="inlineStr">
        <is>
          <t>Valor que se usa</t>
        </is>
      </c>
      <c r="G28" s="12">
        <f>"Método activo: "&amp;Metodo</f>
        <v/>
      </c>
    </row>
    <row r="29" ht="20" customHeight="1">
      <c r="B29" s="45" t="inlineStr">
        <is>
          <t>Margen de ganancia deseado (%)</t>
        </is>
      </c>
      <c r="C29" s="42" t="n"/>
      <c r="D29" s="75" t="inlineStr">
        <is>
          <t>usa CONFIGURACIÓN</t>
        </is>
      </c>
      <c r="E29" s="76">
        <f>IF(C29="",MargenObj,C29)</f>
        <v/>
      </c>
      <c r="G29" s="73" t="inlineStr">
        <is>
          <t>Divisor base = 1 − comisión − impuestos</t>
        </is>
      </c>
      <c r="H29" s="77">
        <f>1-E30-E31</f>
        <v/>
      </c>
      <c r="I29" s="67">
        <f>IF(MIN(H29:H31)&lt;=0,"⚠ Revisá comisión, impuestos y margen: suman 100 % o más","")</f>
        <v/>
      </c>
    </row>
    <row r="30" ht="20" customHeight="1">
      <c r="B30" s="45" t="inlineStr">
        <is>
          <t>Comisión de plataforma / medio de pago (%)</t>
        </is>
      </c>
      <c r="C30" s="42" t="n"/>
      <c r="D30" s="75" t="inlineStr">
        <is>
          <t>usa CONFIGURACIÓN</t>
        </is>
      </c>
      <c r="E30" s="76">
        <f>IF(C30="",Comision,C30)</f>
        <v/>
      </c>
      <c r="G30" s="73" t="inlineStr">
        <is>
          <t>Divisor del precio objetivo</t>
        </is>
      </c>
      <c r="H30" s="77">
        <f>IF(Metodo="Margen sobre venta",H29-E29,H29/(1+E29))</f>
        <v/>
      </c>
    </row>
    <row r="31" ht="20" customHeight="1">
      <c r="B31" s="45" t="inlineStr">
        <is>
          <t>Impuestos o retenciones sobre ventas (%)</t>
        </is>
      </c>
      <c r="C31" s="42" t="n"/>
      <c r="D31" s="75" t="inlineStr">
        <is>
          <t>usa CONFIGURACIÓN</t>
        </is>
      </c>
      <c r="E31" s="76">
        <f>IF(C31="",Impuesto,C31)</f>
        <v/>
      </c>
      <c r="G31" s="73" t="inlineStr">
        <is>
          <t>Divisor del precio promocional</t>
        </is>
      </c>
      <c r="H31" s="77">
        <f>IF(Metodo="Margen sobre venta",H29-E29/2,H29/(1+E29/2))</f>
        <v/>
      </c>
    </row>
    <row r="32" ht="20" customHeight="1">
      <c r="B32" s="45" t="inlineStr">
        <is>
          <t>Descuento que podrías ofrecer (%)</t>
        </is>
      </c>
      <c r="C32" s="42" t="n"/>
      <c r="D32" s="75" t="inlineStr">
        <is>
          <t>usa CONFIGURACIÓN</t>
        </is>
      </c>
      <c r="E32" s="76">
        <f>IF(C32="",DescHab,C32)</f>
        <v/>
      </c>
    </row>
    <row r="33" ht="26" customHeight="1">
      <c r="B33" s="45" t="inlineStr">
        <is>
          <t>Precio de venta actual</t>
        </is>
      </c>
      <c r="C33" s="43" t="n"/>
      <c r="D33" s="75" t="inlineStr">
        <is>
          <t>sin precio actual</t>
        </is>
      </c>
      <c r="E33" s="78">
        <f>IF(C33="",0,C33)</f>
        <v/>
      </c>
      <c r="G33" s="79" t="inlineStr">
        <is>
          <t>Fórmulas: Precio = Costo ÷ Divisor.  Ganancia neta = Precio × divisor base − Costo.</t>
        </is>
      </c>
    </row>
    <row r="34" ht="20" customHeight="1">
      <c r="B34" s="45" t="inlineStr">
        <is>
          <t>Unidades disponibles</t>
        </is>
      </c>
      <c r="C34" s="43" t="n"/>
      <c r="D34" s="75" t="inlineStr">
        <is>
          <t>usa la cantidad adquirida</t>
        </is>
      </c>
      <c r="E34" s="78">
        <f>IF(C34="",N(C15),C34)</f>
        <v/>
      </c>
    </row>
    <row r="35" ht="20" customHeight="1">
      <c r="B35" s="45" t="inlineStr">
        <is>
          <t>Meta de ganancia neta a alcanzar</t>
        </is>
      </c>
      <c r="C35" s="43" t="n"/>
      <c r="D35" s="75" t="inlineStr">
        <is>
          <t>usa CONFIGURACIÓN</t>
        </is>
      </c>
      <c r="E35" s="78">
        <f>IF(C35="",MetaGan,C35)</f>
        <v/>
      </c>
      <c r="G35" s="80" t="inlineStr">
        <is>
          <t>Colores:</t>
        </is>
      </c>
    </row>
    <row r="36">
      <c r="G36" s="26" t="inlineStr">
        <is>
          <t>Azul claro: completás vos</t>
        </is>
      </c>
      <c r="H36" s="28" t="inlineStr">
        <is>
          <t>Gris: automático</t>
        </is>
      </c>
      <c r="I36" s="29" t="inlineStr">
        <is>
          <t>Naranja: advertencia · Rojo: pérdida · Verde: favorable</t>
        </is>
      </c>
    </row>
    <row r="38" ht="8" customHeight="1">
      <c r="B38" s="34" t="n"/>
    </row>
    <row r="39" ht="16" customHeight="1">
      <c r="B39" s="35" t="inlineStr">
        <is>
          <t>MIX SHOP DIGITAL  ·  Herramientas inteligentes que simplifican tu vida.</t>
        </is>
      </c>
    </row>
    <row r="40" ht="16" customHeight="1">
      <c r="B40" s="36" t="inlineStr">
        <is>
          <t>Versión gratuita  ·  Para gestionar todo tu negocio en un solo lugar, conocé Mi Negocio PY  →  mixshopdigital.com.py</t>
        </is>
      </c>
    </row>
  </sheetData>
  <sheetProtection selectLockedCells="0" selectUnlockedCells="0" sheet="1" objects="1" insertRows="1" insertHyperlinks="1" autoFilter="0" scenarios="1" formatColumns="1" deleteColumns="1" insertColumns="1" pivotTables="1" deleteRows="1" formatCells="1" formatRows="1" sort="1" password="C527"/>
  <mergeCells count="28">
    <mergeCell ref="B9:E9"/>
    <mergeCell ref="B7:C7"/>
    <mergeCell ref="I29:I31"/>
    <mergeCell ref="C12:E12"/>
    <mergeCell ref="B38:J38"/>
    <mergeCell ref="C4:J4"/>
    <mergeCell ref="D6:E6"/>
    <mergeCell ref="C11:E11"/>
    <mergeCell ref="H6:I6"/>
    <mergeCell ref="B40:J40"/>
    <mergeCell ref="B24:D24"/>
    <mergeCell ref="F2:J2"/>
    <mergeCell ref="B27:E27"/>
    <mergeCell ref="D7:E7"/>
    <mergeCell ref="C13:E13"/>
    <mergeCell ref="H7:I7"/>
    <mergeCell ref="G9:I9"/>
    <mergeCell ref="B2:E2"/>
    <mergeCell ref="B6:C6"/>
    <mergeCell ref="B1:E1"/>
    <mergeCell ref="C14:E14"/>
    <mergeCell ref="G27:I27"/>
    <mergeCell ref="B5:C5"/>
    <mergeCell ref="D5:E5"/>
    <mergeCell ref="H5:I5"/>
    <mergeCell ref="F1:J1"/>
    <mergeCell ref="B39:J39"/>
    <mergeCell ref="C25:E25"/>
  </mergeCells>
  <conditionalFormatting sqref="D6:E6">
    <cfRule type="cellIs" priority="1" operator="lessThan" dxfId="3">
      <formula>0</formula>
    </cfRule>
  </conditionalFormatting>
  <conditionalFormatting sqref="G6">
    <cfRule type="expression" priority="2" dxfId="3">
      <formula>AND($H$14&gt;0,$H$17&lt;0)</formula>
    </cfRule>
    <cfRule type="expression" priority="3" dxfId="4">
      <formula>AND($H$14&gt;0,$H$17&lt;MargenMin)</formula>
    </cfRule>
    <cfRule type="expression" priority="4" dxfId="5">
      <formula>$H$14&gt;0</formula>
    </cfRule>
  </conditionalFormatting>
  <conditionalFormatting sqref="C25:E25">
    <cfRule type="expression" priority="5" dxfId="0" stopIfTrue="1">
      <formula>ISNUMBER(SEARCH("érdida",$C$25))+ISNUMBER(SEARCH("NO conviene",$C$25))+ISNUMBER(SEARCH("por debajo",$C$25))&gt;0</formula>
    </cfRule>
    <cfRule type="expression" priority="6" dxfId="1" stopIfTrue="1">
      <formula>LEFT($C$25,1)="⚠"</formula>
    </cfRule>
    <cfRule type="expression" priority="7" dxfId="2">
      <formula>LEFT($C$25,1)="✔"</formula>
    </cfRule>
  </conditionalFormatting>
  <conditionalFormatting sqref="C33">
    <cfRule type="expression" priority="8" dxfId="0">
      <formula>AND(N($C$33)&gt;0,N($C$33)&lt;$E$24)</formula>
    </cfRule>
  </conditionalFormatting>
  <conditionalFormatting sqref="I16:I25">
    <cfRule type="expression" priority="9" dxfId="0" stopIfTrue="1">
      <formula>ISNUMBER(SEARCH("érdida",$I16))+ISNUMBER(SEARCH("NO conviene",$I16))+ISNUMBER(SEARCH("por debajo",$I16))&gt;0</formula>
    </cfRule>
    <cfRule type="expression" priority="10" dxfId="1" stopIfTrue="1">
      <formula>LEFT($I16,1)="⚠"</formula>
    </cfRule>
    <cfRule type="expression" priority="11" dxfId="2">
      <formula>LEFT($I16,1)="✔"</formula>
    </cfRule>
  </conditionalFormatting>
  <conditionalFormatting sqref="H16">
    <cfRule type="cellIs" priority="12" operator="lessThan" dxfId="0">
      <formula>0</formula>
    </cfRule>
    <cfRule type="cellIs" priority="13" operator="greaterThan" dxfId="2">
      <formula>0</formula>
    </cfRule>
  </conditionalFormatting>
  <conditionalFormatting sqref="H22">
    <cfRule type="cellIs" priority="14" operator="lessThan" dxfId="0">
      <formula>0</formula>
    </cfRule>
  </conditionalFormatting>
  <conditionalFormatting sqref="H24">
    <cfRule type="expression" priority="15" dxfId="0">
      <formula>AND($E$33&gt;0,$H$24&lt;0)</formula>
    </cfRule>
    <cfRule type="expression" priority="16" dxfId="2">
      <formula>AND($E$33&gt;0,$H$24&gt;0)</formula>
    </cfRule>
  </conditionalFormatting>
  <conditionalFormatting sqref="H17">
    <cfRule type="expression" priority="17" dxfId="0" stopIfTrue="1">
      <formula>AND($H$14&gt;0,H17&lt;0)</formula>
    </cfRule>
    <cfRule type="expression" priority="18" dxfId="1" stopIfTrue="1">
      <formula>AND($H$14&gt;0,H17&lt;MargenMin)</formula>
    </cfRule>
    <cfRule type="expression" priority="19" dxfId="2">
      <formula>$H$14&gt;0</formula>
    </cfRule>
  </conditionalFormatting>
  <conditionalFormatting sqref="H25">
    <cfRule type="expression" priority="20" dxfId="0" stopIfTrue="1">
      <formula>AND($E$33&gt;0,H25&lt;0)</formula>
    </cfRule>
    <cfRule type="expression" priority="21" dxfId="1" stopIfTrue="1">
      <formula>AND($E$33&gt;0,H25&lt;MargenMin)</formula>
    </cfRule>
    <cfRule type="expression" priority="22" dxfId="2">
      <formula>$E$33&gt;0</formula>
    </cfRule>
  </conditionalFormatting>
  <conditionalFormatting sqref="I29:I31">
    <cfRule type="expression" priority="23" dxfId="0" stopIfTrue="1">
      <formula>ISNUMBER(SEARCH("érdida",$I$29))+ISNUMBER(SEARCH("NO conviene",$I$29))+ISNUMBER(SEARCH("por debajo",$I$29))&gt;0</formula>
    </cfRule>
    <cfRule type="expression" priority="24" dxfId="1" stopIfTrue="1">
      <formula>LEFT($I$29,1)="⚠"</formula>
    </cfRule>
    <cfRule type="expression" priority="25" dxfId="2">
      <formula>LEFT($I$29,1)="✔"</formula>
    </cfRule>
  </conditionalFormatting>
  <dataValidations count="23">
    <dataValidation sqref="C13" showDropDown="0" showInputMessage="1" showErrorMessage="1" allowBlank="1" errorTitle="Valor no válido" error="Elegí un valor de la lista desplegable." promptTitle="Categoría" prompt="Elegí una categoría (podés editarlas en CONFIGURACIÓN)." type="list" errorStyle="stop">
      <formula1>Categorias</formula1>
    </dataValidation>
    <dataValidation sqref="C15" showDropDown="0" showInputMessage="1" showErrorMessage="1" allowBlank="1" errorTitle="Dato no válido" error="Ingresá un número válido. No se aceptan valores negativos ni texto." promptTitle="Cantidad adquirida" prompt="Cuántas unidades compraste en este lote. Ej.: 50" type="decimal" operator="greaterThanOrEqual">
      <formula1>0</formula1>
    </dataValidation>
    <dataValidation sqref="C16" showDropDown="0" showInputMessage="1" showErrorMessage="1" allowBlank="1" errorTitle="Dato no válido" error="Ingresá un número válido. No se aceptan valores negativos ni texto." promptTitle="Costo total de compra" prompt="Lo que pagaste por TODO el lote. Para servicios, ingresá el costo de materiales o mano de obra." type="decimal" operator="greaterThanOrEqual">
      <formula1>0</formula1>
    </dataValidation>
    <dataValidation sqref="C17" showDropDown="0" showInputMessage="1" showErrorMessage="1" allowBlank="1" errorTitle="Dato no válido" error="Ingresá un número válido. No se aceptan valores negativos ni texto." promptTitle="Transporte o importación" prompt="Monto en la moneda elegida. Indicá si es por unidad o del lote completo." type="decimal" operator="greaterThanOrEqual">
      <formula1>0</formula1>
    </dataValidation>
    <dataValidation sqref="D17" showDropDown="0" showInputMessage="1" showErrorMessage="1" allowBlank="1" errorTitle="Valor no válido" error="Elegí un valor de la lista desplegable." promptTitle="¿A qué corresponde?" prompt="«Por unidad»: costo de cada unidad. «Lote completo»: costo total que se reparte entre las unidades." type="list" errorStyle="stop">
      <formula1>"Por unidad,Lote completo"</formula1>
    </dataValidation>
    <dataValidation sqref="C18" showDropDown="0" showInputMessage="1" showErrorMessage="1" allowBlank="1" errorTitle="Dato no válido" error="Ingresá un número válido. No se aceptan valores negativos ni texto." promptTitle="Envío al cliente" prompt="Monto en la moneda elegida. Indicá si es por unidad o del lote completo." type="decimal" operator="greaterThanOrEqual">
      <formula1>0</formula1>
    </dataValidation>
    <dataValidation sqref="D18" showDropDown="0" showInputMessage="1" showErrorMessage="1" allowBlank="1" errorTitle="Valor no válido" error="Elegí un valor de la lista desplegable." promptTitle="¿A qué corresponde?" prompt="«Por unidad»: costo de cada unidad. «Lote completo»: costo total que se reparte entre las unidades." type="list" errorStyle="stop">
      <formula1>"Por unidad,Lote completo"</formula1>
    </dataValidation>
    <dataValidation sqref="C19" showDropDown="0" showInputMessage="1" showErrorMessage="1" allowBlank="1" errorTitle="Dato no válido" error="Ingresá un número válido. No se aceptan valores negativos ni texto." promptTitle="Empaque" prompt="Monto en la moneda elegida. Indicá si es por unidad o del lote completo." type="decimal" operator="greaterThanOrEqual">
      <formula1>0</formula1>
    </dataValidation>
    <dataValidation sqref="D19" showDropDown="0" showInputMessage="1" showErrorMessage="1" allowBlank="1" errorTitle="Valor no válido" error="Elegí un valor de la lista desplegable." promptTitle="¿A qué corresponde?" prompt="«Por unidad»: costo de cada unidad. «Lote completo»: costo total que se reparte entre las unidades." type="list" errorStyle="stop">
      <formula1>"Por unidad,Lote completo"</formula1>
    </dataValidation>
    <dataValidation sqref="C20" showDropDown="0" showInputMessage="1" showErrorMessage="1" allowBlank="1" errorTitle="Dato no válido" error="Ingresá un número válido. No se aceptan valores negativos ni texto." promptTitle="Etiquetas y presentación" prompt="Monto en la moneda elegida. Indicá si es por unidad o del lote completo." type="decimal" operator="greaterThanOrEqual">
      <formula1>0</formula1>
    </dataValidation>
    <dataValidation sqref="D20" showDropDown="0" showInputMessage="1" showErrorMessage="1" allowBlank="1" errorTitle="Valor no válido" error="Elegí un valor de la lista desplegable." promptTitle="¿A qué corresponde?" prompt="«Por unidad»: costo de cada unidad. «Lote completo»: costo total que se reparte entre las unidades." type="list" errorStyle="stop">
      <formula1>"Por unidad,Lote completo"</formula1>
    </dataValidation>
    <dataValidation sqref="C21" showDropDown="0" showInputMessage="1" showErrorMessage="1" allowBlank="1" errorTitle="Dato no válido" error="Ingresá un número válido. No se aceptan valores negativos ni texto." promptTitle="Otros costos variables" prompt="Monto en la moneda elegida. Indicá si es por unidad o del lote completo." type="decimal" operator="greaterThanOrEqual">
      <formula1>0</formula1>
    </dataValidation>
    <dataValidation sqref="D21" showDropDown="0" showInputMessage="1" showErrorMessage="1" allowBlank="1" errorTitle="Valor no válido" error="Elegí un valor de la lista desplegable." promptTitle="¿A qué corresponde?" prompt="«Por unidad»: costo de cada unidad. «Lote completo»: costo total que se reparte entre las unidades." type="list" errorStyle="stop">
      <formula1>"Por unidad,Lote completo"</formula1>
    </dataValidation>
    <dataValidation sqref="C22" showDropDown="0" showInputMessage="1" showErrorMessage="1" allowBlank="1" errorTitle="Dato no válido" error="Ingresá un número válido. No se aceptan valores negativos ni texto." promptTitle="Otros costos asignables" prompt="Monto en la moneda elegida. Indicá si es por unidad o del lote completo." type="decimal" operator="greaterThanOrEqual">
      <formula1>0</formula1>
    </dataValidation>
    <dataValidation sqref="D22" showDropDown="0" showInputMessage="1" showErrorMessage="1" allowBlank="1" errorTitle="Valor no válido" error="Elegí un valor de la lista desplegable." promptTitle="¿A qué corresponde?" prompt="«Por unidad»: costo de cada unidad. «Lote completo»: costo total que se reparte entre las unidades." type="list" errorStyle="stop">
      <formula1>"Por unidad,Lote completo"</formula1>
    </dataValidation>
    <dataValidation sqref="C23" showDropDown="0" showInputMessage="1" showErrorMessage="1" allowBlank="1" errorTitle="Valor no válido" error="Elegí un valor de la lista desplegable." promptTitle="¿Incluir costos fijos?" prompt="Elegí «Sí» para sumar la parte de tus costos fijos que cargaste en la hoja COSTOS Y GASTOS." type="list" errorStyle="stop">
      <formula1>"Sí,No"</formula1>
    </dataValidation>
    <dataValidation sqref="C29" showDropDown="0" showInputMessage="1" showErrorMessage="1" allowBlank="1" errorTitle="Dato no válido" error="El porcentaje debe estar entre 0 % y 95 %." promptTitle="Porcentaje" prompt="Escribí un porcentaje entre 0 % y 95 %. Ej.: 30 %" type="decimal" operator="between">
      <formula1>0</formula1>
      <formula2>0.95</formula2>
    </dataValidation>
    <dataValidation sqref="C30" showDropDown="0" showInputMessage="1" showErrorMessage="1" allowBlank="1" errorTitle="Dato no válido" error="El porcentaje debe estar entre 0 % y 95 %." promptTitle="Porcentaje" prompt="Escribí un porcentaje entre 0 % y 95 %. Ej.: 30 %" type="decimal" operator="between">
      <formula1>0</formula1>
      <formula2>0.95</formula2>
    </dataValidation>
    <dataValidation sqref="C31" showDropDown="0" showInputMessage="1" showErrorMessage="1" allowBlank="1" errorTitle="Dato no válido" error="El porcentaje debe estar entre 0 % y 95 %." promptTitle="Porcentaje" prompt="Escribí un porcentaje entre 0 % y 95 %. Ej.: 30 %" type="decimal" operator="between">
      <formula1>0</formula1>
      <formula2>0.95</formula2>
    </dataValidation>
    <dataValidation sqref="C32" showDropDown="0" showInputMessage="1" showErrorMessage="1" allowBlank="1" errorTitle="Dato no válido" error="El porcentaje debe estar entre 0 % y 95 %." promptTitle="Porcentaje" prompt="Escribí un porcentaje entre 0 % y 95 %. Ej.: 30 %" type="decimal" operator="between">
      <formula1>0</formula1>
      <formula2>0.95</formula2>
    </dataValidation>
    <dataValidation sqref="C33" showDropDown="0" showInputMessage="1" showErrorMessage="1" allowBlank="1" errorTitle="Dato no válido" error="Ingresá un número válido. No se aceptan valores negativos ni texto." promptTitle="Ingresá un número" prompt="Solo números mayores o iguales a 0." type="decimal" operator="greaterThanOrEqual">
      <formula1>0</formula1>
    </dataValidation>
    <dataValidation sqref="C34" showDropDown="0" showInputMessage="1" showErrorMessage="1" allowBlank="1" errorTitle="Dato no válido" error="Ingresá un número válido. No se aceptan valores negativos ni texto." promptTitle="Ingresá un número" prompt="Solo números mayores o iguales a 0." type="decimal" operator="greaterThanOrEqual">
      <formula1>0</formula1>
    </dataValidation>
    <dataValidation sqref="C35" showDropDown="0" showInputMessage="1" showErrorMessage="1" allowBlank="1" errorTitle="Dato no válido" error="Ingresá un número válido. No se aceptan valores negativos ni texto." promptTitle="Ingresá un número" prompt="Solo números mayores o iguales a 0." type="decimal" operator="greaterThanOrEqual">
      <formula1>0</formula1>
    </dataValidation>
  </dataValidations>
  <hyperlinks>
    <hyperlink ref="B4" location="'INICIO'!A1" display="← INICIO"/>
    <hyperlink xmlns:r="http://schemas.openxmlformats.org/officeDocument/2006/relationships" ref="B40" r:id="rId1"/>
  </hyperlinks>
  <printOptions horizontalCentered="1"/>
  <pageMargins left="0.75" right="0.75" top="1" bottom="1" header="0.5" footer="0.5"/>
  <pageSetup orientation="landscape" paperSize="9" fitToHeight="1" fitToWidth="1"/>
  <headerFooter>
    <oddHeader>&amp;C&amp;"Arial,Bold"&amp;14 &amp;K0B2A7AMIX SHOP DIGITAL</oddHeader>
    <oddFooter>&amp;L&amp;8 MIX SHOP DIGITAL — Herramientas inteligentes que simplifican tu vida.&amp;C&amp;8 Versión gratuita · mixshopdigital.com.py&amp;R&amp;8 Pág. &amp;P de &amp;N</oddFooter>
    <evenHeader/>
    <evenFooter/>
    <firstHeader/>
    <firstFooter/>
  </headerFooter>
  <drawing xmlns:r="http://schemas.openxmlformats.org/officeDocument/2006/relationships" r:id="rId2"/>
</worksheet>
</file>

<file path=xl/worksheets/sheet4.xml><?xml version="1.0" encoding="utf-8"?>
<worksheet xmlns="http://schemas.openxmlformats.org/spreadsheetml/2006/main">
  <sheetPr>
    <tabColor rgb="000A52C4"/>
    <outlinePr summaryBelow="1" summaryRight="1"/>
    <pageSetUpPr fitToPage="1"/>
  </sheetPr>
  <dimension ref="B1:X210"/>
  <sheetViews>
    <sheetView showGridLines="0" workbookViewId="0">
      <pane xSplit="3" ySplit="6" topLeftCell="D7" activePane="bottomRight" state="frozen"/>
      <selection pane="topRight"/>
      <selection pane="bottomLeft"/>
      <selection pane="bottomRight" activeCell="A1" sqref="A1"/>
    </sheetView>
  </sheetViews>
  <sheetFormatPr baseColWidth="8" defaultRowHeight="15"/>
  <cols>
    <col width="2" customWidth="1" min="1" max="1"/>
    <col width="13" customWidth="1" min="2" max="2"/>
    <col width="34" customWidth="1" min="3" max="3"/>
    <col width="24" customWidth="1" min="4" max="4"/>
    <col width="15" customWidth="1" min="5" max="5"/>
    <col width="15" customWidth="1" min="6" max="6"/>
    <col width="16" customWidth="1" min="7" max="7"/>
    <col width="16" customWidth="1" min="8" max="8"/>
    <col width="12" customWidth="1" min="9" max="9"/>
    <col width="11" customWidth="1" min="10" max="10"/>
    <col width="16" customWidth="1" min="11" max="11"/>
    <col width="16" customWidth="1" min="12" max="12"/>
    <col width="28" customWidth="1" min="13" max="13"/>
    <col width="11" customWidth="1" min="14" max="14"/>
    <col hidden="1" width="13" customWidth="1" min="23" max="23"/>
    <col hidden="1" width="13" customWidth="1" min="24" max="24"/>
  </cols>
  <sheetData>
    <row r="1" ht="38" customHeight="1">
      <c r="B1" s="1" t="n"/>
      <c r="C1" s="2" t="n"/>
      <c r="D1" s="2" t="n"/>
      <c r="E1" s="3" t="inlineStr">
        <is>
          <t>COMPARADOR DE PRODUCTOS</t>
        </is>
      </c>
      <c r="F1" s="2" t="n"/>
      <c r="G1" s="2" t="n"/>
      <c r="H1" s="2" t="n"/>
      <c r="I1" s="2" t="n"/>
      <c r="J1" s="2" t="n"/>
      <c r="K1" s="2" t="n"/>
      <c r="L1" s="2" t="n"/>
      <c r="M1" s="2" t="n"/>
      <c r="N1" s="2" t="n"/>
    </row>
    <row r="2" ht="18" customHeight="1">
      <c r="B2" s="4" t="inlineStr">
        <is>
          <t>Herramientas inteligentes que simplifican tu vida.</t>
        </is>
      </c>
      <c r="E2" s="5" t="inlineStr">
        <is>
          <t>Hasta 200 productos · rentabilidad automática</t>
        </is>
      </c>
    </row>
    <row r="3" ht="5" customHeight="1">
      <c r="B3" s="6" t="n"/>
      <c r="C3" s="7" t="n"/>
      <c r="D3" s="7" t="n"/>
      <c r="E3" s="8" t="n"/>
      <c r="F3" s="8" t="n"/>
      <c r="G3" s="8" t="n"/>
      <c r="H3" s="9" t="n"/>
      <c r="I3" s="9" t="n"/>
      <c r="J3" s="10" t="n"/>
      <c r="K3" s="10" t="n"/>
      <c r="L3" s="10" t="n"/>
      <c r="M3" s="11" t="n"/>
      <c r="N3" s="11" t="n"/>
    </row>
    <row r="4" ht="20" customHeight="1">
      <c r="B4" s="37" t="inlineStr">
        <is>
          <t>← INICIO</t>
        </is>
      </c>
      <c r="C4" s="12" t="inlineStr">
        <is>
          <t>Completá solamente las celdas resaltadas. En «Costo unitario» poné el costo TOTAL por unidad (compra + envío + empaque + otros).</t>
        </is>
      </c>
    </row>
    <row r="5">
      <c r="B5" s="80">
        <f>"Estado de la tabla: "&amp;SUMPRODUCT((C7:C206&lt;&gt;"")*(E7:E206&gt;0))&amp;" productos cargados · Alertas: "&amp;COUNTIF(L7:L206,"PÉRDIDA")&amp;" con pérdida y "&amp;COUNTIF(L7:L206,"Margen bajo")&amp;" con margen bajo"</f>
        <v/>
      </c>
    </row>
    <row r="6" ht="32" customHeight="1">
      <c r="B6" s="81" t="inlineStr">
        <is>
          <t>Código</t>
        </is>
      </c>
      <c r="C6" s="81" t="inlineStr">
        <is>
          <t>Producto</t>
        </is>
      </c>
      <c r="D6" s="81" t="inlineStr">
        <is>
          <t>Categoría</t>
        </is>
      </c>
      <c r="E6" s="81" t="inlineStr">
        <is>
          <t>Costo unitario</t>
        </is>
      </c>
      <c r="F6" s="81" t="inlineStr">
        <is>
          <t>Precio actual</t>
        </is>
      </c>
      <c r="G6" s="82" t="inlineStr">
        <is>
          <t>Precio recomendado</t>
        </is>
      </c>
      <c r="H6" s="82" t="inlineStr">
        <is>
          <t>Ganancia por unidad</t>
        </is>
      </c>
      <c r="I6" s="82" t="inlineStr">
        <is>
          <t>Margen %</t>
        </is>
      </c>
      <c r="J6" s="81" t="inlineStr">
        <is>
          <t>Stock disponible</t>
        </is>
      </c>
      <c r="K6" s="82" t="inlineStr">
        <is>
          <t>Valor del stock (a costo)</t>
        </is>
      </c>
      <c r="L6" s="82" t="inlineStr">
        <is>
          <t>Estado de rentabilidad</t>
        </is>
      </c>
      <c r="M6" s="81" t="inlineStr">
        <is>
          <t>Observaciones</t>
        </is>
      </c>
      <c r="N6" s="82" t="inlineStr">
        <is>
          <t>Ranking</t>
        </is>
      </c>
    </row>
    <row r="7">
      <c r="B7" s="83" t="n"/>
      <c r="C7" s="83" t="n"/>
      <c r="D7" s="83" t="n"/>
      <c r="E7" s="84" t="n"/>
      <c r="F7" s="84" t="n"/>
      <c r="G7" s="85">
        <f>IF(OR(C7="",E7&lt;=0,DivMargen&lt;=0),0,IF(Redondeo&gt;0,CEILING(E7/DivMargen,Redondeo),E7/DivMargen))</f>
        <v/>
      </c>
      <c r="H7" s="85">
        <f>IF(OR(C7="",E7&lt;=0,F7&lt;=0),0,F7*DivBase-E7)</f>
        <v/>
      </c>
      <c r="I7" s="86">
        <f>IF(OR(C7="",E7&lt;=0,F7&lt;=0),0,H7/F7)</f>
        <v/>
      </c>
      <c r="J7" s="84" t="n"/>
      <c r="K7" s="85">
        <f>IF(OR(C7="",E7&lt;=0),0,E7*J7)</f>
        <v/>
      </c>
      <c r="L7" s="74">
        <f>IF(OR(C7="",E7&lt;=0),"",IF(F7&lt;=0,"Sin precio",IF(H7&lt;0,"PÉRDIDA",IF(I7&lt;MargenMin,"Margen bajo",IF(I7&lt;MargenObjReal,"Aceptable","Rentable")))))</f>
        <v/>
      </c>
      <c r="M7" s="83" t="n"/>
      <c r="N7" s="87">
        <f>IF(ISNUMBER(W7),RANK(W7,$W$7:$W$206),"")</f>
        <v/>
      </c>
      <c r="W7" s="88">
        <f>IF(AND(C7&lt;&gt;"",E7&gt;0,F7&gt;0),H7+ROW()/1000000000,"")</f>
        <v/>
      </c>
      <c r="X7" s="88">
        <f>IF(AND(C7&lt;&gt;"",E7&gt;0,F7&gt;0,OR(CatSel="Todas",D7=CatSel)),H7+ROW()/1000000000,"")</f>
        <v/>
      </c>
    </row>
    <row r="8">
      <c r="B8" s="83" t="n"/>
      <c r="C8" s="83" t="n"/>
      <c r="D8" s="83" t="n"/>
      <c r="E8" s="84" t="n"/>
      <c r="F8" s="84" t="n"/>
      <c r="G8" s="85">
        <f>IF(OR(C8="",E8&lt;=0,DivMargen&lt;=0),0,IF(Redondeo&gt;0,CEILING(E8/DivMargen,Redondeo),E8/DivMargen))</f>
        <v/>
      </c>
      <c r="H8" s="85">
        <f>IF(OR(C8="",E8&lt;=0,F8&lt;=0),0,F8*DivBase-E8)</f>
        <v/>
      </c>
      <c r="I8" s="86">
        <f>IF(OR(C8="",E8&lt;=0,F8&lt;=0),0,H8/F8)</f>
        <v/>
      </c>
      <c r="J8" s="84" t="n"/>
      <c r="K8" s="85">
        <f>IF(OR(C8="",E8&lt;=0),0,E8*J8)</f>
        <v/>
      </c>
      <c r="L8" s="74">
        <f>IF(OR(C8="",E8&lt;=0),"",IF(F8&lt;=0,"Sin precio",IF(H8&lt;0,"PÉRDIDA",IF(I8&lt;MargenMin,"Margen bajo",IF(I8&lt;MargenObjReal,"Aceptable","Rentable")))))</f>
        <v/>
      </c>
      <c r="M8" s="83" t="n"/>
      <c r="N8" s="87">
        <f>IF(ISNUMBER(W8),RANK(W8,$W$7:$W$206),"")</f>
        <v/>
      </c>
      <c r="W8" s="88">
        <f>IF(AND(C8&lt;&gt;"",E8&gt;0,F8&gt;0),H8+ROW()/1000000000,"")</f>
        <v/>
      </c>
      <c r="X8" s="88">
        <f>IF(AND(C8&lt;&gt;"",E8&gt;0,F8&gt;0,OR(CatSel="Todas",D8=CatSel)),H8+ROW()/1000000000,"")</f>
        <v/>
      </c>
    </row>
    <row r="9">
      <c r="B9" s="83" t="n"/>
      <c r="C9" s="83" t="n"/>
      <c r="D9" s="83" t="n"/>
      <c r="E9" s="84" t="n"/>
      <c r="F9" s="84" t="n"/>
      <c r="G9" s="85">
        <f>IF(OR(C9="",E9&lt;=0,DivMargen&lt;=0),0,IF(Redondeo&gt;0,CEILING(E9/DivMargen,Redondeo),E9/DivMargen))</f>
        <v/>
      </c>
      <c r="H9" s="85">
        <f>IF(OR(C9="",E9&lt;=0,F9&lt;=0),0,F9*DivBase-E9)</f>
        <v/>
      </c>
      <c r="I9" s="86">
        <f>IF(OR(C9="",E9&lt;=0,F9&lt;=0),0,H9/F9)</f>
        <v/>
      </c>
      <c r="J9" s="84" t="n"/>
      <c r="K9" s="85">
        <f>IF(OR(C9="",E9&lt;=0),0,E9*J9)</f>
        <v/>
      </c>
      <c r="L9" s="74">
        <f>IF(OR(C9="",E9&lt;=0),"",IF(F9&lt;=0,"Sin precio",IF(H9&lt;0,"PÉRDIDA",IF(I9&lt;MargenMin,"Margen bajo",IF(I9&lt;MargenObjReal,"Aceptable","Rentable")))))</f>
        <v/>
      </c>
      <c r="M9" s="83" t="n"/>
      <c r="N9" s="87">
        <f>IF(ISNUMBER(W9),RANK(W9,$W$7:$W$206),"")</f>
        <v/>
      </c>
      <c r="W9" s="88">
        <f>IF(AND(C9&lt;&gt;"",E9&gt;0,F9&gt;0),H9+ROW()/1000000000,"")</f>
        <v/>
      </c>
      <c r="X9" s="88">
        <f>IF(AND(C9&lt;&gt;"",E9&gt;0,F9&gt;0,OR(CatSel="Todas",D9=CatSel)),H9+ROW()/1000000000,"")</f>
        <v/>
      </c>
    </row>
    <row r="10">
      <c r="B10" s="83" t="n"/>
      <c r="C10" s="83" t="n"/>
      <c r="D10" s="83" t="n"/>
      <c r="E10" s="84" t="n"/>
      <c r="F10" s="84" t="n"/>
      <c r="G10" s="85">
        <f>IF(OR(C10="",E10&lt;=0,DivMargen&lt;=0),0,IF(Redondeo&gt;0,CEILING(E10/DivMargen,Redondeo),E10/DivMargen))</f>
        <v/>
      </c>
      <c r="H10" s="85">
        <f>IF(OR(C10="",E10&lt;=0,F10&lt;=0),0,F10*DivBase-E10)</f>
        <v/>
      </c>
      <c r="I10" s="86">
        <f>IF(OR(C10="",E10&lt;=0,F10&lt;=0),0,H10/F10)</f>
        <v/>
      </c>
      <c r="J10" s="84" t="n"/>
      <c r="K10" s="85">
        <f>IF(OR(C10="",E10&lt;=0),0,E10*J10)</f>
        <v/>
      </c>
      <c r="L10" s="74">
        <f>IF(OR(C10="",E10&lt;=0),"",IF(F10&lt;=0,"Sin precio",IF(H10&lt;0,"PÉRDIDA",IF(I10&lt;MargenMin,"Margen bajo",IF(I10&lt;MargenObjReal,"Aceptable","Rentable")))))</f>
        <v/>
      </c>
      <c r="M10" s="83" t="n"/>
      <c r="N10" s="87">
        <f>IF(ISNUMBER(W10),RANK(W10,$W$7:$W$206),"")</f>
        <v/>
      </c>
      <c r="W10" s="88">
        <f>IF(AND(C10&lt;&gt;"",E10&gt;0,F10&gt;0),H10+ROW()/1000000000,"")</f>
        <v/>
      </c>
      <c r="X10" s="88">
        <f>IF(AND(C10&lt;&gt;"",E10&gt;0,F10&gt;0,OR(CatSel="Todas",D10=CatSel)),H10+ROW()/1000000000,"")</f>
        <v/>
      </c>
    </row>
    <row r="11">
      <c r="B11" s="83" t="n"/>
      <c r="C11" s="83" t="n"/>
      <c r="D11" s="83" t="n"/>
      <c r="E11" s="84" t="n"/>
      <c r="F11" s="84" t="n"/>
      <c r="G11" s="85">
        <f>IF(OR(C11="",E11&lt;=0,DivMargen&lt;=0),0,IF(Redondeo&gt;0,CEILING(E11/DivMargen,Redondeo),E11/DivMargen))</f>
        <v/>
      </c>
      <c r="H11" s="85">
        <f>IF(OR(C11="",E11&lt;=0,F11&lt;=0),0,F11*DivBase-E11)</f>
        <v/>
      </c>
      <c r="I11" s="86">
        <f>IF(OR(C11="",E11&lt;=0,F11&lt;=0),0,H11/F11)</f>
        <v/>
      </c>
      <c r="J11" s="84" t="n"/>
      <c r="K11" s="85">
        <f>IF(OR(C11="",E11&lt;=0),0,E11*J11)</f>
        <v/>
      </c>
      <c r="L11" s="74">
        <f>IF(OR(C11="",E11&lt;=0),"",IF(F11&lt;=0,"Sin precio",IF(H11&lt;0,"PÉRDIDA",IF(I11&lt;MargenMin,"Margen bajo",IF(I11&lt;MargenObjReal,"Aceptable","Rentable")))))</f>
        <v/>
      </c>
      <c r="M11" s="83" t="n"/>
      <c r="N11" s="87">
        <f>IF(ISNUMBER(W11),RANK(W11,$W$7:$W$206),"")</f>
        <v/>
      </c>
      <c r="W11" s="88">
        <f>IF(AND(C11&lt;&gt;"",E11&gt;0,F11&gt;0),H11+ROW()/1000000000,"")</f>
        <v/>
      </c>
      <c r="X11" s="88">
        <f>IF(AND(C11&lt;&gt;"",E11&gt;0,F11&gt;0,OR(CatSel="Todas",D11=CatSel)),H11+ROW()/1000000000,"")</f>
        <v/>
      </c>
    </row>
    <row r="12">
      <c r="B12" s="83" t="n"/>
      <c r="C12" s="83" t="n"/>
      <c r="D12" s="83" t="n"/>
      <c r="E12" s="84" t="n"/>
      <c r="F12" s="84" t="n"/>
      <c r="G12" s="85">
        <f>IF(OR(C12="",E12&lt;=0,DivMargen&lt;=0),0,IF(Redondeo&gt;0,CEILING(E12/DivMargen,Redondeo),E12/DivMargen))</f>
        <v/>
      </c>
      <c r="H12" s="85">
        <f>IF(OR(C12="",E12&lt;=0,F12&lt;=0),0,F12*DivBase-E12)</f>
        <v/>
      </c>
      <c r="I12" s="86">
        <f>IF(OR(C12="",E12&lt;=0,F12&lt;=0),0,H12/F12)</f>
        <v/>
      </c>
      <c r="J12" s="84" t="n"/>
      <c r="K12" s="85">
        <f>IF(OR(C12="",E12&lt;=0),0,E12*J12)</f>
        <v/>
      </c>
      <c r="L12" s="74">
        <f>IF(OR(C12="",E12&lt;=0),"",IF(F12&lt;=0,"Sin precio",IF(H12&lt;0,"PÉRDIDA",IF(I12&lt;MargenMin,"Margen bajo",IF(I12&lt;MargenObjReal,"Aceptable","Rentable")))))</f>
        <v/>
      </c>
      <c r="M12" s="83" t="n"/>
      <c r="N12" s="87">
        <f>IF(ISNUMBER(W12),RANK(W12,$W$7:$W$206),"")</f>
        <v/>
      </c>
      <c r="W12" s="88">
        <f>IF(AND(C12&lt;&gt;"",E12&gt;0,F12&gt;0),H12+ROW()/1000000000,"")</f>
        <v/>
      </c>
      <c r="X12" s="88">
        <f>IF(AND(C12&lt;&gt;"",E12&gt;0,F12&gt;0,OR(CatSel="Todas",D12=CatSel)),H12+ROW()/1000000000,"")</f>
        <v/>
      </c>
    </row>
    <row r="13">
      <c r="B13" s="83" t="n"/>
      <c r="C13" s="83" t="n"/>
      <c r="D13" s="83" t="n"/>
      <c r="E13" s="84" t="n"/>
      <c r="F13" s="84" t="n"/>
      <c r="G13" s="85">
        <f>IF(OR(C13="",E13&lt;=0,DivMargen&lt;=0),0,IF(Redondeo&gt;0,CEILING(E13/DivMargen,Redondeo),E13/DivMargen))</f>
        <v/>
      </c>
      <c r="H13" s="85">
        <f>IF(OR(C13="",E13&lt;=0,F13&lt;=0),0,F13*DivBase-E13)</f>
        <v/>
      </c>
      <c r="I13" s="86">
        <f>IF(OR(C13="",E13&lt;=0,F13&lt;=0),0,H13/F13)</f>
        <v/>
      </c>
      <c r="J13" s="84" t="n"/>
      <c r="K13" s="85">
        <f>IF(OR(C13="",E13&lt;=0),0,E13*J13)</f>
        <v/>
      </c>
      <c r="L13" s="74">
        <f>IF(OR(C13="",E13&lt;=0),"",IF(F13&lt;=0,"Sin precio",IF(H13&lt;0,"PÉRDIDA",IF(I13&lt;MargenMin,"Margen bajo",IF(I13&lt;MargenObjReal,"Aceptable","Rentable")))))</f>
        <v/>
      </c>
      <c r="M13" s="83" t="n"/>
      <c r="N13" s="87">
        <f>IF(ISNUMBER(W13),RANK(W13,$W$7:$W$206),"")</f>
        <v/>
      </c>
      <c r="W13" s="88">
        <f>IF(AND(C13&lt;&gt;"",E13&gt;0,F13&gt;0),H13+ROW()/1000000000,"")</f>
        <v/>
      </c>
      <c r="X13" s="88">
        <f>IF(AND(C13&lt;&gt;"",E13&gt;0,F13&gt;0,OR(CatSel="Todas",D13=CatSel)),H13+ROW()/1000000000,"")</f>
        <v/>
      </c>
    </row>
    <row r="14">
      <c r="B14" s="83" t="n"/>
      <c r="C14" s="83" t="n"/>
      <c r="D14" s="83" t="n"/>
      <c r="E14" s="84" t="n"/>
      <c r="F14" s="84" t="n"/>
      <c r="G14" s="85">
        <f>IF(OR(C14="",E14&lt;=0,DivMargen&lt;=0),0,IF(Redondeo&gt;0,CEILING(E14/DivMargen,Redondeo),E14/DivMargen))</f>
        <v/>
      </c>
      <c r="H14" s="85">
        <f>IF(OR(C14="",E14&lt;=0,F14&lt;=0),0,F14*DivBase-E14)</f>
        <v/>
      </c>
      <c r="I14" s="86">
        <f>IF(OR(C14="",E14&lt;=0,F14&lt;=0),0,H14/F14)</f>
        <v/>
      </c>
      <c r="J14" s="84" t="n"/>
      <c r="K14" s="85">
        <f>IF(OR(C14="",E14&lt;=0),0,E14*J14)</f>
        <v/>
      </c>
      <c r="L14" s="74">
        <f>IF(OR(C14="",E14&lt;=0),"",IF(F14&lt;=0,"Sin precio",IF(H14&lt;0,"PÉRDIDA",IF(I14&lt;MargenMin,"Margen bajo",IF(I14&lt;MargenObjReal,"Aceptable","Rentable")))))</f>
        <v/>
      </c>
      <c r="M14" s="83" t="n"/>
      <c r="N14" s="87">
        <f>IF(ISNUMBER(W14),RANK(W14,$W$7:$W$206),"")</f>
        <v/>
      </c>
      <c r="W14" s="88">
        <f>IF(AND(C14&lt;&gt;"",E14&gt;0,F14&gt;0),H14+ROW()/1000000000,"")</f>
        <v/>
      </c>
      <c r="X14" s="88">
        <f>IF(AND(C14&lt;&gt;"",E14&gt;0,F14&gt;0,OR(CatSel="Todas",D14=CatSel)),H14+ROW()/1000000000,"")</f>
        <v/>
      </c>
    </row>
    <row r="15">
      <c r="B15" s="83" t="n"/>
      <c r="C15" s="83" t="n"/>
      <c r="D15" s="83" t="n"/>
      <c r="E15" s="84" t="n"/>
      <c r="F15" s="84" t="n"/>
      <c r="G15" s="85">
        <f>IF(OR(C15="",E15&lt;=0,DivMargen&lt;=0),0,IF(Redondeo&gt;0,CEILING(E15/DivMargen,Redondeo),E15/DivMargen))</f>
        <v/>
      </c>
      <c r="H15" s="85">
        <f>IF(OR(C15="",E15&lt;=0,F15&lt;=0),0,F15*DivBase-E15)</f>
        <v/>
      </c>
      <c r="I15" s="86">
        <f>IF(OR(C15="",E15&lt;=0,F15&lt;=0),0,H15/F15)</f>
        <v/>
      </c>
      <c r="J15" s="84" t="n"/>
      <c r="K15" s="85">
        <f>IF(OR(C15="",E15&lt;=0),0,E15*J15)</f>
        <v/>
      </c>
      <c r="L15" s="74">
        <f>IF(OR(C15="",E15&lt;=0),"",IF(F15&lt;=0,"Sin precio",IF(H15&lt;0,"PÉRDIDA",IF(I15&lt;MargenMin,"Margen bajo",IF(I15&lt;MargenObjReal,"Aceptable","Rentable")))))</f>
        <v/>
      </c>
      <c r="M15" s="83" t="n"/>
      <c r="N15" s="87">
        <f>IF(ISNUMBER(W15),RANK(W15,$W$7:$W$206),"")</f>
        <v/>
      </c>
      <c r="W15" s="88">
        <f>IF(AND(C15&lt;&gt;"",E15&gt;0,F15&gt;0),H15+ROW()/1000000000,"")</f>
        <v/>
      </c>
      <c r="X15" s="88">
        <f>IF(AND(C15&lt;&gt;"",E15&gt;0,F15&gt;0,OR(CatSel="Todas",D15=CatSel)),H15+ROW()/1000000000,"")</f>
        <v/>
      </c>
    </row>
    <row r="16">
      <c r="B16" s="83" t="n"/>
      <c r="C16" s="83" t="n"/>
      <c r="D16" s="83" t="n"/>
      <c r="E16" s="84" t="n"/>
      <c r="F16" s="84" t="n"/>
      <c r="G16" s="85">
        <f>IF(OR(C16="",E16&lt;=0,DivMargen&lt;=0),0,IF(Redondeo&gt;0,CEILING(E16/DivMargen,Redondeo),E16/DivMargen))</f>
        <v/>
      </c>
      <c r="H16" s="85">
        <f>IF(OR(C16="",E16&lt;=0,F16&lt;=0),0,F16*DivBase-E16)</f>
        <v/>
      </c>
      <c r="I16" s="86">
        <f>IF(OR(C16="",E16&lt;=0,F16&lt;=0),0,H16/F16)</f>
        <v/>
      </c>
      <c r="J16" s="84" t="n"/>
      <c r="K16" s="85">
        <f>IF(OR(C16="",E16&lt;=0),0,E16*J16)</f>
        <v/>
      </c>
      <c r="L16" s="74">
        <f>IF(OR(C16="",E16&lt;=0),"",IF(F16&lt;=0,"Sin precio",IF(H16&lt;0,"PÉRDIDA",IF(I16&lt;MargenMin,"Margen bajo",IF(I16&lt;MargenObjReal,"Aceptable","Rentable")))))</f>
        <v/>
      </c>
      <c r="M16" s="83" t="n"/>
      <c r="N16" s="87">
        <f>IF(ISNUMBER(W16),RANK(W16,$W$7:$W$206),"")</f>
        <v/>
      </c>
      <c r="W16" s="88">
        <f>IF(AND(C16&lt;&gt;"",E16&gt;0,F16&gt;0),H16+ROW()/1000000000,"")</f>
        <v/>
      </c>
      <c r="X16" s="88">
        <f>IF(AND(C16&lt;&gt;"",E16&gt;0,F16&gt;0,OR(CatSel="Todas",D16=CatSel)),H16+ROW()/1000000000,"")</f>
        <v/>
      </c>
    </row>
    <row r="17">
      <c r="B17" s="83" t="n"/>
      <c r="C17" s="83" t="n"/>
      <c r="D17" s="83" t="n"/>
      <c r="E17" s="84" t="n"/>
      <c r="F17" s="84" t="n"/>
      <c r="G17" s="85">
        <f>IF(OR(C17="",E17&lt;=0,DivMargen&lt;=0),0,IF(Redondeo&gt;0,CEILING(E17/DivMargen,Redondeo),E17/DivMargen))</f>
        <v/>
      </c>
      <c r="H17" s="85">
        <f>IF(OR(C17="",E17&lt;=0,F17&lt;=0),0,F17*DivBase-E17)</f>
        <v/>
      </c>
      <c r="I17" s="86">
        <f>IF(OR(C17="",E17&lt;=0,F17&lt;=0),0,H17/F17)</f>
        <v/>
      </c>
      <c r="J17" s="84" t="n"/>
      <c r="K17" s="85">
        <f>IF(OR(C17="",E17&lt;=0),0,E17*J17)</f>
        <v/>
      </c>
      <c r="L17" s="74">
        <f>IF(OR(C17="",E17&lt;=0),"",IF(F17&lt;=0,"Sin precio",IF(H17&lt;0,"PÉRDIDA",IF(I17&lt;MargenMin,"Margen bajo",IF(I17&lt;MargenObjReal,"Aceptable","Rentable")))))</f>
        <v/>
      </c>
      <c r="M17" s="83" t="n"/>
      <c r="N17" s="87">
        <f>IF(ISNUMBER(W17),RANK(W17,$W$7:$W$206),"")</f>
        <v/>
      </c>
      <c r="W17" s="88">
        <f>IF(AND(C17&lt;&gt;"",E17&gt;0,F17&gt;0),H17+ROW()/1000000000,"")</f>
        <v/>
      </c>
      <c r="X17" s="88">
        <f>IF(AND(C17&lt;&gt;"",E17&gt;0,F17&gt;0,OR(CatSel="Todas",D17=CatSel)),H17+ROW()/1000000000,"")</f>
        <v/>
      </c>
    </row>
    <row r="18">
      <c r="B18" s="83" t="n"/>
      <c r="C18" s="83" t="n"/>
      <c r="D18" s="83" t="n"/>
      <c r="E18" s="84" t="n"/>
      <c r="F18" s="84" t="n"/>
      <c r="G18" s="85">
        <f>IF(OR(C18="",E18&lt;=0,DivMargen&lt;=0),0,IF(Redondeo&gt;0,CEILING(E18/DivMargen,Redondeo),E18/DivMargen))</f>
        <v/>
      </c>
      <c r="H18" s="85">
        <f>IF(OR(C18="",E18&lt;=0,F18&lt;=0),0,F18*DivBase-E18)</f>
        <v/>
      </c>
      <c r="I18" s="86">
        <f>IF(OR(C18="",E18&lt;=0,F18&lt;=0),0,H18/F18)</f>
        <v/>
      </c>
      <c r="J18" s="84" t="n"/>
      <c r="K18" s="85">
        <f>IF(OR(C18="",E18&lt;=0),0,E18*J18)</f>
        <v/>
      </c>
      <c r="L18" s="74">
        <f>IF(OR(C18="",E18&lt;=0),"",IF(F18&lt;=0,"Sin precio",IF(H18&lt;0,"PÉRDIDA",IF(I18&lt;MargenMin,"Margen bajo",IF(I18&lt;MargenObjReal,"Aceptable","Rentable")))))</f>
        <v/>
      </c>
      <c r="M18" s="83" t="n"/>
      <c r="N18" s="87">
        <f>IF(ISNUMBER(W18),RANK(W18,$W$7:$W$206),"")</f>
        <v/>
      </c>
      <c r="W18" s="88">
        <f>IF(AND(C18&lt;&gt;"",E18&gt;0,F18&gt;0),H18+ROW()/1000000000,"")</f>
        <v/>
      </c>
      <c r="X18" s="88">
        <f>IF(AND(C18&lt;&gt;"",E18&gt;0,F18&gt;0,OR(CatSel="Todas",D18=CatSel)),H18+ROW()/1000000000,"")</f>
        <v/>
      </c>
    </row>
    <row r="19">
      <c r="B19" s="83" t="n"/>
      <c r="C19" s="83" t="n"/>
      <c r="D19" s="83" t="n"/>
      <c r="E19" s="84" t="n"/>
      <c r="F19" s="84" t="n"/>
      <c r="G19" s="85">
        <f>IF(OR(C19="",E19&lt;=0,DivMargen&lt;=0),0,IF(Redondeo&gt;0,CEILING(E19/DivMargen,Redondeo),E19/DivMargen))</f>
        <v/>
      </c>
      <c r="H19" s="85">
        <f>IF(OR(C19="",E19&lt;=0,F19&lt;=0),0,F19*DivBase-E19)</f>
        <v/>
      </c>
      <c r="I19" s="86">
        <f>IF(OR(C19="",E19&lt;=0,F19&lt;=0),0,H19/F19)</f>
        <v/>
      </c>
      <c r="J19" s="84" t="n"/>
      <c r="K19" s="85">
        <f>IF(OR(C19="",E19&lt;=0),0,E19*J19)</f>
        <v/>
      </c>
      <c r="L19" s="74">
        <f>IF(OR(C19="",E19&lt;=0),"",IF(F19&lt;=0,"Sin precio",IF(H19&lt;0,"PÉRDIDA",IF(I19&lt;MargenMin,"Margen bajo",IF(I19&lt;MargenObjReal,"Aceptable","Rentable")))))</f>
        <v/>
      </c>
      <c r="M19" s="83" t="n"/>
      <c r="N19" s="87">
        <f>IF(ISNUMBER(W19),RANK(W19,$W$7:$W$206),"")</f>
        <v/>
      </c>
      <c r="W19" s="88">
        <f>IF(AND(C19&lt;&gt;"",E19&gt;0,F19&gt;0),H19+ROW()/1000000000,"")</f>
        <v/>
      </c>
      <c r="X19" s="88">
        <f>IF(AND(C19&lt;&gt;"",E19&gt;0,F19&gt;0,OR(CatSel="Todas",D19=CatSel)),H19+ROW()/1000000000,"")</f>
        <v/>
      </c>
    </row>
    <row r="20">
      <c r="B20" s="83" t="n"/>
      <c r="C20" s="83" t="n"/>
      <c r="D20" s="83" t="n"/>
      <c r="E20" s="84" t="n"/>
      <c r="F20" s="84" t="n"/>
      <c r="G20" s="85">
        <f>IF(OR(C20="",E20&lt;=0,DivMargen&lt;=0),0,IF(Redondeo&gt;0,CEILING(E20/DivMargen,Redondeo),E20/DivMargen))</f>
        <v/>
      </c>
      <c r="H20" s="85">
        <f>IF(OR(C20="",E20&lt;=0,F20&lt;=0),0,F20*DivBase-E20)</f>
        <v/>
      </c>
      <c r="I20" s="86">
        <f>IF(OR(C20="",E20&lt;=0,F20&lt;=0),0,H20/F20)</f>
        <v/>
      </c>
      <c r="J20" s="84" t="n"/>
      <c r="K20" s="85">
        <f>IF(OR(C20="",E20&lt;=0),0,E20*J20)</f>
        <v/>
      </c>
      <c r="L20" s="74">
        <f>IF(OR(C20="",E20&lt;=0),"",IF(F20&lt;=0,"Sin precio",IF(H20&lt;0,"PÉRDIDA",IF(I20&lt;MargenMin,"Margen bajo",IF(I20&lt;MargenObjReal,"Aceptable","Rentable")))))</f>
        <v/>
      </c>
      <c r="M20" s="83" t="n"/>
      <c r="N20" s="87">
        <f>IF(ISNUMBER(W20),RANK(W20,$W$7:$W$206),"")</f>
        <v/>
      </c>
      <c r="W20" s="88">
        <f>IF(AND(C20&lt;&gt;"",E20&gt;0,F20&gt;0),H20+ROW()/1000000000,"")</f>
        <v/>
      </c>
      <c r="X20" s="88">
        <f>IF(AND(C20&lt;&gt;"",E20&gt;0,F20&gt;0,OR(CatSel="Todas",D20=CatSel)),H20+ROW()/1000000000,"")</f>
        <v/>
      </c>
    </row>
    <row r="21">
      <c r="B21" s="83" t="n"/>
      <c r="C21" s="83" t="n"/>
      <c r="D21" s="83" t="n"/>
      <c r="E21" s="84" t="n"/>
      <c r="F21" s="84" t="n"/>
      <c r="G21" s="85">
        <f>IF(OR(C21="",E21&lt;=0,DivMargen&lt;=0),0,IF(Redondeo&gt;0,CEILING(E21/DivMargen,Redondeo),E21/DivMargen))</f>
        <v/>
      </c>
      <c r="H21" s="85">
        <f>IF(OR(C21="",E21&lt;=0,F21&lt;=0),0,F21*DivBase-E21)</f>
        <v/>
      </c>
      <c r="I21" s="86">
        <f>IF(OR(C21="",E21&lt;=0,F21&lt;=0),0,H21/F21)</f>
        <v/>
      </c>
      <c r="J21" s="84" t="n"/>
      <c r="K21" s="85">
        <f>IF(OR(C21="",E21&lt;=0),0,E21*J21)</f>
        <v/>
      </c>
      <c r="L21" s="74">
        <f>IF(OR(C21="",E21&lt;=0),"",IF(F21&lt;=0,"Sin precio",IF(H21&lt;0,"PÉRDIDA",IF(I21&lt;MargenMin,"Margen bajo",IF(I21&lt;MargenObjReal,"Aceptable","Rentable")))))</f>
        <v/>
      </c>
      <c r="M21" s="83" t="n"/>
      <c r="N21" s="87">
        <f>IF(ISNUMBER(W21),RANK(W21,$W$7:$W$206),"")</f>
        <v/>
      </c>
      <c r="W21" s="88">
        <f>IF(AND(C21&lt;&gt;"",E21&gt;0,F21&gt;0),H21+ROW()/1000000000,"")</f>
        <v/>
      </c>
      <c r="X21" s="88">
        <f>IF(AND(C21&lt;&gt;"",E21&gt;0,F21&gt;0,OR(CatSel="Todas",D21=CatSel)),H21+ROW()/1000000000,"")</f>
        <v/>
      </c>
    </row>
    <row r="22">
      <c r="B22" s="83" t="n"/>
      <c r="C22" s="83" t="n"/>
      <c r="D22" s="83" t="n"/>
      <c r="E22" s="84" t="n"/>
      <c r="F22" s="84" t="n"/>
      <c r="G22" s="85">
        <f>IF(OR(C22="",E22&lt;=0,DivMargen&lt;=0),0,IF(Redondeo&gt;0,CEILING(E22/DivMargen,Redondeo),E22/DivMargen))</f>
        <v/>
      </c>
      <c r="H22" s="85">
        <f>IF(OR(C22="",E22&lt;=0,F22&lt;=0),0,F22*DivBase-E22)</f>
        <v/>
      </c>
      <c r="I22" s="86">
        <f>IF(OR(C22="",E22&lt;=0,F22&lt;=0),0,H22/F22)</f>
        <v/>
      </c>
      <c r="J22" s="84" t="n"/>
      <c r="K22" s="85">
        <f>IF(OR(C22="",E22&lt;=0),0,E22*J22)</f>
        <v/>
      </c>
      <c r="L22" s="74">
        <f>IF(OR(C22="",E22&lt;=0),"",IF(F22&lt;=0,"Sin precio",IF(H22&lt;0,"PÉRDIDA",IF(I22&lt;MargenMin,"Margen bajo",IF(I22&lt;MargenObjReal,"Aceptable","Rentable")))))</f>
        <v/>
      </c>
      <c r="M22" s="83" t="n"/>
      <c r="N22" s="87">
        <f>IF(ISNUMBER(W22),RANK(W22,$W$7:$W$206),"")</f>
        <v/>
      </c>
      <c r="W22" s="88">
        <f>IF(AND(C22&lt;&gt;"",E22&gt;0,F22&gt;0),H22+ROW()/1000000000,"")</f>
        <v/>
      </c>
      <c r="X22" s="88">
        <f>IF(AND(C22&lt;&gt;"",E22&gt;0,F22&gt;0,OR(CatSel="Todas",D22=CatSel)),H22+ROW()/1000000000,"")</f>
        <v/>
      </c>
    </row>
    <row r="23">
      <c r="B23" s="83" t="n"/>
      <c r="C23" s="83" t="n"/>
      <c r="D23" s="83" t="n"/>
      <c r="E23" s="84" t="n"/>
      <c r="F23" s="84" t="n"/>
      <c r="G23" s="85">
        <f>IF(OR(C23="",E23&lt;=0,DivMargen&lt;=0),0,IF(Redondeo&gt;0,CEILING(E23/DivMargen,Redondeo),E23/DivMargen))</f>
        <v/>
      </c>
      <c r="H23" s="85">
        <f>IF(OR(C23="",E23&lt;=0,F23&lt;=0),0,F23*DivBase-E23)</f>
        <v/>
      </c>
      <c r="I23" s="86">
        <f>IF(OR(C23="",E23&lt;=0,F23&lt;=0),0,H23/F23)</f>
        <v/>
      </c>
      <c r="J23" s="84" t="n"/>
      <c r="K23" s="85">
        <f>IF(OR(C23="",E23&lt;=0),0,E23*J23)</f>
        <v/>
      </c>
      <c r="L23" s="74">
        <f>IF(OR(C23="",E23&lt;=0),"",IF(F23&lt;=0,"Sin precio",IF(H23&lt;0,"PÉRDIDA",IF(I23&lt;MargenMin,"Margen bajo",IF(I23&lt;MargenObjReal,"Aceptable","Rentable")))))</f>
        <v/>
      </c>
      <c r="M23" s="83" t="n"/>
      <c r="N23" s="87">
        <f>IF(ISNUMBER(W23),RANK(W23,$W$7:$W$206),"")</f>
        <v/>
      </c>
      <c r="W23" s="88">
        <f>IF(AND(C23&lt;&gt;"",E23&gt;0,F23&gt;0),H23+ROW()/1000000000,"")</f>
        <v/>
      </c>
      <c r="X23" s="88">
        <f>IF(AND(C23&lt;&gt;"",E23&gt;0,F23&gt;0,OR(CatSel="Todas",D23=CatSel)),H23+ROW()/1000000000,"")</f>
        <v/>
      </c>
    </row>
    <row r="24">
      <c r="B24" s="83" t="n"/>
      <c r="C24" s="83" t="n"/>
      <c r="D24" s="83" t="n"/>
      <c r="E24" s="84" t="n"/>
      <c r="F24" s="84" t="n"/>
      <c r="G24" s="85">
        <f>IF(OR(C24="",E24&lt;=0,DivMargen&lt;=0),0,IF(Redondeo&gt;0,CEILING(E24/DivMargen,Redondeo),E24/DivMargen))</f>
        <v/>
      </c>
      <c r="H24" s="85">
        <f>IF(OR(C24="",E24&lt;=0,F24&lt;=0),0,F24*DivBase-E24)</f>
        <v/>
      </c>
      <c r="I24" s="86">
        <f>IF(OR(C24="",E24&lt;=0,F24&lt;=0),0,H24/F24)</f>
        <v/>
      </c>
      <c r="J24" s="84" t="n"/>
      <c r="K24" s="85">
        <f>IF(OR(C24="",E24&lt;=0),0,E24*J24)</f>
        <v/>
      </c>
      <c r="L24" s="74">
        <f>IF(OR(C24="",E24&lt;=0),"",IF(F24&lt;=0,"Sin precio",IF(H24&lt;0,"PÉRDIDA",IF(I24&lt;MargenMin,"Margen bajo",IF(I24&lt;MargenObjReal,"Aceptable","Rentable")))))</f>
        <v/>
      </c>
      <c r="M24" s="83" t="n"/>
      <c r="N24" s="87">
        <f>IF(ISNUMBER(W24),RANK(W24,$W$7:$W$206),"")</f>
        <v/>
      </c>
      <c r="W24" s="88">
        <f>IF(AND(C24&lt;&gt;"",E24&gt;0,F24&gt;0),H24+ROW()/1000000000,"")</f>
        <v/>
      </c>
      <c r="X24" s="88">
        <f>IF(AND(C24&lt;&gt;"",E24&gt;0,F24&gt;0,OR(CatSel="Todas",D24=CatSel)),H24+ROW()/1000000000,"")</f>
        <v/>
      </c>
    </row>
    <row r="25">
      <c r="B25" s="83" t="n"/>
      <c r="C25" s="83" t="n"/>
      <c r="D25" s="83" t="n"/>
      <c r="E25" s="84" t="n"/>
      <c r="F25" s="84" t="n"/>
      <c r="G25" s="85">
        <f>IF(OR(C25="",E25&lt;=0,DivMargen&lt;=0),0,IF(Redondeo&gt;0,CEILING(E25/DivMargen,Redondeo),E25/DivMargen))</f>
        <v/>
      </c>
      <c r="H25" s="85">
        <f>IF(OR(C25="",E25&lt;=0,F25&lt;=0),0,F25*DivBase-E25)</f>
        <v/>
      </c>
      <c r="I25" s="86">
        <f>IF(OR(C25="",E25&lt;=0,F25&lt;=0),0,H25/F25)</f>
        <v/>
      </c>
      <c r="J25" s="84" t="n"/>
      <c r="K25" s="85">
        <f>IF(OR(C25="",E25&lt;=0),0,E25*J25)</f>
        <v/>
      </c>
      <c r="L25" s="74">
        <f>IF(OR(C25="",E25&lt;=0),"",IF(F25&lt;=0,"Sin precio",IF(H25&lt;0,"PÉRDIDA",IF(I25&lt;MargenMin,"Margen bajo",IF(I25&lt;MargenObjReal,"Aceptable","Rentable")))))</f>
        <v/>
      </c>
      <c r="M25" s="83" t="n"/>
      <c r="N25" s="87">
        <f>IF(ISNUMBER(W25),RANK(W25,$W$7:$W$206),"")</f>
        <v/>
      </c>
      <c r="W25" s="88">
        <f>IF(AND(C25&lt;&gt;"",E25&gt;0,F25&gt;0),H25+ROW()/1000000000,"")</f>
        <v/>
      </c>
      <c r="X25" s="88">
        <f>IF(AND(C25&lt;&gt;"",E25&gt;0,F25&gt;0,OR(CatSel="Todas",D25=CatSel)),H25+ROW()/1000000000,"")</f>
        <v/>
      </c>
    </row>
    <row r="26">
      <c r="B26" s="83" t="n"/>
      <c r="C26" s="83" t="n"/>
      <c r="D26" s="83" t="n"/>
      <c r="E26" s="84" t="n"/>
      <c r="F26" s="84" t="n"/>
      <c r="G26" s="85">
        <f>IF(OR(C26="",E26&lt;=0,DivMargen&lt;=0),0,IF(Redondeo&gt;0,CEILING(E26/DivMargen,Redondeo),E26/DivMargen))</f>
        <v/>
      </c>
      <c r="H26" s="85">
        <f>IF(OR(C26="",E26&lt;=0,F26&lt;=0),0,F26*DivBase-E26)</f>
        <v/>
      </c>
      <c r="I26" s="86">
        <f>IF(OR(C26="",E26&lt;=0,F26&lt;=0),0,H26/F26)</f>
        <v/>
      </c>
      <c r="J26" s="84" t="n"/>
      <c r="K26" s="85">
        <f>IF(OR(C26="",E26&lt;=0),0,E26*J26)</f>
        <v/>
      </c>
      <c r="L26" s="74">
        <f>IF(OR(C26="",E26&lt;=0),"",IF(F26&lt;=0,"Sin precio",IF(H26&lt;0,"PÉRDIDA",IF(I26&lt;MargenMin,"Margen bajo",IF(I26&lt;MargenObjReal,"Aceptable","Rentable")))))</f>
        <v/>
      </c>
      <c r="M26" s="83" t="n"/>
      <c r="N26" s="87">
        <f>IF(ISNUMBER(W26),RANK(W26,$W$7:$W$206),"")</f>
        <v/>
      </c>
      <c r="W26" s="88">
        <f>IF(AND(C26&lt;&gt;"",E26&gt;0,F26&gt;0),H26+ROW()/1000000000,"")</f>
        <v/>
      </c>
      <c r="X26" s="88">
        <f>IF(AND(C26&lt;&gt;"",E26&gt;0,F26&gt;0,OR(CatSel="Todas",D26=CatSel)),H26+ROW()/1000000000,"")</f>
        <v/>
      </c>
    </row>
    <row r="27">
      <c r="B27" s="83" t="n"/>
      <c r="C27" s="83" t="n"/>
      <c r="D27" s="83" t="n"/>
      <c r="E27" s="84" t="n"/>
      <c r="F27" s="84" t="n"/>
      <c r="G27" s="85">
        <f>IF(OR(C27="",E27&lt;=0,DivMargen&lt;=0),0,IF(Redondeo&gt;0,CEILING(E27/DivMargen,Redondeo),E27/DivMargen))</f>
        <v/>
      </c>
      <c r="H27" s="85">
        <f>IF(OR(C27="",E27&lt;=0,F27&lt;=0),0,F27*DivBase-E27)</f>
        <v/>
      </c>
      <c r="I27" s="86">
        <f>IF(OR(C27="",E27&lt;=0,F27&lt;=0),0,H27/F27)</f>
        <v/>
      </c>
      <c r="J27" s="84" t="n"/>
      <c r="K27" s="85">
        <f>IF(OR(C27="",E27&lt;=0),0,E27*J27)</f>
        <v/>
      </c>
      <c r="L27" s="74">
        <f>IF(OR(C27="",E27&lt;=0),"",IF(F27&lt;=0,"Sin precio",IF(H27&lt;0,"PÉRDIDA",IF(I27&lt;MargenMin,"Margen bajo",IF(I27&lt;MargenObjReal,"Aceptable","Rentable")))))</f>
        <v/>
      </c>
      <c r="M27" s="83" t="n"/>
      <c r="N27" s="87">
        <f>IF(ISNUMBER(W27),RANK(W27,$W$7:$W$206),"")</f>
        <v/>
      </c>
      <c r="W27" s="88">
        <f>IF(AND(C27&lt;&gt;"",E27&gt;0,F27&gt;0),H27+ROW()/1000000000,"")</f>
        <v/>
      </c>
      <c r="X27" s="88">
        <f>IF(AND(C27&lt;&gt;"",E27&gt;0,F27&gt;0,OR(CatSel="Todas",D27=CatSel)),H27+ROW()/1000000000,"")</f>
        <v/>
      </c>
    </row>
    <row r="28">
      <c r="B28" s="83" t="n"/>
      <c r="C28" s="83" t="n"/>
      <c r="D28" s="83" t="n"/>
      <c r="E28" s="84" t="n"/>
      <c r="F28" s="84" t="n"/>
      <c r="G28" s="85">
        <f>IF(OR(C28="",E28&lt;=0,DivMargen&lt;=0),0,IF(Redondeo&gt;0,CEILING(E28/DivMargen,Redondeo),E28/DivMargen))</f>
        <v/>
      </c>
      <c r="H28" s="85">
        <f>IF(OR(C28="",E28&lt;=0,F28&lt;=0),0,F28*DivBase-E28)</f>
        <v/>
      </c>
      <c r="I28" s="86">
        <f>IF(OR(C28="",E28&lt;=0,F28&lt;=0),0,H28/F28)</f>
        <v/>
      </c>
      <c r="J28" s="84" t="n"/>
      <c r="K28" s="85">
        <f>IF(OR(C28="",E28&lt;=0),0,E28*J28)</f>
        <v/>
      </c>
      <c r="L28" s="74">
        <f>IF(OR(C28="",E28&lt;=0),"",IF(F28&lt;=0,"Sin precio",IF(H28&lt;0,"PÉRDIDA",IF(I28&lt;MargenMin,"Margen bajo",IF(I28&lt;MargenObjReal,"Aceptable","Rentable")))))</f>
        <v/>
      </c>
      <c r="M28" s="83" t="n"/>
      <c r="N28" s="87">
        <f>IF(ISNUMBER(W28),RANK(W28,$W$7:$W$206),"")</f>
        <v/>
      </c>
      <c r="W28" s="88">
        <f>IF(AND(C28&lt;&gt;"",E28&gt;0,F28&gt;0),H28+ROW()/1000000000,"")</f>
        <v/>
      </c>
      <c r="X28" s="88">
        <f>IF(AND(C28&lt;&gt;"",E28&gt;0,F28&gt;0,OR(CatSel="Todas",D28=CatSel)),H28+ROW()/1000000000,"")</f>
        <v/>
      </c>
    </row>
    <row r="29">
      <c r="B29" s="83" t="n"/>
      <c r="C29" s="83" t="n"/>
      <c r="D29" s="83" t="n"/>
      <c r="E29" s="84" t="n"/>
      <c r="F29" s="84" t="n"/>
      <c r="G29" s="85">
        <f>IF(OR(C29="",E29&lt;=0,DivMargen&lt;=0),0,IF(Redondeo&gt;0,CEILING(E29/DivMargen,Redondeo),E29/DivMargen))</f>
        <v/>
      </c>
      <c r="H29" s="85">
        <f>IF(OR(C29="",E29&lt;=0,F29&lt;=0),0,F29*DivBase-E29)</f>
        <v/>
      </c>
      <c r="I29" s="86">
        <f>IF(OR(C29="",E29&lt;=0,F29&lt;=0),0,H29/F29)</f>
        <v/>
      </c>
      <c r="J29" s="84" t="n"/>
      <c r="K29" s="85">
        <f>IF(OR(C29="",E29&lt;=0),0,E29*J29)</f>
        <v/>
      </c>
      <c r="L29" s="74">
        <f>IF(OR(C29="",E29&lt;=0),"",IF(F29&lt;=0,"Sin precio",IF(H29&lt;0,"PÉRDIDA",IF(I29&lt;MargenMin,"Margen bajo",IF(I29&lt;MargenObjReal,"Aceptable","Rentable")))))</f>
        <v/>
      </c>
      <c r="M29" s="83" t="n"/>
      <c r="N29" s="87">
        <f>IF(ISNUMBER(W29),RANK(W29,$W$7:$W$206),"")</f>
        <v/>
      </c>
      <c r="W29" s="88">
        <f>IF(AND(C29&lt;&gt;"",E29&gt;0,F29&gt;0),H29+ROW()/1000000000,"")</f>
        <v/>
      </c>
      <c r="X29" s="88">
        <f>IF(AND(C29&lt;&gt;"",E29&gt;0,F29&gt;0,OR(CatSel="Todas",D29=CatSel)),H29+ROW()/1000000000,"")</f>
        <v/>
      </c>
    </row>
    <row r="30">
      <c r="B30" s="83" t="n"/>
      <c r="C30" s="83" t="n"/>
      <c r="D30" s="83" t="n"/>
      <c r="E30" s="84" t="n"/>
      <c r="F30" s="84" t="n"/>
      <c r="G30" s="85">
        <f>IF(OR(C30="",E30&lt;=0,DivMargen&lt;=0),0,IF(Redondeo&gt;0,CEILING(E30/DivMargen,Redondeo),E30/DivMargen))</f>
        <v/>
      </c>
      <c r="H30" s="85">
        <f>IF(OR(C30="",E30&lt;=0,F30&lt;=0),0,F30*DivBase-E30)</f>
        <v/>
      </c>
      <c r="I30" s="86">
        <f>IF(OR(C30="",E30&lt;=0,F30&lt;=0),0,H30/F30)</f>
        <v/>
      </c>
      <c r="J30" s="84" t="n"/>
      <c r="K30" s="85">
        <f>IF(OR(C30="",E30&lt;=0),0,E30*J30)</f>
        <v/>
      </c>
      <c r="L30" s="74">
        <f>IF(OR(C30="",E30&lt;=0),"",IF(F30&lt;=0,"Sin precio",IF(H30&lt;0,"PÉRDIDA",IF(I30&lt;MargenMin,"Margen bajo",IF(I30&lt;MargenObjReal,"Aceptable","Rentable")))))</f>
        <v/>
      </c>
      <c r="M30" s="83" t="n"/>
      <c r="N30" s="87">
        <f>IF(ISNUMBER(W30),RANK(W30,$W$7:$W$206),"")</f>
        <v/>
      </c>
      <c r="W30" s="88">
        <f>IF(AND(C30&lt;&gt;"",E30&gt;0,F30&gt;0),H30+ROW()/1000000000,"")</f>
        <v/>
      </c>
      <c r="X30" s="88">
        <f>IF(AND(C30&lt;&gt;"",E30&gt;0,F30&gt;0,OR(CatSel="Todas",D30=CatSel)),H30+ROW()/1000000000,"")</f>
        <v/>
      </c>
    </row>
    <row r="31">
      <c r="B31" s="83" t="n"/>
      <c r="C31" s="83" t="n"/>
      <c r="D31" s="83" t="n"/>
      <c r="E31" s="84" t="n"/>
      <c r="F31" s="84" t="n"/>
      <c r="G31" s="85">
        <f>IF(OR(C31="",E31&lt;=0,DivMargen&lt;=0),0,IF(Redondeo&gt;0,CEILING(E31/DivMargen,Redondeo),E31/DivMargen))</f>
        <v/>
      </c>
      <c r="H31" s="85">
        <f>IF(OR(C31="",E31&lt;=0,F31&lt;=0),0,F31*DivBase-E31)</f>
        <v/>
      </c>
      <c r="I31" s="86">
        <f>IF(OR(C31="",E31&lt;=0,F31&lt;=0),0,H31/F31)</f>
        <v/>
      </c>
      <c r="J31" s="84" t="n"/>
      <c r="K31" s="85">
        <f>IF(OR(C31="",E31&lt;=0),0,E31*J31)</f>
        <v/>
      </c>
      <c r="L31" s="74">
        <f>IF(OR(C31="",E31&lt;=0),"",IF(F31&lt;=0,"Sin precio",IF(H31&lt;0,"PÉRDIDA",IF(I31&lt;MargenMin,"Margen bajo",IF(I31&lt;MargenObjReal,"Aceptable","Rentable")))))</f>
        <v/>
      </c>
      <c r="M31" s="83" t="n"/>
      <c r="N31" s="87">
        <f>IF(ISNUMBER(W31),RANK(W31,$W$7:$W$206),"")</f>
        <v/>
      </c>
      <c r="W31" s="88">
        <f>IF(AND(C31&lt;&gt;"",E31&gt;0,F31&gt;0),H31+ROW()/1000000000,"")</f>
        <v/>
      </c>
      <c r="X31" s="88">
        <f>IF(AND(C31&lt;&gt;"",E31&gt;0,F31&gt;0,OR(CatSel="Todas",D31=CatSel)),H31+ROW()/1000000000,"")</f>
        <v/>
      </c>
    </row>
    <row r="32">
      <c r="B32" s="83" t="n"/>
      <c r="C32" s="83" t="n"/>
      <c r="D32" s="83" t="n"/>
      <c r="E32" s="84" t="n"/>
      <c r="F32" s="84" t="n"/>
      <c r="G32" s="85">
        <f>IF(OR(C32="",E32&lt;=0,DivMargen&lt;=0),0,IF(Redondeo&gt;0,CEILING(E32/DivMargen,Redondeo),E32/DivMargen))</f>
        <v/>
      </c>
      <c r="H32" s="85">
        <f>IF(OR(C32="",E32&lt;=0,F32&lt;=0),0,F32*DivBase-E32)</f>
        <v/>
      </c>
      <c r="I32" s="86">
        <f>IF(OR(C32="",E32&lt;=0,F32&lt;=0),0,H32/F32)</f>
        <v/>
      </c>
      <c r="J32" s="84" t="n"/>
      <c r="K32" s="85">
        <f>IF(OR(C32="",E32&lt;=0),0,E32*J32)</f>
        <v/>
      </c>
      <c r="L32" s="74">
        <f>IF(OR(C32="",E32&lt;=0),"",IF(F32&lt;=0,"Sin precio",IF(H32&lt;0,"PÉRDIDA",IF(I32&lt;MargenMin,"Margen bajo",IF(I32&lt;MargenObjReal,"Aceptable","Rentable")))))</f>
        <v/>
      </c>
      <c r="M32" s="83" t="n"/>
      <c r="N32" s="87">
        <f>IF(ISNUMBER(W32),RANK(W32,$W$7:$W$206),"")</f>
        <v/>
      </c>
      <c r="W32" s="88">
        <f>IF(AND(C32&lt;&gt;"",E32&gt;0,F32&gt;0),H32+ROW()/1000000000,"")</f>
        <v/>
      </c>
      <c r="X32" s="88">
        <f>IF(AND(C32&lt;&gt;"",E32&gt;0,F32&gt;0,OR(CatSel="Todas",D32=CatSel)),H32+ROW()/1000000000,"")</f>
        <v/>
      </c>
    </row>
    <row r="33">
      <c r="B33" s="83" t="n"/>
      <c r="C33" s="83" t="n"/>
      <c r="D33" s="83" t="n"/>
      <c r="E33" s="84" t="n"/>
      <c r="F33" s="84" t="n"/>
      <c r="G33" s="85">
        <f>IF(OR(C33="",E33&lt;=0,DivMargen&lt;=0),0,IF(Redondeo&gt;0,CEILING(E33/DivMargen,Redondeo),E33/DivMargen))</f>
        <v/>
      </c>
      <c r="H33" s="85">
        <f>IF(OR(C33="",E33&lt;=0,F33&lt;=0),0,F33*DivBase-E33)</f>
        <v/>
      </c>
      <c r="I33" s="86">
        <f>IF(OR(C33="",E33&lt;=0,F33&lt;=0),0,H33/F33)</f>
        <v/>
      </c>
      <c r="J33" s="84" t="n"/>
      <c r="K33" s="85">
        <f>IF(OR(C33="",E33&lt;=0),0,E33*J33)</f>
        <v/>
      </c>
      <c r="L33" s="74">
        <f>IF(OR(C33="",E33&lt;=0),"",IF(F33&lt;=0,"Sin precio",IF(H33&lt;0,"PÉRDIDA",IF(I33&lt;MargenMin,"Margen bajo",IF(I33&lt;MargenObjReal,"Aceptable","Rentable")))))</f>
        <v/>
      </c>
      <c r="M33" s="83" t="n"/>
      <c r="N33" s="87">
        <f>IF(ISNUMBER(W33),RANK(W33,$W$7:$W$206),"")</f>
        <v/>
      </c>
      <c r="W33" s="88">
        <f>IF(AND(C33&lt;&gt;"",E33&gt;0,F33&gt;0),H33+ROW()/1000000000,"")</f>
        <v/>
      </c>
      <c r="X33" s="88">
        <f>IF(AND(C33&lt;&gt;"",E33&gt;0,F33&gt;0,OR(CatSel="Todas",D33=CatSel)),H33+ROW()/1000000000,"")</f>
        <v/>
      </c>
    </row>
    <row r="34">
      <c r="B34" s="83" t="n"/>
      <c r="C34" s="83" t="n"/>
      <c r="D34" s="83" t="n"/>
      <c r="E34" s="84" t="n"/>
      <c r="F34" s="84" t="n"/>
      <c r="G34" s="85">
        <f>IF(OR(C34="",E34&lt;=0,DivMargen&lt;=0),0,IF(Redondeo&gt;0,CEILING(E34/DivMargen,Redondeo),E34/DivMargen))</f>
        <v/>
      </c>
      <c r="H34" s="85">
        <f>IF(OR(C34="",E34&lt;=0,F34&lt;=0),0,F34*DivBase-E34)</f>
        <v/>
      </c>
      <c r="I34" s="86">
        <f>IF(OR(C34="",E34&lt;=0,F34&lt;=0),0,H34/F34)</f>
        <v/>
      </c>
      <c r="J34" s="84" t="n"/>
      <c r="K34" s="85">
        <f>IF(OR(C34="",E34&lt;=0),0,E34*J34)</f>
        <v/>
      </c>
      <c r="L34" s="74">
        <f>IF(OR(C34="",E34&lt;=0),"",IF(F34&lt;=0,"Sin precio",IF(H34&lt;0,"PÉRDIDA",IF(I34&lt;MargenMin,"Margen bajo",IF(I34&lt;MargenObjReal,"Aceptable","Rentable")))))</f>
        <v/>
      </c>
      <c r="M34" s="83" t="n"/>
      <c r="N34" s="87">
        <f>IF(ISNUMBER(W34),RANK(W34,$W$7:$W$206),"")</f>
        <v/>
      </c>
      <c r="W34" s="88">
        <f>IF(AND(C34&lt;&gt;"",E34&gt;0,F34&gt;0),H34+ROW()/1000000000,"")</f>
        <v/>
      </c>
      <c r="X34" s="88">
        <f>IF(AND(C34&lt;&gt;"",E34&gt;0,F34&gt;0,OR(CatSel="Todas",D34=CatSel)),H34+ROW()/1000000000,"")</f>
        <v/>
      </c>
    </row>
    <row r="35">
      <c r="B35" s="83" t="n"/>
      <c r="C35" s="83" t="n"/>
      <c r="D35" s="83" t="n"/>
      <c r="E35" s="84" t="n"/>
      <c r="F35" s="84" t="n"/>
      <c r="G35" s="85">
        <f>IF(OR(C35="",E35&lt;=0,DivMargen&lt;=0),0,IF(Redondeo&gt;0,CEILING(E35/DivMargen,Redondeo),E35/DivMargen))</f>
        <v/>
      </c>
      <c r="H35" s="85">
        <f>IF(OR(C35="",E35&lt;=0,F35&lt;=0),0,F35*DivBase-E35)</f>
        <v/>
      </c>
      <c r="I35" s="86">
        <f>IF(OR(C35="",E35&lt;=0,F35&lt;=0),0,H35/F35)</f>
        <v/>
      </c>
      <c r="J35" s="84" t="n"/>
      <c r="K35" s="85">
        <f>IF(OR(C35="",E35&lt;=0),0,E35*J35)</f>
        <v/>
      </c>
      <c r="L35" s="74">
        <f>IF(OR(C35="",E35&lt;=0),"",IF(F35&lt;=0,"Sin precio",IF(H35&lt;0,"PÉRDIDA",IF(I35&lt;MargenMin,"Margen bajo",IF(I35&lt;MargenObjReal,"Aceptable","Rentable")))))</f>
        <v/>
      </c>
      <c r="M35" s="83" t="n"/>
      <c r="N35" s="87">
        <f>IF(ISNUMBER(W35),RANK(W35,$W$7:$W$206),"")</f>
        <v/>
      </c>
      <c r="W35" s="88">
        <f>IF(AND(C35&lt;&gt;"",E35&gt;0,F35&gt;0),H35+ROW()/1000000000,"")</f>
        <v/>
      </c>
      <c r="X35" s="88">
        <f>IF(AND(C35&lt;&gt;"",E35&gt;0,F35&gt;0,OR(CatSel="Todas",D35=CatSel)),H35+ROW()/1000000000,"")</f>
        <v/>
      </c>
    </row>
    <row r="36">
      <c r="B36" s="83" t="n"/>
      <c r="C36" s="83" t="n"/>
      <c r="D36" s="83" t="n"/>
      <c r="E36" s="84" t="n"/>
      <c r="F36" s="84" t="n"/>
      <c r="G36" s="85">
        <f>IF(OR(C36="",E36&lt;=0,DivMargen&lt;=0),0,IF(Redondeo&gt;0,CEILING(E36/DivMargen,Redondeo),E36/DivMargen))</f>
        <v/>
      </c>
      <c r="H36" s="85">
        <f>IF(OR(C36="",E36&lt;=0,F36&lt;=0),0,F36*DivBase-E36)</f>
        <v/>
      </c>
      <c r="I36" s="86">
        <f>IF(OR(C36="",E36&lt;=0,F36&lt;=0),0,H36/F36)</f>
        <v/>
      </c>
      <c r="J36" s="84" t="n"/>
      <c r="K36" s="85">
        <f>IF(OR(C36="",E36&lt;=0),0,E36*J36)</f>
        <v/>
      </c>
      <c r="L36" s="74">
        <f>IF(OR(C36="",E36&lt;=0),"",IF(F36&lt;=0,"Sin precio",IF(H36&lt;0,"PÉRDIDA",IF(I36&lt;MargenMin,"Margen bajo",IF(I36&lt;MargenObjReal,"Aceptable","Rentable")))))</f>
        <v/>
      </c>
      <c r="M36" s="83" t="n"/>
      <c r="N36" s="87">
        <f>IF(ISNUMBER(W36),RANK(W36,$W$7:$W$206),"")</f>
        <v/>
      </c>
      <c r="W36" s="88">
        <f>IF(AND(C36&lt;&gt;"",E36&gt;0,F36&gt;0),H36+ROW()/1000000000,"")</f>
        <v/>
      </c>
      <c r="X36" s="88">
        <f>IF(AND(C36&lt;&gt;"",E36&gt;0,F36&gt;0,OR(CatSel="Todas",D36=CatSel)),H36+ROW()/1000000000,"")</f>
        <v/>
      </c>
    </row>
    <row r="37">
      <c r="B37" s="83" t="n"/>
      <c r="C37" s="83" t="n"/>
      <c r="D37" s="83" t="n"/>
      <c r="E37" s="84" t="n"/>
      <c r="F37" s="84" t="n"/>
      <c r="G37" s="85">
        <f>IF(OR(C37="",E37&lt;=0,DivMargen&lt;=0),0,IF(Redondeo&gt;0,CEILING(E37/DivMargen,Redondeo),E37/DivMargen))</f>
        <v/>
      </c>
      <c r="H37" s="85">
        <f>IF(OR(C37="",E37&lt;=0,F37&lt;=0),0,F37*DivBase-E37)</f>
        <v/>
      </c>
      <c r="I37" s="86">
        <f>IF(OR(C37="",E37&lt;=0,F37&lt;=0),0,H37/F37)</f>
        <v/>
      </c>
      <c r="J37" s="84" t="n"/>
      <c r="K37" s="85">
        <f>IF(OR(C37="",E37&lt;=0),0,E37*J37)</f>
        <v/>
      </c>
      <c r="L37" s="74">
        <f>IF(OR(C37="",E37&lt;=0),"",IF(F37&lt;=0,"Sin precio",IF(H37&lt;0,"PÉRDIDA",IF(I37&lt;MargenMin,"Margen bajo",IF(I37&lt;MargenObjReal,"Aceptable","Rentable")))))</f>
        <v/>
      </c>
      <c r="M37" s="83" t="n"/>
      <c r="N37" s="87">
        <f>IF(ISNUMBER(W37),RANK(W37,$W$7:$W$206),"")</f>
        <v/>
      </c>
      <c r="W37" s="88">
        <f>IF(AND(C37&lt;&gt;"",E37&gt;0,F37&gt;0),H37+ROW()/1000000000,"")</f>
        <v/>
      </c>
      <c r="X37" s="88">
        <f>IF(AND(C37&lt;&gt;"",E37&gt;0,F37&gt;0,OR(CatSel="Todas",D37=CatSel)),H37+ROW()/1000000000,"")</f>
        <v/>
      </c>
    </row>
    <row r="38">
      <c r="B38" s="83" t="n"/>
      <c r="C38" s="83" t="n"/>
      <c r="D38" s="83" t="n"/>
      <c r="E38" s="84" t="n"/>
      <c r="F38" s="84" t="n"/>
      <c r="G38" s="85">
        <f>IF(OR(C38="",E38&lt;=0,DivMargen&lt;=0),0,IF(Redondeo&gt;0,CEILING(E38/DivMargen,Redondeo),E38/DivMargen))</f>
        <v/>
      </c>
      <c r="H38" s="85">
        <f>IF(OR(C38="",E38&lt;=0,F38&lt;=0),0,F38*DivBase-E38)</f>
        <v/>
      </c>
      <c r="I38" s="86">
        <f>IF(OR(C38="",E38&lt;=0,F38&lt;=0),0,H38/F38)</f>
        <v/>
      </c>
      <c r="J38" s="84" t="n"/>
      <c r="K38" s="85">
        <f>IF(OR(C38="",E38&lt;=0),0,E38*J38)</f>
        <v/>
      </c>
      <c r="L38" s="74">
        <f>IF(OR(C38="",E38&lt;=0),"",IF(F38&lt;=0,"Sin precio",IF(H38&lt;0,"PÉRDIDA",IF(I38&lt;MargenMin,"Margen bajo",IF(I38&lt;MargenObjReal,"Aceptable","Rentable")))))</f>
        <v/>
      </c>
      <c r="M38" s="83" t="n"/>
      <c r="N38" s="87">
        <f>IF(ISNUMBER(W38),RANK(W38,$W$7:$W$206),"")</f>
        <v/>
      </c>
      <c r="W38" s="88">
        <f>IF(AND(C38&lt;&gt;"",E38&gt;0,F38&gt;0),H38+ROW()/1000000000,"")</f>
        <v/>
      </c>
      <c r="X38" s="88">
        <f>IF(AND(C38&lt;&gt;"",E38&gt;0,F38&gt;0,OR(CatSel="Todas",D38=CatSel)),H38+ROW()/1000000000,"")</f>
        <v/>
      </c>
    </row>
    <row r="39">
      <c r="B39" s="83" t="n"/>
      <c r="C39" s="83" t="n"/>
      <c r="D39" s="83" t="n"/>
      <c r="E39" s="84" t="n"/>
      <c r="F39" s="84" t="n"/>
      <c r="G39" s="85">
        <f>IF(OR(C39="",E39&lt;=0,DivMargen&lt;=0),0,IF(Redondeo&gt;0,CEILING(E39/DivMargen,Redondeo),E39/DivMargen))</f>
        <v/>
      </c>
      <c r="H39" s="85">
        <f>IF(OR(C39="",E39&lt;=0,F39&lt;=0),0,F39*DivBase-E39)</f>
        <v/>
      </c>
      <c r="I39" s="86">
        <f>IF(OR(C39="",E39&lt;=0,F39&lt;=0),0,H39/F39)</f>
        <v/>
      </c>
      <c r="J39" s="84" t="n"/>
      <c r="K39" s="85">
        <f>IF(OR(C39="",E39&lt;=0),0,E39*J39)</f>
        <v/>
      </c>
      <c r="L39" s="74">
        <f>IF(OR(C39="",E39&lt;=0),"",IF(F39&lt;=0,"Sin precio",IF(H39&lt;0,"PÉRDIDA",IF(I39&lt;MargenMin,"Margen bajo",IF(I39&lt;MargenObjReal,"Aceptable","Rentable")))))</f>
        <v/>
      </c>
      <c r="M39" s="83" t="n"/>
      <c r="N39" s="87">
        <f>IF(ISNUMBER(W39),RANK(W39,$W$7:$W$206),"")</f>
        <v/>
      </c>
      <c r="W39" s="88">
        <f>IF(AND(C39&lt;&gt;"",E39&gt;0,F39&gt;0),H39+ROW()/1000000000,"")</f>
        <v/>
      </c>
      <c r="X39" s="88">
        <f>IF(AND(C39&lt;&gt;"",E39&gt;0,F39&gt;0,OR(CatSel="Todas",D39=CatSel)),H39+ROW()/1000000000,"")</f>
        <v/>
      </c>
    </row>
    <row r="40">
      <c r="B40" s="83" t="n"/>
      <c r="C40" s="83" t="n"/>
      <c r="D40" s="83" t="n"/>
      <c r="E40" s="84" t="n"/>
      <c r="F40" s="84" t="n"/>
      <c r="G40" s="85">
        <f>IF(OR(C40="",E40&lt;=0,DivMargen&lt;=0),0,IF(Redondeo&gt;0,CEILING(E40/DivMargen,Redondeo),E40/DivMargen))</f>
        <v/>
      </c>
      <c r="H40" s="85">
        <f>IF(OR(C40="",E40&lt;=0,F40&lt;=0),0,F40*DivBase-E40)</f>
        <v/>
      </c>
      <c r="I40" s="86">
        <f>IF(OR(C40="",E40&lt;=0,F40&lt;=0),0,H40/F40)</f>
        <v/>
      </c>
      <c r="J40" s="84" t="n"/>
      <c r="K40" s="85">
        <f>IF(OR(C40="",E40&lt;=0),0,E40*J40)</f>
        <v/>
      </c>
      <c r="L40" s="74">
        <f>IF(OR(C40="",E40&lt;=0),"",IF(F40&lt;=0,"Sin precio",IF(H40&lt;0,"PÉRDIDA",IF(I40&lt;MargenMin,"Margen bajo",IF(I40&lt;MargenObjReal,"Aceptable","Rentable")))))</f>
        <v/>
      </c>
      <c r="M40" s="83" t="n"/>
      <c r="N40" s="87">
        <f>IF(ISNUMBER(W40),RANK(W40,$W$7:$W$206),"")</f>
        <v/>
      </c>
      <c r="W40" s="88">
        <f>IF(AND(C40&lt;&gt;"",E40&gt;0,F40&gt;0),H40+ROW()/1000000000,"")</f>
        <v/>
      </c>
      <c r="X40" s="88">
        <f>IF(AND(C40&lt;&gt;"",E40&gt;0,F40&gt;0,OR(CatSel="Todas",D40=CatSel)),H40+ROW()/1000000000,"")</f>
        <v/>
      </c>
    </row>
    <row r="41">
      <c r="B41" s="83" t="n"/>
      <c r="C41" s="83" t="n"/>
      <c r="D41" s="83" t="n"/>
      <c r="E41" s="84" t="n"/>
      <c r="F41" s="84" t="n"/>
      <c r="G41" s="85">
        <f>IF(OR(C41="",E41&lt;=0,DivMargen&lt;=0),0,IF(Redondeo&gt;0,CEILING(E41/DivMargen,Redondeo),E41/DivMargen))</f>
        <v/>
      </c>
      <c r="H41" s="85">
        <f>IF(OR(C41="",E41&lt;=0,F41&lt;=0),0,F41*DivBase-E41)</f>
        <v/>
      </c>
      <c r="I41" s="86">
        <f>IF(OR(C41="",E41&lt;=0,F41&lt;=0),0,H41/F41)</f>
        <v/>
      </c>
      <c r="J41" s="84" t="n"/>
      <c r="K41" s="85">
        <f>IF(OR(C41="",E41&lt;=0),0,E41*J41)</f>
        <v/>
      </c>
      <c r="L41" s="74">
        <f>IF(OR(C41="",E41&lt;=0),"",IF(F41&lt;=0,"Sin precio",IF(H41&lt;0,"PÉRDIDA",IF(I41&lt;MargenMin,"Margen bajo",IF(I41&lt;MargenObjReal,"Aceptable","Rentable")))))</f>
        <v/>
      </c>
      <c r="M41" s="83" t="n"/>
      <c r="N41" s="87">
        <f>IF(ISNUMBER(W41),RANK(W41,$W$7:$W$206),"")</f>
        <v/>
      </c>
      <c r="W41" s="88">
        <f>IF(AND(C41&lt;&gt;"",E41&gt;0,F41&gt;0),H41+ROW()/1000000000,"")</f>
        <v/>
      </c>
      <c r="X41" s="88">
        <f>IF(AND(C41&lt;&gt;"",E41&gt;0,F41&gt;0,OR(CatSel="Todas",D41=CatSel)),H41+ROW()/1000000000,"")</f>
        <v/>
      </c>
    </row>
    <row r="42">
      <c r="B42" s="83" t="n"/>
      <c r="C42" s="83" t="n"/>
      <c r="D42" s="83" t="n"/>
      <c r="E42" s="84" t="n"/>
      <c r="F42" s="84" t="n"/>
      <c r="G42" s="85">
        <f>IF(OR(C42="",E42&lt;=0,DivMargen&lt;=0),0,IF(Redondeo&gt;0,CEILING(E42/DivMargen,Redondeo),E42/DivMargen))</f>
        <v/>
      </c>
      <c r="H42" s="85">
        <f>IF(OR(C42="",E42&lt;=0,F42&lt;=0),0,F42*DivBase-E42)</f>
        <v/>
      </c>
      <c r="I42" s="86">
        <f>IF(OR(C42="",E42&lt;=0,F42&lt;=0),0,H42/F42)</f>
        <v/>
      </c>
      <c r="J42" s="84" t="n"/>
      <c r="K42" s="85">
        <f>IF(OR(C42="",E42&lt;=0),0,E42*J42)</f>
        <v/>
      </c>
      <c r="L42" s="74">
        <f>IF(OR(C42="",E42&lt;=0),"",IF(F42&lt;=0,"Sin precio",IF(H42&lt;0,"PÉRDIDA",IF(I42&lt;MargenMin,"Margen bajo",IF(I42&lt;MargenObjReal,"Aceptable","Rentable")))))</f>
        <v/>
      </c>
      <c r="M42" s="83" t="n"/>
      <c r="N42" s="87">
        <f>IF(ISNUMBER(W42),RANK(W42,$W$7:$W$206),"")</f>
        <v/>
      </c>
      <c r="W42" s="88">
        <f>IF(AND(C42&lt;&gt;"",E42&gt;0,F42&gt;0),H42+ROW()/1000000000,"")</f>
        <v/>
      </c>
      <c r="X42" s="88">
        <f>IF(AND(C42&lt;&gt;"",E42&gt;0,F42&gt;0,OR(CatSel="Todas",D42=CatSel)),H42+ROW()/1000000000,"")</f>
        <v/>
      </c>
    </row>
    <row r="43">
      <c r="B43" s="83" t="n"/>
      <c r="C43" s="83" t="n"/>
      <c r="D43" s="83" t="n"/>
      <c r="E43" s="84" t="n"/>
      <c r="F43" s="84" t="n"/>
      <c r="G43" s="85">
        <f>IF(OR(C43="",E43&lt;=0,DivMargen&lt;=0),0,IF(Redondeo&gt;0,CEILING(E43/DivMargen,Redondeo),E43/DivMargen))</f>
        <v/>
      </c>
      <c r="H43" s="85">
        <f>IF(OR(C43="",E43&lt;=0,F43&lt;=0),0,F43*DivBase-E43)</f>
        <v/>
      </c>
      <c r="I43" s="86">
        <f>IF(OR(C43="",E43&lt;=0,F43&lt;=0),0,H43/F43)</f>
        <v/>
      </c>
      <c r="J43" s="84" t="n"/>
      <c r="K43" s="85">
        <f>IF(OR(C43="",E43&lt;=0),0,E43*J43)</f>
        <v/>
      </c>
      <c r="L43" s="74">
        <f>IF(OR(C43="",E43&lt;=0),"",IF(F43&lt;=0,"Sin precio",IF(H43&lt;0,"PÉRDIDA",IF(I43&lt;MargenMin,"Margen bajo",IF(I43&lt;MargenObjReal,"Aceptable","Rentable")))))</f>
        <v/>
      </c>
      <c r="M43" s="83" t="n"/>
      <c r="N43" s="87">
        <f>IF(ISNUMBER(W43),RANK(W43,$W$7:$W$206),"")</f>
        <v/>
      </c>
      <c r="W43" s="88">
        <f>IF(AND(C43&lt;&gt;"",E43&gt;0,F43&gt;0),H43+ROW()/1000000000,"")</f>
        <v/>
      </c>
      <c r="X43" s="88">
        <f>IF(AND(C43&lt;&gt;"",E43&gt;0,F43&gt;0,OR(CatSel="Todas",D43=CatSel)),H43+ROW()/1000000000,"")</f>
        <v/>
      </c>
    </row>
    <row r="44">
      <c r="B44" s="83" t="n"/>
      <c r="C44" s="83" t="n"/>
      <c r="D44" s="83" t="n"/>
      <c r="E44" s="84" t="n"/>
      <c r="F44" s="84" t="n"/>
      <c r="G44" s="85">
        <f>IF(OR(C44="",E44&lt;=0,DivMargen&lt;=0),0,IF(Redondeo&gt;0,CEILING(E44/DivMargen,Redondeo),E44/DivMargen))</f>
        <v/>
      </c>
      <c r="H44" s="85">
        <f>IF(OR(C44="",E44&lt;=0,F44&lt;=0),0,F44*DivBase-E44)</f>
        <v/>
      </c>
      <c r="I44" s="86">
        <f>IF(OR(C44="",E44&lt;=0,F44&lt;=0),0,H44/F44)</f>
        <v/>
      </c>
      <c r="J44" s="84" t="n"/>
      <c r="K44" s="85">
        <f>IF(OR(C44="",E44&lt;=0),0,E44*J44)</f>
        <v/>
      </c>
      <c r="L44" s="74">
        <f>IF(OR(C44="",E44&lt;=0),"",IF(F44&lt;=0,"Sin precio",IF(H44&lt;0,"PÉRDIDA",IF(I44&lt;MargenMin,"Margen bajo",IF(I44&lt;MargenObjReal,"Aceptable","Rentable")))))</f>
        <v/>
      </c>
      <c r="M44" s="83" t="n"/>
      <c r="N44" s="87">
        <f>IF(ISNUMBER(W44),RANK(W44,$W$7:$W$206),"")</f>
        <v/>
      </c>
      <c r="W44" s="88">
        <f>IF(AND(C44&lt;&gt;"",E44&gt;0,F44&gt;0),H44+ROW()/1000000000,"")</f>
        <v/>
      </c>
      <c r="X44" s="88">
        <f>IF(AND(C44&lt;&gt;"",E44&gt;0,F44&gt;0,OR(CatSel="Todas",D44=CatSel)),H44+ROW()/1000000000,"")</f>
        <v/>
      </c>
    </row>
    <row r="45">
      <c r="B45" s="83" t="n"/>
      <c r="C45" s="83" t="n"/>
      <c r="D45" s="83" t="n"/>
      <c r="E45" s="84" t="n"/>
      <c r="F45" s="84" t="n"/>
      <c r="G45" s="85">
        <f>IF(OR(C45="",E45&lt;=0,DivMargen&lt;=0),0,IF(Redondeo&gt;0,CEILING(E45/DivMargen,Redondeo),E45/DivMargen))</f>
        <v/>
      </c>
      <c r="H45" s="85">
        <f>IF(OR(C45="",E45&lt;=0,F45&lt;=0),0,F45*DivBase-E45)</f>
        <v/>
      </c>
      <c r="I45" s="86">
        <f>IF(OR(C45="",E45&lt;=0,F45&lt;=0),0,H45/F45)</f>
        <v/>
      </c>
      <c r="J45" s="84" t="n"/>
      <c r="K45" s="85">
        <f>IF(OR(C45="",E45&lt;=0),0,E45*J45)</f>
        <v/>
      </c>
      <c r="L45" s="74">
        <f>IF(OR(C45="",E45&lt;=0),"",IF(F45&lt;=0,"Sin precio",IF(H45&lt;0,"PÉRDIDA",IF(I45&lt;MargenMin,"Margen bajo",IF(I45&lt;MargenObjReal,"Aceptable","Rentable")))))</f>
        <v/>
      </c>
      <c r="M45" s="83" t="n"/>
      <c r="N45" s="87">
        <f>IF(ISNUMBER(W45),RANK(W45,$W$7:$W$206),"")</f>
        <v/>
      </c>
      <c r="W45" s="88">
        <f>IF(AND(C45&lt;&gt;"",E45&gt;0,F45&gt;0),H45+ROW()/1000000000,"")</f>
        <v/>
      </c>
      <c r="X45" s="88">
        <f>IF(AND(C45&lt;&gt;"",E45&gt;0,F45&gt;0,OR(CatSel="Todas",D45=CatSel)),H45+ROW()/1000000000,"")</f>
        <v/>
      </c>
    </row>
    <row r="46">
      <c r="B46" s="83" t="n"/>
      <c r="C46" s="83" t="n"/>
      <c r="D46" s="83" t="n"/>
      <c r="E46" s="84" t="n"/>
      <c r="F46" s="84" t="n"/>
      <c r="G46" s="85">
        <f>IF(OR(C46="",E46&lt;=0,DivMargen&lt;=0),0,IF(Redondeo&gt;0,CEILING(E46/DivMargen,Redondeo),E46/DivMargen))</f>
        <v/>
      </c>
      <c r="H46" s="85">
        <f>IF(OR(C46="",E46&lt;=0,F46&lt;=0),0,F46*DivBase-E46)</f>
        <v/>
      </c>
      <c r="I46" s="86">
        <f>IF(OR(C46="",E46&lt;=0,F46&lt;=0),0,H46/F46)</f>
        <v/>
      </c>
      <c r="J46" s="84" t="n"/>
      <c r="K46" s="85">
        <f>IF(OR(C46="",E46&lt;=0),0,E46*J46)</f>
        <v/>
      </c>
      <c r="L46" s="74">
        <f>IF(OR(C46="",E46&lt;=0),"",IF(F46&lt;=0,"Sin precio",IF(H46&lt;0,"PÉRDIDA",IF(I46&lt;MargenMin,"Margen bajo",IF(I46&lt;MargenObjReal,"Aceptable","Rentable")))))</f>
        <v/>
      </c>
      <c r="M46" s="83" t="n"/>
      <c r="N46" s="87">
        <f>IF(ISNUMBER(W46),RANK(W46,$W$7:$W$206),"")</f>
        <v/>
      </c>
      <c r="W46" s="88">
        <f>IF(AND(C46&lt;&gt;"",E46&gt;0,F46&gt;0),H46+ROW()/1000000000,"")</f>
        <v/>
      </c>
      <c r="X46" s="88">
        <f>IF(AND(C46&lt;&gt;"",E46&gt;0,F46&gt;0,OR(CatSel="Todas",D46=CatSel)),H46+ROW()/1000000000,"")</f>
        <v/>
      </c>
    </row>
    <row r="47">
      <c r="B47" s="83" t="n"/>
      <c r="C47" s="83" t="n"/>
      <c r="D47" s="83" t="n"/>
      <c r="E47" s="84" t="n"/>
      <c r="F47" s="84" t="n"/>
      <c r="G47" s="85">
        <f>IF(OR(C47="",E47&lt;=0,DivMargen&lt;=0),0,IF(Redondeo&gt;0,CEILING(E47/DivMargen,Redondeo),E47/DivMargen))</f>
        <v/>
      </c>
      <c r="H47" s="85">
        <f>IF(OR(C47="",E47&lt;=0,F47&lt;=0),0,F47*DivBase-E47)</f>
        <v/>
      </c>
      <c r="I47" s="86">
        <f>IF(OR(C47="",E47&lt;=0,F47&lt;=0),0,H47/F47)</f>
        <v/>
      </c>
      <c r="J47" s="84" t="n"/>
      <c r="K47" s="85">
        <f>IF(OR(C47="",E47&lt;=0),0,E47*J47)</f>
        <v/>
      </c>
      <c r="L47" s="74">
        <f>IF(OR(C47="",E47&lt;=0),"",IF(F47&lt;=0,"Sin precio",IF(H47&lt;0,"PÉRDIDA",IF(I47&lt;MargenMin,"Margen bajo",IF(I47&lt;MargenObjReal,"Aceptable","Rentable")))))</f>
        <v/>
      </c>
      <c r="M47" s="83" t="n"/>
      <c r="N47" s="87">
        <f>IF(ISNUMBER(W47),RANK(W47,$W$7:$W$206),"")</f>
        <v/>
      </c>
      <c r="W47" s="88">
        <f>IF(AND(C47&lt;&gt;"",E47&gt;0,F47&gt;0),H47+ROW()/1000000000,"")</f>
        <v/>
      </c>
      <c r="X47" s="88">
        <f>IF(AND(C47&lt;&gt;"",E47&gt;0,F47&gt;0,OR(CatSel="Todas",D47=CatSel)),H47+ROW()/1000000000,"")</f>
        <v/>
      </c>
    </row>
    <row r="48">
      <c r="B48" s="83" t="n"/>
      <c r="C48" s="83" t="n"/>
      <c r="D48" s="83" t="n"/>
      <c r="E48" s="84" t="n"/>
      <c r="F48" s="84" t="n"/>
      <c r="G48" s="85">
        <f>IF(OR(C48="",E48&lt;=0,DivMargen&lt;=0),0,IF(Redondeo&gt;0,CEILING(E48/DivMargen,Redondeo),E48/DivMargen))</f>
        <v/>
      </c>
      <c r="H48" s="85">
        <f>IF(OR(C48="",E48&lt;=0,F48&lt;=0),0,F48*DivBase-E48)</f>
        <v/>
      </c>
      <c r="I48" s="86">
        <f>IF(OR(C48="",E48&lt;=0,F48&lt;=0),0,H48/F48)</f>
        <v/>
      </c>
      <c r="J48" s="84" t="n"/>
      <c r="K48" s="85">
        <f>IF(OR(C48="",E48&lt;=0),0,E48*J48)</f>
        <v/>
      </c>
      <c r="L48" s="74">
        <f>IF(OR(C48="",E48&lt;=0),"",IF(F48&lt;=0,"Sin precio",IF(H48&lt;0,"PÉRDIDA",IF(I48&lt;MargenMin,"Margen bajo",IF(I48&lt;MargenObjReal,"Aceptable","Rentable")))))</f>
        <v/>
      </c>
      <c r="M48" s="83" t="n"/>
      <c r="N48" s="87">
        <f>IF(ISNUMBER(W48),RANK(W48,$W$7:$W$206),"")</f>
        <v/>
      </c>
      <c r="W48" s="88">
        <f>IF(AND(C48&lt;&gt;"",E48&gt;0,F48&gt;0),H48+ROW()/1000000000,"")</f>
        <v/>
      </c>
      <c r="X48" s="88">
        <f>IF(AND(C48&lt;&gt;"",E48&gt;0,F48&gt;0,OR(CatSel="Todas",D48=CatSel)),H48+ROW()/1000000000,"")</f>
        <v/>
      </c>
    </row>
    <row r="49">
      <c r="B49" s="83" t="n"/>
      <c r="C49" s="83" t="n"/>
      <c r="D49" s="83" t="n"/>
      <c r="E49" s="84" t="n"/>
      <c r="F49" s="84" t="n"/>
      <c r="G49" s="85">
        <f>IF(OR(C49="",E49&lt;=0,DivMargen&lt;=0),0,IF(Redondeo&gt;0,CEILING(E49/DivMargen,Redondeo),E49/DivMargen))</f>
        <v/>
      </c>
      <c r="H49" s="85">
        <f>IF(OR(C49="",E49&lt;=0,F49&lt;=0),0,F49*DivBase-E49)</f>
        <v/>
      </c>
      <c r="I49" s="86">
        <f>IF(OR(C49="",E49&lt;=0,F49&lt;=0),0,H49/F49)</f>
        <v/>
      </c>
      <c r="J49" s="84" t="n"/>
      <c r="K49" s="85">
        <f>IF(OR(C49="",E49&lt;=0),0,E49*J49)</f>
        <v/>
      </c>
      <c r="L49" s="74">
        <f>IF(OR(C49="",E49&lt;=0),"",IF(F49&lt;=0,"Sin precio",IF(H49&lt;0,"PÉRDIDA",IF(I49&lt;MargenMin,"Margen bajo",IF(I49&lt;MargenObjReal,"Aceptable","Rentable")))))</f>
        <v/>
      </c>
      <c r="M49" s="83" t="n"/>
      <c r="N49" s="87">
        <f>IF(ISNUMBER(W49),RANK(W49,$W$7:$W$206),"")</f>
        <v/>
      </c>
      <c r="W49" s="88">
        <f>IF(AND(C49&lt;&gt;"",E49&gt;0,F49&gt;0),H49+ROW()/1000000000,"")</f>
        <v/>
      </c>
      <c r="X49" s="88">
        <f>IF(AND(C49&lt;&gt;"",E49&gt;0,F49&gt;0,OR(CatSel="Todas",D49=CatSel)),H49+ROW()/1000000000,"")</f>
        <v/>
      </c>
    </row>
    <row r="50">
      <c r="B50" s="83" t="n"/>
      <c r="C50" s="83" t="n"/>
      <c r="D50" s="83" t="n"/>
      <c r="E50" s="84" t="n"/>
      <c r="F50" s="84" t="n"/>
      <c r="G50" s="85">
        <f>IF(OR(C50="",E50&lt;=0,DivMargen&lt;=0),0,IF(Redondeo&gt;0,CEILING(E50/DivMargen,Redondeo),E50/DivMargen))</f>
        <v/>
      </c>
      <c r="H50" s="85">
        <f>IF(OR(C50="",E50&lt;=0,F50&lt;=0),0,F50*DivBase-E50)</f>
        <v/>
      </c>
      <c r="I50" s="86">
        <f>IF(OR(C50="",E50&lt;=0,F50&lt;=0),0,H50/F50)</f>
        <v/>
      </c>
      <c r="J50" s="84" t="n"/>
      <c r="K50" s="85">
        <f>IF(OR(C50="",E50&lt;=0),0,E50*J50)</f>
        <v/>
      </c>
      <c r="L50" s="74">
        <f>IF(OR(C50="",E50&lt;=0),"",IF(F50&lt;=0,"Sin precio",IF(H50&lt;0,"PÉRDIDA",IF(I50&lt;MargenMin,"Margen bajo",IF(I50&lt;MargenObjReal,"Aceptable","Rentable")))))</f>
        <v/>
      </c>
      <c r="M50" s="83" t="n"/>
      <c r="N50" s="87">
        <f>IF(ISNUMBER(W50),RANK(W50,$W$7:$W$206),"")</f>
        <v/>
      </c>
      <c r="W50" s="88">
        <f>IF(AND(C50&lt;&gt;"",E50&gt;0,F50&gt;0),H50+ROW()/1000000000,"")</f>
        <v/>
      </c>
      <c r="X50" s="88">
        <f>IF(AND(C50&lt;&gt;"",E50&gt;0,F50&gt;0,OR(CatSel="Todas",D50=CatSel)),H50+ROW()/1000000000,"")</f>
        <v/>
      </c>
    </row>
    <row r="51">
      <c r="B51" s="83" t="n"/>
      <c r="C51" s="83" t="n"/>
      <c r="D51" s="83" t="n"/>
      <c r="E51" s="84" t="n"/>
      <c r="F51" s="84" t="n"/>
      <c r="G51" s="85">
        <f>IF(OR(C51="",E51&lt;=0,DivMargen&lt;=0),0,IF(Redondeo&gt;0,CEILING(E51/DivMargen,Redondeo),E51/DivMargen))</f>
        <v/>
      </c>
      <c r="H51" s="85">
        <f>IF(OR(C51="",E51&lt;=0,F51&lt;=0),0,F51*DivBase-E51)</f>
        <v/>
      </c>
      <c r="I51" s="86">
        <f>IF(OR(C51="",E51&lt;=0,F51&lt;=0),0,H51/F51)</f>
        <v/>
      </c>
      <c r="J51" s="84" t="n"/>
      <c r="K51" s="85">
        <f>IF(OR(C51="",E51&lt;=0),0,E51*J51)</f>
        <v/>
      </c>
      <c r="L51" s="74">
        <f>IF(OR(C51="",E51&lt;=0),"",IF(F51&lt;=0,"Sin precio",IF(H51&lt;0,"PÉRDIDA",IF(I51&lt;MargenMin,"Margen bajo",IF(I51&lt;MargenObjReal,"Aceptable","Rentable")))))</f>
        <v/>
      </c>
      <c r="M51" s="83" t="n"/>
      <c r="N51" s="87">
        <f>IF(ISNUMBER(W51),RANK(W51,$W$7:$W$206),"")</f>
        <v/>
      </c>
      <c r="W51" s="88">
        <f>IF(AND(C51&lt;&gt;"",E51&gt;0,F51&gt;0),H51+ROW()/1000000000,"")</f>
        <v/>
      </c>
      <c r="X51" s="88">
        <f>IF(AND(C51&lt;&gt;"",E51&gt;0,F51&gt;0,OR(CatSel="Todas",D51=CatSel)),H51+ROW()/1000000000,"")</f>
        <v/>
      </c>
    </row>
    <row r="52">
      <c r="B52" s="83" t="n"/>
      <c r="C52" s="83" t="n"/>
      <c r="D52" s="83" t="n"/>
      <c r="E52" s="84" t="n"/>
      <c r="F52" s="84" t="n"/>
      <c r="G52" s="85">
        <f>IF(OR(C52="",E52&lt;=0,DivMargen&lt;=0),0,IF(Redondeo&gt;0,CEILING(E52/DivMargen,Redondeo),E52/DivMargen))</f>
        <v/>
      </c>
      <c r="H52" s="85">
        <f>IF(OR(C52="",E52&lt;=0,F52&lt;=0),0,F52*DivBase-E52)</f>
        <v/>
      </c>
      <c r="I52" s="86">
        <f>IF(OR(C52="",E52&lt;=0,F52&lt;=0),0,H52/F52)</f>
        <v/>
      </c>
      <c r="J52" s="84" t="n"/>
      <c r="K52" s="85">
        <f>IF(OR(C52="",E52&lt;=0),0,E52*J52)</f>
        <v/>
      </c>
      <c r="L52" s="74">
        <f>IF(OR(C52="",E52&lt;=0),"",IF(F52&lt;=0,"Sin precio",IF(H52&lt;0,"PÉRDIDA",IF(I52&lt;MargenMin,"Margen bajo",IF(I52&lt;MargenObjReal,"Aceptable","Rentable")))))</f>
        <v/>
      </c>
      <c r="M52" s="83" t="n"/>
      <c r="N52" s="87">
        <f>IF(ISNUMBER(W52),RANK(W52,$W$7:$W$206),"")</f>
        <v/>
      </c>
      <c r="W52" s="88">
        <f>IF(AND(C52&lt;&gt;"",E52&gt;0,F52&gt;0),H52+ROW()/1000000000,"")</f>
        <v/>
      </c>
      <c r="X52" s="88">
        <f>IF(AND(C52&lt;&gt;"",E52&gt;0,F52&gt;0,OR(CatSel="Todas",D52=CatSel)),H52+ROW()/1000000000,"")</f>
        <v/>
      </c>
    </row>
    <row r="53">
      <c r="B53" s="83" t="n"/>
      <c r="C53" s="83" t="n"/>
      <c r="D53" s="83" t="n"/>
      <c r="E53" s="84" t="n"/>
      <c r="F53" s="84" t="n"/>
      <c r="G53" s="85">
        <f>IF(OR(C53="",E53&lt;=0,DivMargen&lt;=0),0,IF(Redondeo&gt;0,CEILING(E53/DivMargen,Redondeo),E53/DivMargen))</f>
        <v/>
      </c>
      <c r="H53" s="85">
        <f>IF(OR(C53="",E53&lt;=0,F53&lt;=0),0,F53*DivBase-E53)</f>
        <v/>
      </c>
      <c r="I53" s="86">
        <f>IF(OR(C53="",E53&lt;=0,F53&lt;=0),0,H53/F53)</f>
        <v/>
      </c>
      <c r="J53" s="84" t="n"/>
      <c r="K53" s="85">
        <f>IF(OR(C53="",E53&lt;=0),0,E53*J53)</f>
        <v/>
      </c>
      <c r="L53" s="74">
        <f>IF(OR(C53="",E53&lt;=0),"",IF(F53&lt;=0,"Sin precio",IF(H53&lt;0,"PÉRDIDA",IF(I53&lt;MargenMin,"Margen bajo",IF(I53&lt;MargenObjReal,"Aceptable","Rentable")))))</f>
        <v/>
      </c>
      <c r="M53" s="83" t="n"/>
      <c r="N53" s="87">
        <f>IF(ISNUMBER(W53),RANK(W53,$W$7:$W$206),"")</f>
        <v/>
      </c>
      <c r="W53" s="88">
        <f>IF(AND(C53&lt;&gt;"",E53&gt;0,F53&gt;0),H53+ROW()/1000000000,"")</f>
        <v/>
      </c>
      <c r="X53" s="88">
        <f>IF(AND(C53&lt;&gt;"",E53&gt;0,F53&gt;0,OR(CatSel="Todas",D53=CatSel)),H53+ROW()/1000000000,"")</f>
        <v/>
      </c>
    </row>
    <row r="54">
      <c r="B54" s="83" t="n"/>
      <c r="C54" s="83" t="n"/>
      <c r="D54" s="83" t="n"/>
      <c r="E54" s="84" t="n"/>
      <c r="F54" s="84" t="n"/>
      <c r="G54" s="85">
        <f>IF(OR(C54="",E54&lt;=0,DivMargen&lt;=0),0,IF(Redondeo&gt;0,CEILING(E54/DivMargen,Redondeo),E54/DivMargen))</f>
        <v/>
      </c>
      <c r="H54" s="85">
        <f>IF(OR(C54="",E54&lt;=0,F54&lt;=0),0,F54*DivBase-E54)</f>
        <v/>
      </c>
      <c r="I54" s="86">
        <f>IF(OR(C54="",E54&lt;=0,F54&lt;=0),0,H54/F54)</f>
        <v/>
      </c>
      <c r="J54" s="84" t="n"/>
      <c r="K54" s="85">
        <f>IF(OR(C54="",E54&lt;=0),0,E54*J54)</f>
        <v/>
      </c>
      <c r="L54" s="74">
        <f>IF(OR(C54="",E54&lt;=0),"",IF(F54&lt;=0,"Sin precio",IF(H54&lt;0,"PÉRDIDA",IF(I54&lt;MargenMin,"Margen bajo",IF(I54&lt;MargenObjReal,"Aceptable","Rentable")))))</f>
        <v/>
      </c>
      <c r="M54" s="83" t="n"/>
      <c r="N54" s="87">
        <f>IF(ISNUMBER(W54),RANK(W54,$W$7:$W$206),"")</f>
        <v/>
      </c>
      <c r="W54" s="88">
        <f>IF(AND(C54&lt;&gt;"",E54&gt;0,F54&gt;0),H54+ROW()/1000000000,"")</f>
        <v/>
      </c>
      <c r="X54" s="88">
        <f>IF(AND(C54&lt;&gt;"",E54&gt;0,F54&gt;0,OR(CatSel="Todas",D54=CatSel)),H54+ROW()/1000000000,"")</f>
        <v/>
      </c>
    </row>
    <row r="55">
      <c r="B55" s="83" t="n"/>
      <c r="C55" s="83" t="n"/>
      <c r="D55" s="83" t="n"/>
      <c r="E55" s="84" t="n"/>
      <c r="F55" s="84" t="n"/>
      <c r="G55" s="85">
        <f>IF(OR(C55="",E55&lt;=0,DivMargen&lt;=0),0,IF(Redondeo&gt;0,CEILING(E55/DivMargen,Redondeo),E55/DivMargen))</f>
        <v/>
      </c>
      <c r="H55" s="85">
        <f>IF(OR(C55="",E55&lt;=0,F55&lt;=0),0,F55*DivBase-E55)</f>
        <v/>
      </c>
      <c r="I55" s="86">
        <f>IF(OR(C55="",E55&lt;=0,F55&lt;=0),0,H55/F55)</f>
        <v/>
      </c>
      <c r="J55" s="84" t="n"/>
      <c r="K55" s="85">
        <f>IF(OR(C55="",E55&lt;=0),0,E55*J55)</f>
        <v/>
      </c>
      <c r="L55" s="74">
        <f>IF(OR(C55="",E55&lt;=0),"",IF(F55&lt;=0,"Sin precio",IF(H55&lt;0,"PÉRDIDA",IF(I55&lt;MargenMin,"Margen bajo",IF(I55&lt;MargenObjReal,"Aceptable","Rentable")))))</f>
        <v/>
      </c>
      <c r="M55" s="83" t="n"/>
      <c r="N55" s="87">
        <f>IF(ISNUMBER(W55),RANK(W55,$W$7:$W$206),"")</f>
        <v/>
      </c>
      <c r="W55" s="88">
        <f>IF(AND(C55&lt;&gt;"",E55&gt;0,F55&gt;0),H55+ROW()/1000000000,"")</f>
        <v/>
      </c>
      <c r="X55" s="88">
        <f>IF(AND(C55&lt;&gt;"",E55&gt;0,F55&gt;0,OR(CatSel="Todas",D55=CatSel)),H55+ROW()/1000000000,"")</f>
        <v/>
      </c>
    </row>
    <row r="56">
      <c r="B56" s="83" t="n"/>
      <c r="C56" s="83" t="n"/>
      <c r="D56" s="83" t="n"/>
      <c r="E56" s="84" t="n"/>
      <c r="F56" s="84" t="n"/>
      <c r="G56" s="85">
        <f>IF(OR(C56="",E56&lt;=0,DivMargen&lt;=0),0,IF(Redondeo&gt;0,CEILING(E56/DivMargen,Redondeo),E56/DivMargen))</f>
        <v/>
      </c>
      <c r="H56" s="85">
        <f>IF(OR(C56="",E56&lt;=0,F56&lt;=0),0,F56*DivBase-E56)</f>
        <v/>
      </c>
      <c r="I56" s="86">
        <f>IF(OR(C56="",E56&lt;=0,F56&lt;=0),0,H56/F56)</f>
        <v/>
      </c>
      <c r="J56" s="84" t="n"/>
      <c r="K56" s="85">
        <f>IF(OR(C56="",E56&lt;=0),0,E56*J56)</f>
        <v/>
      </c>
      <c r="L56" s="74">
        <f>IF(OR(C56="",E56&lt;=0),"",IF(F56&lt;=0,"Sin precio",IF(H56&lt;0,"PÉRDIDA",IF(I56&lt;MargenMin,"Margen bajo",IF(I56&lt;MargenObjReal,"Aceptable","Rentable")))))</f>
        <v/>
      </c>
      <c r="M56" s="83" t="n"/>
      <c r="N56" s="87">
        <f>IF(ISNUMBER(W56),RANK(W56,$W$7:$W$206),"")</f>
        <v/>
      </c>
      <c r="W56" s="88">
        <f>IF(AND(C56&lt;&gt;"",E56&gt;0,F56&gt;0),H56+ROW()/1000000000,"")</f>
        <v/>
      </c>
      <c r="X56" s="88">
        <f>IF(AND(C56&lt;&gt;"",E56&gt;0,F56&gt;0,OR(CatSel="Todas",D56=CatSel)),H56+ROW()/1000000000,"")</f>
        <v/>
      </c>
    </row>
    <row r="57">
      <c r="B57" s="83" t="n"/>
      <c r="C57" s="83" t="n"/>
      <c r="D57" s="83" t="n"/>
      <c r="E57" s="84" t="n"/>
      <c r="F57" s="84" t="n"/>
      <c r="G57" s="85">
        <f>IF(OR(C57="",E57&lt;=0,DivMargen&lt;=0),0,IF(Redondeo&gt;0,CEILING(E57/DivMargen,Redondeo),E57/DivMargen))</f>
        <v/>
      </c>
      <c r="H57" s="85">
        <f>IF(OR(C57="",E57&lt;=0,F57&lt;=0),0,F57*DivBase-E57)</f>
        <v/>
      </c>
      <c r="I57" s="86">
        <f>IF(OR(C57="",E57&lt;=0,F57&lt;=0),0,H57/F57)</f>
        <v/>
      </c>
      <c r="J57" s="84" t="n"/>
      <c r="K57" s="85">
        <f>IF(OR(C57="",E57&lt;=0),0,E57*J57)</f>
        <v/>
      </c>
      <c r="L57" s="74">
        <f>IF(OR(C57="",E57&lt;=0),"",IF(F57&lt;=0,"Sin precio",IF(H57&lt;0,"PÉRDIDA",IF(I57&lt;MargenMin,"Margen bajo",IF(I57&lt;MargenObjReal,"Aceptable","Rentable")))))</f>
        <v/>
      </c>
      <c r="M57" s="83" t="n"/>
      <c r="N57" s="87">
        <f>IF(ISNUMBER(W57),RANK(W57,$W$7:$W$206),"")</f>
        <v/>
      </c>
      <c r="W57" s="88">
        <f>IF(AND(C57&lt;&gt;"",E57&gt;0,F57&gt;0),H57+ROW()/1000000000,"")</f>
        <v/>
      </c>
      <c r="X57" s="88">
        <f>IF(AND(C57&lt;&gt;"",E57&gt;0,F57&gt;0,OR(CatSel="Todas",D57=CatSel)),H57+ROW()/1000000000,"")</f>
        <v/>
      </c>
    </row>
    <row r="58">
      <c r="B58" s="83" t="n"/>
      <c r="C58" s="83" t="n"/>
      <c r="D58" s="83" t="n"/>
      <c r="E58" s="84" t="n"/>
      <c r="F58" s="84" t="n"/>
      <c r="G58" s="85">
        <f>IF(OR(C58="",E58&lt;=0,DivMargen&lt;=0),0,IF(Redondeo&gt;0,CEILING(E58/DivMargen,Redondeo),E58/DivMargen))</f>
        <v/>
      </c>
      <c r="H58" s="85">
        <f>IF(OR(C58="",E58&lt;=0,F58&lt;=0),0,F58*DivBase-E58)</f>
        <v/>
      </c>
      <c r="I58" s="86">
        <f>IF(OR(C58="",E58&lt;=0,F58&lt;=0),0,H58/F58)</f>
        <v/>
      </c>
      <c r="J58" s="84" t="n"/>
      <c r="K58" s="85">
        <f>IF(OR(C58="",E58&lt;=0),0,E58*J58)</f>
        <v/>
      </c>
      <c r="L58" s="74">
        <f>IF(OR(C58="",E58&lt;=0),"",IF(F58&lt;=0,"Sin precio",IF(H58&lt;0,"PÉRDIDA",IF(I58&lt;MargenMin,"Margen bajo",IF(I58&lt;MargenObjReal,"Aceptable","Rentable")))))</f>
        <v/>
      </c>
      <c r="M58" s="83" t="n"/>
      <c r="N58" s="87">
        <f>IF(ISNUMBER(W58),RANK(W58,$W$7:$W$206),"")</f>
        <v/>
      </c>
      <c r="W58" s="88">
        <f>IF(AND(C58&lt;&gt;"",E58&gt;0,F58&gt;0),H58+ROW()/1000000000,"")</f>
        <v/>
      </c>
      <c r="X58" s="88">
        <f>IF(AND(C58&lt;&gt;"",E58&gt;0,F58&gt;0,OR(CatSel="Todas",D58=CatSel)),H58+ROW()/1000000000,"")</f>
        <v/>
      </c>
    </row>
    <row r="59">
      <c r="B59" s="83" t="n"/>
      <c r="C59" s="83" t="n"/>
      <c r="D59" s="83" t="n"/>
      <c r="E59" s="84" t="n"/>
      <c r="F59" s="84" t="n"/>
      <c r="G59" s="85">
        <f>IF(OR(C59="",E59&lt;=0,DivMargen&lt;=0),0,IF(Redondeo&gt;0,CEILING(E59/DivMargen,Redondeo),E59/DivMargen))</f>
        <v/>
      </c>
      <c r="H59" s="85">
        <f>IF(OR(C59="",E59&lt;=0,F59&lt;=0),0,F59*DivBase-E59)</f>
        <v/>
      </c>
      <c r="I59" s="86">
        <f>IF(OR(C59="",E59&lt;=0,F59&lt;=0),0,H59/F59)</f>
        <v/>
      </c>
      <c r="J59" s="84" t="n"/>
      <c r="K59" s="85">
        <f>IF(OR(C59="",E59&lt;=0),0,E59*J59)</f>
        <v/>
      </c>
      <c r="L59" s="74">
        <f>IF(OR(C59="",E59&lt;=0),"",IF(F59&lt;=0,"Sin precio",IF(H59&lt;0,"PÉRDIDA",IF(I59&lt;MargenMin,"Margen bajo",IF(I59&lt;MargenObjReal,"Aceptable","Rentable")))))</f>
        <v/>
      </c>
      <c r="M59" s="83" t="n"/>
      <c r="N59" s="87">
        <f>IF(ISNUMBER(W59),RANK(W59,$W$7:$W$206),"")</f>
        <v/>
      </c>
      <c r="W59" s="88">
        <f>IF(AND(C59&lt;&gt;"",E59&gt;0,F59&gt;0),H59+ROW()/1000000000,"")</f>
        <v/>
      </c>
      <c r="X59" s="88">
        <f>IF(AND(C59&lt;&gt;"",E59&gt;0,F59&gt;0,OR(CatSel="Todas",D59=CatSel)),H59+ROW()/1000000000,"")</f>
        <v/>
      </c>
    </row>
    <row r="60">
      <c r="B60" s="83" t="n"/>
      <c r="C60" s="83" t="n"/>
      <c r="D60" s="83" t="n"/>
      <c r="E60" s="84" t="n"/>
      <c r="F60" s="84" t="n"/>
      <c r="G60" s="85">
        <f>IF(OR(C60="",E60&lt;=0,DivMargen&lt;=0),0,IF(Redondeo&gt;0,CEILING(E60/DivMargen,Redondeo),E60/DivMargen))</f>
        <v/>
      </c>
      <c r="H60" s="85">
        <f>IF(OR(C60="",E60&lt;=0,F60&lt;=0),0,F60*DivBase-E60)</f>
        <v/>
      </c>
      <c r="I60" s="86">
        <f>IF(OR(C60="",E60&lt;=0,F60&lt;=0),0,H60/F60)</f>
        <v/>
      </c>
      <c r="J60" s="84" t="n"/>
      <c r="K60" s="85">
        <f>IF(OR(C60="",E60&lt;=0),0,E60*J60)</f>
        <v/>
      </c>
      <c r="L60" s="74">
        <f>IF(OR(C60="",E60&lt;=0),"",IF(F60&lt;=0,"Sin precio",IF(H60&lt;0,"PÉRDIDA",IF(I60&lt;MargenMin,"Margen bajo",IF(I60&lt;MargenObjReal,"Aceptable","Rentable")))))</f>
        <v/>
      </c>
      <c r="M60" s="83" t="n"/>
      <c r="N60" s="87">
        <f>IF(ISNUMBER(W60),RANK(W60,$W$7:$W$206),"")</f>
        <v/>
      </c>
      <c r="W60" s="88">
        <f>IF(AND(C60&lt;&gt;"",E60&gt;0,F60&gt;0),H60+ROW()/1000000000,"")</f>
        <v/>
      </c>
      <c r="X60" s="88">
        <f>IF(AND(C60&lt;&gt;"",E60&gt;0,F60&gt;0,OR(CatSel="Todas",D60=CatSel)),H60+ROW()/1000000000,"")</f>
        <v/>
      </c>
    </row>
    <row r="61">
      <c r="B61" s="83" t="n"/>
      <c r="C61" s="83" t="n"/>
      <c r="D61" s="83" t="n"/>
      <c r="E61" s="84" t="n"/>
      <c r="F61" s="84" t="n"/>
      <c r="G61" s="85">
        <f>IF(OR(C61="",E61&lt;=0,DivMargen&lt;=0),0,IF(Redondeo&gt;0,CEILING(E61/DivMargen,Redondeo),E61/DivMargen))</f>
        <v/>
      </c>
      <c r="H61" s="85">
        <f>IF(OR(C61="",E61&lt;=0,F61&lt;=0),0,F61*DivBase-E61)</f>
        <v/>
      </c>
      <c r="I61" s="86">
        <f>IF(OR(C61="",E61&lt;=0,F61&lt;=0),0,H61/F61)</f>
        <v/>
      </c>
      <c r="J61" s="84" t="n"/>
      <c r="K61" s="85">
        <f>IF(OR(C61="",E61&lt;=0),0,E61*J61)</f>
        <v/>
      </c>
      <c r="L61" s="74">
        <f>IF(OR(C61="",E61&lt;=0),"",IF(F61&lt;=0,"Sin precio",IF(H61&lt;0,"PÉRDIDA",IF(I61&lt;MargenMin,"Margen bajo",IF(I61&lt;MargenObjReal,"Aceptable","Rentable")))))</f>
        <v/>
      </c>
      <c r="M61" s="83" t="n"/>
      <c r="N61" s="87">
        <f>IF(ISNUMBER(W61),RANK(W61,$W$7:$W$206),"")</f>
        <v/>
      </c>
      <c r="W61" s="88">
        <f>IF(AND(C61&lt;&gt;"",E61&gt;0,F61&gt;0),H61+ROW()/1000000000,"")</f>
        <v/>
      </c>
      <c r="X61" s="88">
        <f>IF(AND(C61&lt;&gt;"",E61&gt;0,F61&gt;0,OR(CatSel="Todas",D61=CatSel)),H61+ROW()/1000000000,"")</f>
        <v/>
      </c>
    </row>
    <row r="62">
      <c r="B62" s="83" t="n"/>
      <c r="C62" s="83" t="n"/>
      <c r="D62" s="83" t="n"/>
      <c r="E62" s="84" t="n"/>
      <c r="F62" s="84" t="n"/>
      <c r="G62" s="85">
        <f>IF(OR(C62="",E62&lt;=0,DivMargen&lt;=0),0,IF(Redondeo&gt;0,CEILING(E62/DivMargen,Redondeo),E62/DivMargen))</f>
        <v/>
      </c>
      <c r="H62" s="85">
        <f>IF(OR(C62="",E62&lt;=0,F62&lt;=0),0,F62*DivBase-E62)</f>
        <v/>
      </c>
      <c r="I62" s="86">
        <f>IF(OR(C62="",E62&lt;=0,F62&lt;=0),0,H62/F62)</f>
        <v/>
      </c>
      <c r="J62" s="84" t="n"/>
      <c r="K62" s="85">
        <f>IF(OR(C62="",E62&lt;=0),0,E62*J62)</f>
        <v/>
      </c>
      <c r="L62" s="74">
        <f>IF(OR(C62="",E62&lt;=0),"",IF(F62&lt;=0,"Sin precio",IF(H62&lt;0,"PÉRDIDA",IF(I62&lt;MargenMin,"Margen bajo",IF(I62&lt;MargenObjReal,"Aceptable","Rentable")))))</f>
        <v/>
      </c>
      <c r="M62" s="83" t="n"/>
      <c r="N62" s="87">
        <f>IF(ISNUMBER(W62),RANK(W62,$W$7:$W$206),"")</f>
        <v/>
      </c>
      <c r="W62" s="88">
        <f>IF(AND(C62&lt;&gt;"",E62&gt;0,F62&gt;0),H62+ROW()/1000000000,"")</f>
        <v/>
      </c>
      <c r="X62" s="88">
        <f>IF(AND(C62&lt;&gt;"",E62&gt;0,F62&gt;0,OR(CatSel="Todas",D62=CatSel)),H62+ROW()/1000000000,"")</f>
        <v/>
      </c>
    </row>
    <row r="63">
      <c r="B63" s="83" t="n"/>
      <c r="C63" s="83" t="n"/>
      <c r="D63" s="83" t="n"/>
      <c r="E63" s="84" t="n"/>
      <c r="F63" s="84" t="n"/>
      <c r="G63" s="85">
        <f>IF(OR(C63="",E63&lt;=0,DivMargen&lt;=0),0,IF(Redondeo&gt;0,CEILING(E63/DivMargen,Redondeo),E63/DivMargen))</f>
        <v/>
      </c>
      <c r="H63" s="85">
        <f>IF(OR(C63="",E63&lt;=0,F63&lt;=0),0,F63*DivBase-E63)</f>
        <v/>
      </c>
      <c r="I63" s="86">
        <f>IF(OR(C63="",E63&lt;=0,F63&lt;=0),0,H63/F63)</f>
        <v/>
      </c>
      <c r="J63" s="84" t="n"/>
      <c r="K63" s="85">
        <f>IF(OR(C63="",E63&lt;=0),0,E63*J63)</f>
        <v/>
      </c>
      <c r="L63" s="74">
        <f>IF(OR(C63="",E63&lt;=0),"",IF(F63&lt;=0,"Sin precio",IF(H63&lt;0,"PÉRDIDA",IF(I63&lt;MargenMin,"Margen bajo",IF(I63&lt;MargenObjReal,"Aceptable","Rentable")))))</f>
        <v/>
      </c>
      <c r="M63" s="83" t="n"/>
      <c r="N63" s="87">
        <f>IF(ISNUMBER(W63),RANK(W63,$W$7:$W$206),"")</f>
        <v/>
      </c>
      <c r="W63" s="88">
        <f>IF(AND(C63&lt;&gt;"",E63&gt;0,F63&gt;0),H63+ROW()/1000000000,"")</f>
        <v/>
      </c>
      <c r="X63" s="88">
        <f>IF(AND(C63&lt;&gt;"",E63&gt;0,F63&gt;0,OR(CatSel="Todas",D63=CatSel)),H63+ROW()/1000000000,"")</f>
        <v/>
      </c>
    </row>
    <row r="64">
      <c r="B64" s="83" t="n"/>
      <c r="C64" s="83" t="n"/>
      <c r="D64" s="83" t="n"/>
      <c r="E64" s="84" t="n"/>
      <c r="F64" s="84" t="n"/>
      <c r="G64" s="85">
        <f>IF(OR(C64="",E64&lt;=0,DivMargen&lt;=0),0,IF(Redondeo&gt;0,CEILING(E64/DivMargen,Redondeo),E64/DivMargen))</f>
        <v/>
      </c>
      <c r="H64" s="85">
        <f>IF(OR(C64="",E64&lt;=0,F64&lt;=0),0,F64*DivBase-E64)</f>
        <v/>
      </c>
      <c r="I64" s="86">
        <f>IF(OR(C64="",E64&lt;=0,F64&lt;=0),0,H64/F64)</f>
        <v/>
      </c>
      <c r="J64" s="84" t="n"/>
      <c r="K64" s="85">
        <f>IF(OR(C64="",E64&lt;=0),0,E64*J64)</f>
        <v/>
      </c>
      <c r="L64" s="74">
        <f>IF(OR(C64="",E64&lt;=0),"",IF(F64&lt;=0,"Sin precio",IF(H64&lt;0,"PÉRDIDA",IF(I64&lt;MargenMin,"Margen bajo",IF(I64&lt;MargenObjReal,"Aceptable","Rentable")))))</f>
        <v/>
      </c>
      <c r="M64" s="83" t="n"/>
      <c r="N64" s="87">
        <f>IF(ISNUMBER(W64),RANK(W64,$W$7:$W$206),"")</f>
        <v/>
      </c>
      <c r="W64" s="88">
        <f>IF(AND(C64&lt;&gt;"",E64&gt;0,F64&gt;0),H64+ROW()/1000000000,"")</f>
        <v/>
      </c>
      <c r="X64" s="88">
        <f>IF(AND(C64&lt;&gt;"",E64&gt;0,F64&gt;0,OR(CatSel="Todas",D64=CatSel)),H64+ROW()/1000000000,"")</f>
        <v/>
      </c>
    </row>
    <row r="65">
      <c r="B65" s="83" t="n"/>
      <c r="C65" s="83" t="n"/>
      <c r="D65" s="83" t="n"/>
      <c r="E65" s="84" t="n"/>
      <c r="F65" s="84" t="n"/>
      <c r="G65" s="85">
        <f>IF(OR(C65="",E65&lt;=0,DivMargen&lt;=0),0,IF(Redondeo&gt;0,CEILING(E65/DivMargen,Redondeo),E65/DivMargen))</f>
        <v/>
      </c>
      <c r="H65" s="85">
        <f>IF(OR(C65="",E65&lt;=0,F65&lt;=0),0,F65*DivBase-E65)</f>
        <v/>
      </c>
      <c r="I65" s="86">
        <f>IF(OR(C65="",E65&lt;=0,F65&lt;=0),0,H65/F65)</f>
        <v/>
      </c>
      <c r="J65" s="84" t="n"/>
      <c r="K65" s="85">
        <f>IF(OR(C65="",E65&lt;=0),0,E65*J65)</f>
        <v/>
      </c>
      <c r="L65" s="74">
        <f>IF(OR(C65="",E65&lt;=0),"",IF(F65&lt;=0,"Sin precio",IF(H65&lt;0,"PÉRDIDA",IF(I65&lt;MargenMin,"Margen bajo",IF(I65&lt;MargenObjReal,"Aceptable","Rentable")))))</f>
        <v/>
      </c>
      <c r="M65" s="83" t="n"/>
      <c r="N65" s="87">
        <f>IF(ISNUMBER(W65),RANK(W65,$W$7:$W$206),"")</f>
        <v/>
      </c>
      <c r="W65" s="88">
        <f>IF(AND(C65&lt;&gt;"",E65&gt;0,F65&gt;0),H65+ROW()/1000000000,"")</f>
        <v/>
      </c>
      <c r="X65" s="88">
        <f>IF(AND(C65&lt;&gt;"",E65&gt;0,F65&gt;0,OR(CatSel="Todas",D65=CatSel)),H65+ROW()/1000000000,"")</f>
        <v/>
      </c>
    </row>
    <row r="66">
      <c r="B66" s="83" t="n"/>
      <c r="C66" s="83" t="n"/>
      <c r="D66" s="83" t="n"/>
      <c r="E66" s="84" t="n"/>
      <c r="F66" s="84" t="n"/>
      <c r="G66" s="85">
        <f>IF(OR(C66="",E66&lt;=0,DivMargen&lt;=0),0,IF(Redondeo&gt;0,CEILING(E66/DivMargen,Redondeo),E66/DivMargen))</f>
        <v/>
      </c>
      <c r="H66" s="85">
        <f>IF(OR(C66="",E66&lt;=0,F66&lt;=0),0,F66*DivBase-E66)</f>
        <v/>
      </c>
      <c r="I66" s="86">
        <f>IF(OR(C66="",E66&lt;=0,F66&lt;=0),0,H66/F66)</f>
        <v/>
      </c>
      <c r="J66" s="84" t="n"/>
      <c r="K66" s="85">
        <f>IF(OR(C66="",E66&lt;=0),0,E66*J66)</f>
        <v/>
      </c>
      <c r="L66" s="74">
        <f>IF(OR(C66="",E66&lt;=0),"",IF(F66&lt;=0,"Sin precio",IF(H66&lt;0,"PÉRDIDA",IF(I66&lt;MargenMin,"Margen bajo",IF(I66&lt;MargenObjReal,"Aceptable","Rentable")))))</f>
        <v/>
      </c>
      <c r="M66" s="83" t="n"/>
      <c r="N66" s="87">
        <f>IF(ISNUMBER(W66),RANK(W66,$W$7:$W$206),"")</f>
        <v/>
      </c>
      <c r="W66" s="88">
        <f>IF(AND(C66&lt;&gt;"",E66&gt;0,F66&gt;0),H66+ROW()/1000000000,"")</f>
        <v/>
      </c>
      <c r="X66" s="88">
        <f>IF(AND(C66&lt;&gt;"",E66&gt;0,F66&gt;0,OR(CatSel="Todas",D66=CatSel)),H66+ROW()/1000000000,"")</f>
        <v/>
      </c>
    </row>
    <row r="67">
      <c r="B67" s="83" t="n"/>
      <c r="C67" s="83" t="n"/>
      <c r="D67" s="83" t="n"/>
      <c r="E67" s="84" t="n"/>
      <c r="F67" s="84" t="n"/>
      <c r="G67" s="85">
        <f>IF(OR(C67="",E67&lt;=0,DivMargen&lt;=0),0,IF(Redondeo&gt;0,CEILING(E67/DivMargen,Redondeo),E67/DivMargen))</f>
        <v/>
      </c>
      <c r="H67" s="85">
        <f>IF(OR(C67="",E67&lt;=0,F67&lt;=0),0,F67*DivBase-E67)</f>
        <v/>
      </c>
      <c r="I67" s="86">
        <f>IF(OR(C67="",E67&lt;=0,F67&lt;=0),0,H67/F67)</f>
        <v/>
      </c>
      <c r="J67" s="84" t="n"/>
      <c r="K67" s="85">
        <f>IF(OR(C67="",E67&lt;=0),0,E67*J67)</f>
        <v/>
      </c>
      <c r="L67" s="74">
        <f>IF(OR(C67="",E67&lt;=0),"",IF(F67&lt;=0,"Sin precio",IF(H67&lt;0,"PÉRDIDA",IF(I67&lt;MargenMin,"Margen bajo",IF(I67&lt;MargenObjReal,"Aceptable","Rentable")))))</f>
        <v/>
      </c>
      <c r="M67" s="83" t="n"/>
      <c r="N67" s="87">
        <f>IF(ISNUMBER(W67),RANK(W67,$W$7:$W$206),"")</f>
        <v/>
      </c>
      <c r="W67" s="88">
        <f>IF(AND(C67&lt;&gt;"",E67&gt;0,F67&gt;0),H67+ROW()/1000000000,"")</f>
        <v/>
      </c>
      <c r="X67" s="88">
        <f>IF(AND(C67&lt;&gt;"",E67&gt;0,F67&gt;0,OR(CatSel="Todas",D67=CatSel)),H67+ROW()/1000000000,"")</f>
        <v/>
      </c>
    </row>
    <row r="68">
      <c r="B68" s="83" t="n"/>
      <c r="C68" s="83" t="n"/>
      <c r="D68" s="83" t="n"/>
      <c r="E68" s="84" t="n"/>
      <c r="F68" s="84" t="n"/>
      <c r="G68" s="85">
        <f>IF(OR(C68="",E68&lt;=0,DivMargen&lt;=0),0,IF(Redondeo&gt;0,CEILING(E68/DivMargen,Redondeo),E68/DivMargen))</f>
        <v/>
      </c>
      <c r="H68" s="85">
        <f>IF(OR(C68="",E68&lt;=0,F68&lt;=0),0,F68*DivBase-E68)</f>
        <v/>
      </c>
      <c r="I68" s="86">
        <f>IF(OR(C68="",E68&lt;=0,F68&lt;=0),0,H68/F68)</f>
        <v/>
      </c>
      <c r="J68" s="84" t="n"/>
      <c r="K68" s="85">
        <f>IF(OR(C68="",E68&lt;=0),0,E68*J68)</f>
        <v/>
      </c>
      <c r="L68" s="74">
        <f>IF(OR(C68="",E68&lt;=0),"",IF(F68&lt;=0,"Sin precio",IF(H68&lt;0,"PÉRDIDA",IF(I68&lt;MargenMin,"Margen bajo",IF(I68&lt;MargenObjReal,"Aceptable","Rentable")))))</f>
        <v/>
      </c>
      <c r="M68" s="83" t="n"/>
      <c r="N68" s="87">
        <f>IF(ISNUMBER(W68),RANK(W68,$W$7:$W$206),"")</f>
        <v/>
      </c>
      <c r="W68" s="88">
        <f>IF(AND(C68&lt;&gt;"",E68&gt;0,F68&gt;0),H68+ROW()/1000000000,"")</f>
        <v/>
      </c>
      <c r="X68" s="88">
        <f>IF(AND(C68&lt;&gt;"",E68&gt;0,F68&gt;0,OR(CatSel="Todas",D68=CatSel)),H68+ROW()/1000000000,"")</f>
        <v/>
      </c>
    </row>
    <row r="69">
      <c r="B69" s="83" t="n"/>
      <c r="C69" s="83" t="n"/>
      <c r="D69" s="83" t="n"/>
      <c r="E69" s="84" t="n"/>
      <c r="F69" s="84" t="n"/>
      <c r="G69" s="85">
        <f>IF(OR(C69="",E69&lt;=0,DivMargen&lt;=0),0,IF(Redondeo&gt;0,CEILING(E69/DivMargen,Redondeo),E69/DivMargen))</f>
        <v/>
      </c>
      <c r="H69" s="85">
        <f>IF(OR(C69="",E69&lt;=0,F69&lt;=0),0,F69*DivBase-E69)</f>
        <v/>
      </c>
      <c r="I69" s="86">
        <f>IF(OR(C69="",E69&lt;=0,F69&lt;=0),0,H69/F69)</f>
        <v/>
      </c>
      <c r="J69" s="84" t="n"/>
      <c r="K69" s="85">
        <f>IF(OR(C69="",E69&lt;=0),0,E69*J69)</f>
        <v/>
      </c>
      <c r="L69" s="74">
        <f>IF(OR(C69="",E69&lt;=0),"",IF(F69&lt;=0,"Sin precio",IF(H69&lt;0,"PÉRDIDA",IF(I69&lt;MargenMin,"Margen bajo",IF(I69&lt;MargenObjReal,"Aceptable","Rentable")))))</f>
        <v/>
      </c>
      <c r="M69" s="83" t="n"/>
      <c r="N69" s="87">
        <f>IF(ISNUMBER(W69),RANK(W69,$W$7:$W$206),"")</f>
        <v/>
      </c>
      <c r="W69" s="88">
        <f>IF(AND(C69&lt;&gt;"",E69&gt;0,F69&gt;0),H69+ROW()/1000000000,"")</f>
        <v/>
      </c>
      <c r="X69" s="88">
        <f>IF(AND(C69&lt;&gt;"",E69&gt;0,F69&gt;0,OR(CatSel="Todas",D69=CatSel)),H69+ROW()/1000000000,"")</f>
        <v/>
      </c>
    </row>
    <row r="70">
      <c r="B70" s="83" t="n"/>
      <c r="C70" s="83" t="n"/>
      <c r="D70" s="83" t="n"/>
      <c r="E70" s="84" t="n"/>
      <c r="F70" s="84" t="n"/>
      <c r="G70" s="85">
        <f>IF(OR(C70="",E70&lt;=0,DivMargen&lt;=0),0,IF(Redondeo&gt;0,CEILING(E70/DivMargen,Redondeo),E70/DivMargen))</f>
        <v/>
      </c>
      <c r="H70" s="85">
        <f>IF(OR(C70="",E70&lt;=0,F70&lt;=0),0,F70*DivBase-E70)</f>
        <v/>
      </c>
      <c r="I70" s="86">
        <f>IF(OR(C70="",E70&lt;=0,F70&lt;=0),0,H70/F70)</f>
        <v/>
      </c>
      <c r="J70" s="84" t="n"/>
      <c r="K70" s="85">
        <f>IF(OR(C70="",E70&lt;=0),0,E70*J70)</f>
        <v/>
      </c>
      <c r="L70" s="74">
        <f>IF(OR(C70="",E70&lt;=0),"",IF(F70&lt;=0,"Sin precio",IF(H70&lt;0,"PÉRDIDA",IF(I70&lt;MargenMin,"Margen bajo",IF(I70&lt;MargenObjReal,"Aceptable","Rentable")))))</f>
        <v/>
      </c>
      <c r="M70" s="83" t="n"/>
      <c r="N70" s="87">
        <f>IF(ISNUMBER(W70),RANK(W70,$W$7:$W$206),"")</f>
        <v/>
      </c>
      <c r="W70" s="88">
        <f>IF(AND(C70&lt;&gt;"",E70&gt;0,F70&gt;0),H70+ROW()/1000000000,"")</f>
        <v/>
      </c>
      <c r="X70" s="88">
        <f>IF(AND(C70&lt;&gt;"",E70&gt;0,F70&gt;0,OR(CatSel="Todas",D70=CatSel)),H70+ROW()/1000000000,"")</f>
        <v/>
      </c>
    </row>
    <row r="71">
      <c r="B71" s="83" t="n"/>
      <c r="C71" s="83" t="n"/>
      <c r="D71" s="83" t="n"/>
      <c r="E71" s="84" t="n"/>
      <c r="F71" s="84" t="n"/>
      <c r="G71" s="85">
        <f>IF(OR(C71="",E71&lt;=0,DivMargen&lt;=0),0,IF(Redondeo&gt;0,CEILING(E71/DivMargen,Redondeo),E71/DivMargen))</f>
        <v/>
      </c>
      <c r="H71" s="85">
        <f>IF(OR(C71="",E71&lt;=0,F71&lt;=0),0,F71*DivBase-E71)</f>
        <v/>
      </c>
      <c r="I71" s="86">
        <f>IF(OR(C71="",E71&lt;=0,F71&lt;=0),0,H71/F71)</f>
        <v/>
      </c>
      <c r="J71" s="84" t="n"/>
      <c r="K71" s="85">
        <f>IF(OR(C71="",E71&lt;=0),0,E71*J71)</f>
        <v/>
      </c>
      <c r="L71" s="74">
        <f>IF(OR(C71="",E71&lt;=0),"",IF(F71&lt;=0,"Sin precio",IF(H71&lt;0,"PÉRDIDA",IF(I71&lt;MargenMin,"Margen bajo",IF(I71&lt;MargenObjReal,"Aceptable","Rentable")))))</f>
        <v/>
      </c>
      <c r="M71" s="83" t="n"/>
      <c r="N71" s="87">
        <f>IF(ISNUMBER(W71),RANK(W71,$W$7:$W$206),"")</f>
        <v/>
      </c>
      <c r="W71" s="88">
        <f>IF(AND(C71&lt;&gt;"",E71&gt;0,F71&gt;0),H71+ROW()/1000000000,"")</f>
        <v/>
      </c>
      <c r="X71" s="88">
        <f>IF(AND(C71&lt;&gt;"",E71&gt;0,F71&gt;0,OR(CatSel="Todas",D71=CatSel)),H71+ROW()/1000000000,"")</f>
        <v/>
      </c>
    </row>
    <row r="72">
      <c r="B72" s="83" t="n"/>
      <c r="C72" s="83" t="n"/>
      <c r="D72" s="83" t="n"/>
      <c r="E72" s="84" t="n"/>
      <c r="F72" s="84" t="n"/>
      <c r="G72" s="85">
        <f>IF(OR(C72="",E72&lt;=0,DivMargen&lt;=0),0,IF(Redondeo&gt;0,CEILING(E72/DivMargen,Redondeo),E72/DivMargen))</f>
        <v/>
      </c>
      <c r="H72" s="85">
        <f>IF(OR(C72="",E72&lt;=0,F72&lt;=0),0,F72*DivBase-E72)</f>
        <v/>
      </c>
      <c r="I72" s="86">
        <f>IF(OR(C72="",E72&lt;=0,F72&lt;=0),0,H72/F72)</f>
        <v/>
      </c>
      <c r="J72" s="84" t="n"/>
      <c r="K72" s="85">
        <f>IF(OR(C72="",E72&lt;=0),0,E72*J72)</f>
        <v/>
      </c>
      <c r="L72" s="74">
        <f>IF(OR(C72="",E72&lt;=0),"",IF(F72&lt;=0,"Sin precio",IF(H72&lt;0,"PÉRDIDA",IF(I72&lt;MargenMin,"Margen bajo",IF(I72&lt;MargenObjReal,"Aceptable","Rentable")))))</f>
        <v/>
      </c>
      <c r="M72" s="83" t="n"/>
      <c r="N72" s="87">
        <f>IF(ISNUMBER(W72),RANK(W72,$W$7:$W$206),"")</f>
        <v/>
      </c>
      <c r="W72" s="88">
        <f>IF(AND(C72&lt;&gt;"",E72&gt;0,F72&gt;0),H72+ROW()/1000000000,"")</f>
        <v/>
      </c>
      <c r="X72" s="88">
        <f>IF(AND(C72&lt;&gt;"",E72&gt;0,F72&gt;0,OR(CatSel="Todas",D72=CatSel)),H72+ROW()/1000000000,"")</f>
        <v/>
      </c>
    </row>
    <row r="73">
      <c r="B73" s="83" t="n"/>
      <c r="C73" s="83" t="n"/>
      <c r="D73" s="83" t="n"/>
      <c r="E73" s="84" t="n"/>
      <c r="F73" s="84" t="n"/>
      <c r="G73" s="85">
        <f>IF(OR(C73="",E73&lt;=0,DivMargen&lt;=0),0,IF(Redondeo&gt;0,CEILING(E73/DivMargen,Redondeo),E73/DivMargen))</f>
        <v/>
      </c>
      <c r="H73" s="85">
        <f>IF(OR(C73="",E73&lt;=0,F73&lt;=0),0,F73*DivBase-E73)</f>
        <v/>
      </c>
      <c r="I73" s="86">
        <f>IF(OR(C73="",E73&lt;=0,F73&lt;=0),0,H73/F73)</f>
        <v/>
      </c>
      <c r="J73" s="84" t="n"/>
      <c r="K73" s="85">
        <f>IF(OR(C73="",E73&lt;=0),0,E73*J73)</f>
        <v/>
      </c>
      <c r="L73" s="74">
        <f>IF(OR(C73="",E73&lt;=0),"",IF(F73&lt;=0,"Sin precio",IF(H73&lt;0,"PÉRDIDA",IF(I73&lt;MargenMin,"Margen bajo",IF(I73&lt;MargenObjReal,"Aceptable","Rentable")))))</f>
        <v/>
      </c>
      <c r="M73" s="83" t="n"/>
      <c r="N73" s="87">
        <f>IF(ISNUMBER(W73),RANK(W73,$W$7:$W$206),"")</f>
        <v/>
      </c>
      <c r="W73" s="88">
        <f>IF(AND(C73&lt;&gt;"",E73&gt;0,F73&gt;0),H73+ROW()/1000000000,"")</f>
        <v/>
      </c>
      <c r="X73" s="88">
        <f>IF(AND(C73&lt;&gt;"",E73&gt;0,F73&gt;0,OR(CatSel="Todas",D73=CatSel)),H73+ROW()/1000000000,"")</f>
        <v/>
      </c>
    </row>
    <row r="74">
      <c r="B74" s="83" t="n"/>
      <c r="C74" s="83" t="n"/>
      <c r="D74" s="83" t="n"/>
      <c r="E74" s="84" t="n"/>
      <c r="F74" s="84" t="n"/>
      <c r="G74" s="85">
        <f>IF(OR(C74="",E74&lt;=0,DivMargen&lt;=0),0,IF(Redondeo&gt;0,CEILING(E74/DivMargen,Redondeo),E74/DivMargen))</f>
        <v/>
      </c>
      <c r="H74" s="85">
        <f>IF(OR(C74="",E74&lt;=0,F74&lt;=0),0,F74*DivBase-E74)</f>
        <v/>
      </c>
      <c r="I74" s="86">
        <f>IF(OR(C74="",E74&lt;=0,F74&lt;=0),0,H74/F74)</f>
        <v/>
      </c>
      <c r="J74" s="84" t="n"/>
      <c r="K74" s="85">
        <f>IF(OR(C74="",E74&lt;=0),0,E74*J74)</f>
        <v/>
      </c>
      <c r="L74" s="74">
        <f>IF(OR(C74="",E74&lt;=0),"",IF(F74&lt;=0,"Sin precio",IF(H74&lt;0,"PÉRDIDA",IF(I74&lt;MargenMin,"Margen bajo",IF(I74&lt;MargenObjReal,"Aceptable","Rentable")))))</f>
        <v/>
      </c>
      <c r="M74" s="83" t="n"/>
      <c r="N74" s="87">
        <f>IF(ISNUMBER(W74),RANK(W74,$W$7:$W$206),"")</f>
        <v/>
      </c>
      <c r="W74" s="88">
        <f>IF(AND(C74&lt;&gt;"",E74&gt;0,F74&gt;0),H74+ROW()/1000000000,"")</f>
        <v/>
      </c>
      <c r="X74" s="88">
        <f>IF(AND(C74&lt;&gt;"",E74&gt;0,F74&gt;0,OR(CatSel="Todas",D74=CatSel)),H74+ROW()/1000000000,"")</f>
        <v/>
      </c>
    </row>
    <row r="75">
      <c r="B75" s="83" t="n"/>
      <c r="C75" s="83" t="n"/>
      <c r="D75" s="83" t="n"/>
      <c r="E75" s="84" t="n"/>
      <c r="F75" s="84" t="n"/>
      <c r="G75" s="85">
        <f>IF(OR(C75="",E75&lt;=0,DivMargen&lt;=0),0,IF(Redondeo&gt;0,CEILING(E75/DivMargen,Redondeo),E75/DivMargen))</f>
        <v/>
      </c>
      <c r="H75" s="85">
        <f>IF(OR(C75="",E75&lt;=0,F75&lt;=0),0,F75*DivBase-E75)</f>
        <v/>
      </c>
      <c r="I75" s="86">
        <f>IF(OR(C75="",E75&lt;=0,F75&lt;=0),0,H75/F75)</f>
        <v/>
      </c>
      <c r="J75" s="84" t="n"/>
      <c r="K75" s="85">
        <f>IF(OR(C75="",E75&lt;=0),0,E75*J75)</f>
        <v/>
      </c>
      <c r="L75" s="74">
        <f>IF(OR(C75="",E75&lt;=0),"",IF(F75&lt;=0,"Sin precio",IF(H75&lt;0,"PÉRDIDA",IF(I75&lt;MargenMin,"Margen bajo",IF(I75&lt;MargenObjReal,"Aceptable","Rentable")))))</f>
        <v/>
      </c>
      <c r="M75" s="83" t="n"/>
      <c r="N75" s="87">
        <f>IF(ISNUMBER(W75),RANK(W75,$W$7:$W$206),"")</f>
        <v/>
      </c>
      <c r="W75" s="88">
        <f>IF(AND(C75&lt;&gt;"",E75&gt;0,F75&gt;0),H75+ROW()/1000000000,"")</f>
        <v/>
      </c>
      <c r="X75" s="88">
        <f>IF(AND(C75&lt;&gt;"",E75&gt;0,F75&gt;0,OR(CatSel="Todas",D75=CatSel)),H75+ROW()/1000000000,"")</f>
        <v/>
      </c>
    </row>
    <row r="76">
      <c r="B76" s="83" t="n"/>
      <c r="C76" s="83" t="n"/>
      <c r="D76" s="83" t="n"/>
      <c r="E76" s="84" t="n"/>
      <c r="F76" s="84" t="n"/>
      <c r="G76" s="85">
        <f>IF(OR(C76="",E76&lt;=0,DivMargen&lt;=0),0,IF(Redondeo&gt;0,CEILING(E76/DivMargen,Redondeo),E76/DivMargen))</f>
        <v/>
      </c>
      <c r="H76" s="85">
        <f>IF(OR(C76="",E76&lt;=0,F76&lt;=0),0,F76*DivBase-E76)</f>
        <v/>
      </c>
      <c r="I76" s="86">
        <f>IF(OR(C76="",E76&lt;=0,F76&lt;=0),0,H76/F76)</f>
        <v/>
      </c>
      <c r="J76" s="84" t="n"/>
      <c r="K76" s="85">
        <f>IF(OR(C76="",E76&lt;=0),0,E76*J76)</f>
        <v/>
      </c>
      <c r="L76" s="74">
        <f>IF(OR(C76="",E76&lt;=0),"",IF(F76&lt;=0,"Sin precio",IF(H76&lt;0,"PÉRDIDA",IF(I76&lt;MargenMin,"Margen bajo",IF(I76&lt;MargenObjReal,"Aceptable","Rentable")))))</f>
        <v/>
      </c>
      <c r="M76" s="83" t="n"/>
      <c r="N76" s="87">
        <f>IF(ISNUMBER(W76),RANK(W76,$W$7:$W$206),"")</f>
        <v/>
      </c>
      <c r="W76" s="88">
        <f>IF(AND(C76&lt;&gt;"",E76&gt;0,F76&gt;0),H76+ROW()/1000000000,"")</f>
        <v/>
      </c>
      <c r="X76" s="88">
        <f>IF(AND(C76&lt;&gt;"",E76&gt;0,F76&gt;0,OR(CatSel="Todas",D76=CatSel)),H76+ROW()/1000000000,"")</f>
        <v/>
      </c>
    </row>
    <row r="77">
      <c r="B77" s="83" t="n"/>
      <c r="C77" s="83" t="n"/>
      <c r="D77" s="83" t="n"/>
      <c r="E77" s="84" t="n"/>
      <c r="F77" s="84" t="n"/>
      <c r="G77" s="85">
        <f>IF(OR(C77="",E77&lt;=0,DivMargen&lt;=0),0,IF(Redondeo&gt;0,CEILING(E77/DivMargen,Redondeo),E77/DivMargen))</f>
        <v/>
      </c>
      <c r="H77" s="85">
        <f>IF(OR(C77="",E77&lt;=0,F77&lt;=0),0,F77*DivBase-E77)</f>
        <v/>
      </c>
      <c r="I77" s="86">
        <f>IF(OR(C77="",E77&lt;=0,F77&lt;=0),0,H77/F77)</f>
        <v/>
      </c>
      <c r="J77" s="84" t="n"/>
      <c r="K77" s="85">
        <f>IF(OR(C77="",E77&lt;=0),0,E77*J77)</f>
        <v/>
      </c>
      <c r="L77" s="74">
        <f>IF(OR(C77="",E77&lt;=0),"",IF(F77&lt;=0,"Sin precio",IF(H77&lt;0,"PÉRDIDA",IF(I77&lt;MargenMin,"Margen bajo",IF(I77&lt;MargenObjReal,"Aceptable","Rentable")))))</f>
        <v/>
      </c>
      <c r="M77" s="83" t="n"/>
      <c r="N77" s="87">
        <f>IF(ISNUMBER(W77),RANK(W77,$W$7:$W$206),"")</f>
        <v/>
      </c>
      <c r="W77" s="88">
        <f>IF(AND(C77&lt;&gt;"",E77&gt;0,F77&gt;0),H77+ROW()/1000000000,"")</f>
        <v/>
      </c>
      <c r="X77" s="88">
        <f>IF(AND(C77&lt;&gt;"",E77&gt;0,F77&gt;0,OR(CatSel="Todas",D77=CatSel)),H77+ROW()/1000000000,"")</f>
        <v/>
      </c>
    </row>
    <row r="78">
      <c r="B78" s="83" t="n"/>
      <c r="C78" s="83" t="n"/>
      <c r="D78" s="83" t="n"/>
      <c r="E78" s="84" t="n"/>
      <c r="F78" s="84" t="n"/>
      <c r="G78" s="85">
        <f>IF(OR(C78="",E78&lt;=0,DivMargen&lt;=0),0,IF(Redondeo&gt;0,CEILING(E78/DivMargen,Redondeo),E78/DivMargen))</f>
        <v/>
      </c>
      <c r="H78" s="85">
        <f>IF(OR(C78="",E78&lt;=0,F78&lt;=0),0,F78*DivBase-E78)</f>
        <v/>
      </c>
      <c r="I78" s="86">
        <f>IF(OR(C78="",E78&lt;=0,F78&lt;=0),0,H78/F78)</f>
        <v/>
      </c>
      <c r="J78" s="84" t="n"/>
      <c r="K78" s="85">
        <f>IF(OR(C78="",E78&lt;=0),0,E78*J78)</f>
        <v/>
      </c>
      <c r="L78" s="74">
        <f>IF(OR(C78="",E78&lt;=0),"",IF(F78&lt;=0,"Sin precio",IF(H78&lt;0,"PÉRDIDA",IF(I78&lt;MargenMin,"Margen bajo",IF(I78&lt;MargenObjReal,"Aceptable","Rentable")))))</f>
        <v/>
      </c>
      <c r="M78" s="83" t="n"/>
      <c r="N78" s="87">
        <f>IF(ISNUMBER(W78),RANK(W78,$W$7:$W$206),"")</f>
        <v/>
      </c>
      <c r="W78" s="88">
        <f>IF(AND(C78&lt;&gt;"",E78&gt;0,F78&gt;0),H78+ROW()/1000000000,"")</f>
        <v/>
      </c>
      <c r="X78" s="88">
        <f>IF(AND(C78&lt;&gt;"",E78&gt;0,F78&gt;0,OR(CatSel="Todas",D78=CatSel)),H78+ROW()/1000000000,"")</f>
        <v/>
      </c>
    </row>
    <row r="79">
      <c r="B79" s="83" t="n"/>
      <c r="C79" s="83" t="n"/>
      <c r="D79" s="83" t="n"/>
      <c r="E79" s="84" t="n"/>
      <c r="F79" s="84" t="n"/>
      <c r="G79" s="85">
        <f>IF(OR(C79="",E79&lt;=0,DivMargen&lt;=0),0,IF(Redondeo&gt;0,CEILING(E79/DivMargen,Redondeo),E79/DivMargen))</f>
        <v/>
      </c>
      <c r="H79" s="85">
        <f>IF(OR(C79="",E79&lt;=0,F79&lt;=0),0,F79*DivBase-E79)</f>
        <v/>
      </c>
      <c r="I79" s="86">
        <f>IF(OR(C79="",E79&lt;=0,F79&lt;=0),0,H79/F79)</f>
        <v/>
      </c>
      <c r="J79" s="84" t="n"/>
      <c r="K79" s="85">
        <f>IF(OR(C79="",E79&lt;=0),0,E79*J79)</f>
        <v/>
      </c>
      <c r="L79" s="74">
        <f>IF(OR(C79="",E79&lt;=0),"",IF(F79&lt;=0,"Sin precio",IF(H79&lt;0,"PÉRDIDA",IF(I79&lt;MargenMin,"Margen bajo",IF(I79&lt;MargenObjReal,"Aceptable","Rentable")))))</f>
        <v/>
      </c>
      <c r="M79" s="83" t="n"/>
      <c r="N79" s="87">
        <f>IF(ISNUMBER(W79),RANK(W79,$W$7:$W$206),"")</f>
        <v/>
      </c>
      <c r="W79" s="88">
        <f>IF(AND(C79&lt;&gt;"",E79&gt;0,F79&gt;0),H79+ROW()/1000000000,"")</f>
        <v/>
      </c>
      <c r="X79" s="88">
        <f>IF(AND(C79&lt;&gt;"",E79&gt;0,F79&gt;0,OR(CatSel="Todas",D79=CatSel)),H79+ROW()/1000000000,"")</f>
        <v/>
      </c>
    </row>
    <row r="80">
      <c r="B80" s="83" t="n"/>
      <c r="C80" s="83" t="n"/>
      <c r="D80" s="83" t="n"/>
      <c r="E80" s="84" t="n"/>
      <c r="F80" s="84" t="n"/>
      <c r="G80" s="85">
        <f>IF(OR(C80="",E80&lt;=0,DivMargen&lt;=0),0,IF(Redondeo&gt;0,CEILING(E80/DivMargen,Redondeo),E80/DivMargen))</f>
        <v/>
      </c>
      <c r="H80" s="85">
        <f>IF(OR(C80="",E80&lt;=0,F80&lt;=0),0,F80*DivBase-E80)</f>
        <v/>
      </c>
      <c r="I80" s="86">
        <f>IF(OR(C80="",E80&lt;=0,F80&lt;=0),0,H80/F80)</f>
        <v/>
      </c>
      <c r="J80" s="84" t="n"/>
      <c r="K80" s="85">
        <f>IF(OR(C80="",E80&lt;=0),0,E80*J80)</f>
        <v/>
      </c>
      <c r="L80" s="74">
        <f>IF(OR(C80="",E80&lt;=0),"",IF(F80&lt;=0,"Sin precio",IF(H80&lt;0,"PÉRDIDA",IF(I80&lt;MargenMin,"Margen bajo",IF(I80&lt;MargenObjReal,"Aceptable","Rentable")))))</f>
        <v/>
      </c>
      <c r="M80" s="83" t="n"/>
      <c r="N80" s="87">
        <f>IF(ISNUMBER(W80),RANK(W80,$W$7:$W$206),"")</f>
        <v/>
      </c>
      <c r="W80" s="88">
        <f>IF(AND(C80&lt;&gt;"",E80&gt;0,F80&gt;0),H80+ROW()/1000000000,"")</f>
        <v/>
      </c>
      <c r="X80" s="88">
        <f>IF(AND(C80&lt;&gt;"",E80&gt;0,F80&gt;0,OR(CatSel="Todas",D80=CatSel)),H80+ROW()/1000000000,"")</f>
        <v/>
      </c>
    </row>
    <row r="81">
      <c r="B81" s="83" t="n"/>
      <c r="C81" s="83" t="n"/>
      <c r="D81" s="83" t="n"/>
      <c r="E81" s="84" t="n"/>
      <c r="F81" s="84" t="n"/>
      <c r="G81" s="85">
        <f>IF(OR(C81="",E81&lt;=0,DivMargen&lt;=0),0,IF(Redondeo&gt;0,CEILING(E81/DivMargen,Redondeo),E81/DivMargen))</f>
        <v/>
      </c>
      <c r="H81" s="85">
        <f>IF(OR(C81="",E81&lt;=0,F81&lt;=0),0,F81*DivBase-E81)</f>
        <v/>
      </c>
      <c r="I81" s="86">
        <f>IF(OR(C81="",E81&lt;=0,F81&lt;=0),0,H81/F81)</f>
        <v/>
      </c>
      <c r="J81" s="84" t="n"/>
      <c r="K81" s="85">
        <f>IF(OR(C81="",E81&lt;=0),0,E81*J81)</f>
        <v/>
      </c>
      <c r="L81" s="74">
        <f>IF(OR(C81="",E81&lt;=0),"",IF(F81&lt;=0,"Sin precio",IF(H81&lt;0,"PÉRDIDA",IF(I81&lt;MargenMin,"Margen bajo",IF(I81&lt;MargenObjReal,"Aceptable","Rentable")))))</f>
        <v/>
      </c>
      <c r="M81" s="83" t="n"/>
      <c r="N81" s="87">
        <f>IF(ISNUMBER(W81),RANK(W81,$W$7:$W$206),"")</f>
        <v/>
      </c>
      <c r="W81" s="88">
        <f>IF(AND(C81&lt;&gt;"",E81&gt;0,F81&gt;0),H81+ROW()/1000000000,"")</f>
        <v/>
      </c>
      <c r="X81" s="88">
        <f>IF(AND(C81&lt;&gt;"",E81&gt;0,F81&gt;0,OR(CatSel="Todas",D81=CatSel)),H81+ROW()/1000000000,"")</f>
        <v/>
      </c>
    </row>
    <row r="82">
      <c r="B82" s="83" t="n"/>
      <c r="C82" s="83" t="n"/>
      <c r="D82" s="83" t="n"/>
      <c r="E82" s="84" t="n"/>
      <c r="F82" s="84" t="n"/>
      <c r="G82" s="85">
        <f>IF(OR(C82="",E82&lt;=0,DivMargen&lt;=0),0,IF(Redondeo&gt;0,CEILING(E82/DivMargen,Redondeo),E82/DivMargen))</f>
        <v/>
      </c>
      <c r="H82" s="85">
        <f>IF(OR(C82="",E82&lt;=0,F82&lt;=0),0,F82*DivBase-E82)</f>
        <v/>
      </c>
      <c r="I82" s="86">
        <f>IF(OR(C82="",E82&lt;=0,F82&lt;=0),0,H82/F82)</f>
        <v/>
      </c>
      <c r="J82" s="84" t="n"/>
      <c r="K82" s="85">
        <f>IF(OR(C82="",E82&lt;=0),0,E82*J82)</f>
        <v/>
      </c>
      <c r="L82" s="74">
        <f>IF(OR(C82="",E82&lt;=0),"",IF(F82&lt;=0,"Sin precio",IF(H82&lt;0,"PÉRDIDA",IF(I82&lt;MargenMin,"Margen bajo",IF(I82&lt;MargenObjReal,"Aceptable","Rentable")))))</f>
        <v/>
      </c>
      <c r="M82" s="83" t="n"/>
      <c r="N82" s="87">
        <f>IF(ISNUMBER(W82),RANK(W82,$W$7:$W$206),"")</f>
        <v/>
      </c>
      <c r="W82" s="88">
        <f>IF(AND(C82&lt;&gt;"",E82&gt;0,F82&gt;0),H82+ROW()/1000000000,"")</f>
        <v/>
      </c>
      <c r="X82" s="88">
        <f>IF(AND(C82&lt;&gt;"",E82&gt;0,F82&gt;0,OR(CatSel="Todas",D82=CatSel)),H82+ROW()/1000000000,"")</f>
        <v/>
      </c>
    </row>
    <row r="83">
      <c r="B83" s="83" t="n"/>
      <c r="C83" s="83" t="n"/>
      <c r="D83" s="83" t="n"/>
      <c r="E83" s="84" t="n"/>
      <c r="F83" s="84" t="n"/>
      <c r="G83" s="85">
        <f>IF(OR(C83="",E83&lt;=0,DivMargen&lt;=0),0,IF(Redondeo&gt;0,CEILING(E83/DivMargen,Redondeo),E83/DivMargen))</f>
        <v/>
      </c>
      <c r="H83" s="85">
        <f>IF(OR(C83="",E83&lt;=0,F83&lt;=0),0,F83*DivBase-E83)</f>
        <v/>
      </c>
      <c r="I83" s="86">
        <f>IF(OR(C83="",E83&lt;=0,F83&lt;=0),0,H83/F83)</f>
        <v/>
      </c>
      <c r="J83" s="84" t="n"/>
      <c r="K83" s="85">
        <f>IF(OR(C83="",E83&lt;=0),0,E83*J83)</f>
        <v/>
      </c>
      <c r="L83" s="74">
        <f>IF(OR(C83="",E83&lt;=0),"",IF(F83&lt;=0,"Sin precio",IF(H83&lt;0,"PÉRDIDA",IF(I83&lt;MargenMin,"Margen bajo",IF(I83&lt;MargenObjReal,"Aceptable","Rentable")))))</f>
        <v/>
      </c>
      <c r="M83" s="83" t="n"/>
      <c r="N83" s="87">
        <f>IF(ISNUMBER(W83),RANK(W83,$W$7:$W$206),"")</f>
        <v/>
      </c>
      <c r="W83" s="88">
        <f>IF(AND(C83&lt;&gt;"",E83&gt;0,F83&gt;0),H83+ROW()/1000000000,"")</f>
        <v/>
      </c>
      <c r="X83" s="88">
        <f>IF(AND(C83&lt;&gt;"",E83&gt;0,F83&gt;0,OR(CatSel="Todas",D83=CatSel)),H83+ROW()/1000000000,"")</f>
        <v/>
      </c>
    </row>
    <row r="84">
      <c r="B84" s="83" t="n"/>
      <c r="C84" s="83" t="n"/>
      <c r="D84" s="83" t="n"/>
      <c r="E84" s="84" t="n"/>
      <c r="F84" s="84" t="n"/>
      <c r="G84" s="85">
        <f>IF(OR(C84="",E84&lt;=0,DivMargen&lt;=0),0,IF(Redondeo&gt;0,CEILING(E84/DivMargen,Redondeo),E84/DivMargen))</f>
        <v/>
      </c>
      <c r="H84" s="85">
        <f>IF(OR(C84="",E84&lt;=0,F84&lt;=0),0,F84*DivBase-E84)</f>
        <v/>
      </c>
      <c r="I84" s="86">
        <f>IF(OR(C84="",E84&lt;=0,F84&lt;=0),0,H84/F84)</f>
        <v/>
      </c>
      <c r="J84" s="84" t="n"/>
      <c r="K84" s="85">
        <f>IF(OR(C84="",E84&lt;=0),0,E84*J84)</f>
        <v/>
      </c>
      <c r="L84" s="74">
        <f>IF(OR(C84="",E84&lt;=0),"",IF(F84&lt;=0,"Sin precio",IF(H84&lt;0,"PÉRDIDA",IF(I84&lt;MargenMin,"Margen bajo",IF(I84&lt;MargenObjReal,"Aceptable","Rentable")))))</f>
        <v/>
      </c>
      <c r="M84" s="83" t="n"/>
      <c r="N84" s="87">
        <f>IF(ISNUMBER(W84),RANK(W84,$W$7:$W$206),"")</f>
        <v/>
      </c>
      <c r="W84" s="88">
        <f>IF(AND(C84&lt;&gt;"",E84&gt;0,F84&gt;0),H84+ROW()/1000000000,"")</f>
        <v/>
      </c>
      <c r="X84" s="88">
        <f>IF(AND(C84&lt;&gt;"",E84&gt;0,F84&gt;0,OR(CatSel="Todas",D84=CatSel)),H84+ROW()/1000000000,"")</f>
        <v/>
      </c>
    </row>
    <row r="85">
      <c r="B85" s="83" t="n"/>
      <c r="C85" s="83" t="n"/>
      <c r="D85" s="83" t="n"/>
      <c r="E85" s="84" t="n"/>
      <c r="F85" s="84" t="n"/>
      <c r="G85" s="85">
        <f>IF(OR(C85="",E85&lt;=0,DivMargen&lt;=0),0,IF(Redondeo&gt;0,CEILING(E85/DivMargen,Redondeo),E85/DivMargen))</f>
        <v/>
      </c>
      <c r="H85" s="85">
        <f>IF(OR(C85="",E85&lt;=0,F85&lt;=0),0,F85*DivBase-E85)</f>
        <v/>
      </c>
      <c r="I85" s="86">
        <f>IF(OR(C85="",E85&lt;=0,F85&lt;=0),0,H85/F85)</f>
        <v/>
      </c>
      <c r="J85" s="84" t="n"/>
      <c r="K85" s="85">
        <f>IF(OR(C85="",E85&lt;=0),0,E85*J85)</f>
        <v/>
      </c>
      <c r="L85" s="74">
        <f>IF(OR(C85="",E85&lt;=0),"",IF(F85&lt;=0,"Sin precio",IF(H85&lt;0,"PÉRDIDA",IF(I85&lt;MargenMin,"Margen bajo",IF(I85&lt;MargenObjReal,"Aceptable","Rentable")))))</f>
        <v/>
      </c>
      <c r="M85" s="83" t="n"/>
      <c r="N85" s="87">
        <f>IF(ISNUMBER(W85),RANK(W85,$W$7:$W$206),"")</f>
        <v/>
      </c>
      <c r="W85" s="88">
        <f>IF(AND(C85&lt;&gt;"",E85&gt;0,F85&gt;0),H85+ROW()/1000000000,"")</f>
        <v/>
      </c>
      <c r="X85" s="88">
        <f>IF(AND(C85&lt;&gt;"",E85&gt;0,F85&gt;0,OR(CatSel="Todas",D85=CatSel)),H85+ROW()/1000000000,"")</f>
        <v/>
      </c>
    </row>
    <row r="86">
      <c r="B86" s="83" t="n"/>
      <c r="C86" s="83" t="n"/>
      <c r="D86" s="83" t="n"/>
      <c r="E86" s="84" t="n"/>
      <c r="F86" s="84" t="n"/>
      <c r="G86" s="85">
        <f>IF(OR(C86="",E86&lt;=0,DivMargen&lt;=0),0,IF(Redondeo&gt;0,CEILING(E86/DivMargen,Redondeo),E86/DivMargen))</f>
        <v/>
      </c>
      <c r="H86" s="85">
        <f>IF(OR(C86="",E86&lt;=0,F86&lt;=0),0,F86*DivBase-E86)</f>
        <v/>
      </c>
      <c r="I86" s="86">
        <f>IF(OR(C86="",E86&lt;=0,F86&lt;=0),0,H86/F86)</f>
        <v/>
      </c>
      <c r="J86" s="84" t="n"/>
      <c r="K86" s="85">
        <f>IF(OR(C86="",E86&lt;=0),0,E86*J86)</f>
        <v/>
      </c>
      <c r="L86" s="74">
        <f>IF(OR(C86="",E86&lt;=0),"",IF(F86&lt;=0,"Sin precio",IF(H86&lt;0,"PÉRDIDA",IF(I86&lt;MargenMin,"Margen bajo",IF(I86&lt;MargenObjReal,"Aceptable","Rentable")))))</f>
        <v/>
      </c>
      <c r="M86" s="83" t="n"/>
      <c r="N86" s="87">
        <f>IF(ISNUMBER(W86),RANK(W86,$W$7:$W$206),"")</f>
        <v/>
      </c>
      <c r="W86" s="88">
        <f>IF(AND(C86&lt;&gt;"",E86&gt;0,F86&gt;0),H86+ROW()/1000000000,"")</f>
        <v/>
      </c>
      <c r="X86" s="88">
        <f>IF(AND(C86&lt;&gt;"",E86&gt;0,F86&gt;0,OR(CatSel="Todas",D86=CatSel)),H86+ROW()/1000000000,"")</f>
        <v/>
      </c>
    </row>
    <row r="87">
      <c r="B87" s="83" t="n"/>
      <c r="C87" s="83" t="n"/>
      <c r="D87" s="83" t="n"/>
      <c r="E87" s="84" t="n"/>
      <c r="F87" s="84" t="n"/>
      <c r="G87" s="85">
        <f>IF(OR(C87="",E87&lt;=0,DivMargen&lt;=0),0,IF(Redondeo&gt;0,CEILING(E87/DivMargen,Redondeo),E87/DivMargen))</f>
        <v/>
      </c>
      <c r="H87" s="85">
        <f>IF(OR(C87="",E87&lt;=0,F87&lt;=0),0,F87*DivBase-E87)</f>
        <v/>
      </c>
      <c r="I87" s="86">
        <f>IF(OR(C87="",E87&lt;=0,F87&lt;=0),0,H87/F87)</f>
        <v/>
      </c>
      <c r="J87" s="84" t="n"/>
      <c r="K87" s="85">
        <f>IF(OR(C87="",E87&lt;=0),0,E87*J87)</f>
        <v/>
      </c>
      <c r="L87" s="74">
        <f>IF(OR(C87="",E87&lt;=0),"",IF(F87&lt;=0,"Sin precio",IF(H87&lt;0,"PÉRDIDA",IF(I87&lt;MargenMin,"Margen bajo",IF(I87&lt;MargenObjReal,"Aceptable","Rentable")))))</f>
        <v/>
      </c>
      <c r="M87" s="83" t="n"/>
      <c r="N87" s="87">
        <f>IF(ISNUMBER(W87),RANK(W87,$W$7:$W$206),"")</f>
        <v/>
      </c>
      <c r="W87" s="88">
        <f>IF(AND(C87&lt;&gt;"",E87&gt;0,F87&gt;0),H87+ROW()/1000000000,"")</f>
        <v/>
      </c>
      <c r="X87" s="88">
        <f>IF(AND(C87&lt;&gt;"",E87&gt;0,F87&gt;0,OR(CatSel="Todas",D87=CatSel)),H87+ROW()/1000000000,"")</f>
        <v/>
      </c>
    </row>
    <row r="88">
      <c r="B88" s="83" t="n"/>
      <c r="C88" s="83" t="n"/>
      <c r="D88" s="83" t="n"/>
      <c r="E88" s="84" t="n"/>
      <c r="F88" s="84" t="n"/>
      <c r="G88" s="85">
        <f>IF(OR(C88="",E88&lt;=0,DivMargen&lt;=0),0,IF(Redondeo&gt;0,CEILING(E88/DivMargen,Redondeo),E88/DivMargen))</f>
        <v/>
      </c>
      <c r="H88" s="85">
        <f>IF(OR(C88="",E88&lt;=0,F88&lt;=0),0,F88*DivBase-E88)</f>
        <v/>
      </c>
      <c r="I88" s="86">
        <f>IF(OR(C88="",E88&lt;=0,F88&lt;=0),0,H88/F88)</f>
        <v/>
      </c>
      <c r="J88" s="84" t="n"/>
      <c r="K88" s="85">
        <f>IF(OR(C88="",E88&lt;=0),0,E88*J88)</f>
        <v/>
      </c>
      <c r="L88" s="74">
        <f>IF(OR(C88="",E88&lt;=0),"",IF(F88&lt;=0,"Sin precio",IF(H88&lt;0,"PÉRDIDA",IF(I88&lt;MargenMin,"Margen bajo",IF(I88&lt;MargenObjReal,"Aceptable","Rentable")))))</f>
        <v/>
      </c>
      <c r="M88" s="83" t="n"/>
      <c r="N88" s="87">
        <f>IF(ISNUMBER(W88),RANK(W88,$W$7:$W$206),"")</f>
        <v/>
      </c>
      <c r="W88" s="88">
        <f>IF(AND(C88&lt;&gt;"",E88&gt;0,F88&gt;0),H88+ROW()/1000000000,"")</f>
        <v/>
      </c>
      <c r="X88" s="88">
        <f>IF(AND(C88&lt;&gt;"",E88&gt;0,F88&gt;0,OR(CatSel="Todas",D88=CatSel)),H88+ROW()/1000000000,"")</f>
        <v/>
      </c>
    </row>
    <row r="89">
      <c r="B89" s="83" t="n"/>
      <c r="C89" s="83" t="n"/>
      <c r="D89" s="83" t="n"/>
      <c r="E89" s="84" t="n"/>
      <c r="F89" s="84" t="n"/>
      <c r="G89" s="85">
        <f>IF(OR(C89="",E89&lt;=0,DivMargen&lt;=0),0,IF(Redondeo&gt;0,CEILING(E89/DivMargen,Redondeo),E89/DivMargen))</f>
        <v/>
      </c>
      <c r="H89" s="85">
        <f>IF(OR(C89="",E89&lt;=0,F89&lt;=0),0,F89*DivBase-E89)</f>
        <v/>
      </c>
      <c r="I89" s="86">
        <f>IF(OR(C89="",E89&lt;=0,F89&lt;=0),0,H89/F89)</f>
        <v/>
      </c>
      <c r="J89" s="84" t="n"/>
      <c r="K89" s="85">
        <f>IF(OR(C89="",E89&lt;=0),0,E89*J89)</f>
        <v/>
      </c>
      <c r="L89" s="74">
        <f>IF(OR(C89="",E89&lt;=0),"",IF(F89&lt;=0,"Sin precio",IF(H89&lt;0,"PÉRDIDA",IF(I89&lt;MargenMin,"Margen bajo",IF(I89&lt;MargenObjReal,"Aceptable","Rentable")))))</f>
        <v/>
      </c>
      <c r="M89" s="83" t="n"/>
      <c r="N89" s="87">
        <f>IF(ISNUMBER(W89),RANK(W89,$W$7:$W$206),"")</f>
        <v/>
      </c>
      <c r="W89" s="88">
        <f>IF(AND(C89&lt;&gt;"",E89&gt;0,F89&gt;0),H89+ROW()/1000000000,"")</f>
        <v/>
      </c>
      <c r="X89" s="88">
        <f>IF(AND(C89&lt;&gt;"",E89&gt;0,F89&gt;0,OR(CatSel="Todas",D89=CatSel)),H89+ROW()/1000000000,"")</f>
        <v/>
      </c>
    </row>
    <row r="90">
      <c r="B90" s="83" t="n"/>
      <c r="C90" s="83" t="n"/>
      <c r="D90" s="83" t="n"/>
      <c r="E90" s="84" t="n"/>
      <c r="F90" s="84" t="n"/>
      <c r="G90" s="85">
        <f>IF(OR(C90="",E90&lt;=0,DivMargen&lt;=0),0,IF(Redondeo&gt;0,CEILING(E90/DivMargen,Redondeo),E90/DivMargen))</f>
        <v/>
      </c>
      <c r="H90" s="85">
        <f>IF(OR(C90="",E90&lt;=0,F90&lt;=0),0,F90*DivBase-E90)</f>
        <v/>
      </c>
      <c r="I90" s="86">
        <f>IF(OR(C90="",E90&lt;=0,F90&lt;=0),0,H90/F90)</f>
        <v/>
      </c>
      <c r="J90" s="84" t="n"/>
      <c r="K90" s="85">
        <f>IF(OR(C90="",E90&lt;=0),0,E90*J90)</f>
        <v/>
      </c>
      <c r="L90" s="74">
        <f>IF(OR(C90="",E90&lt;=0),"",IF(F90&lt;=0,"Sin precio",IF(H90&lt;0,"PÉRDIDA",IF(I90&lt;MargenMin,"Margen bajo",IF(I90&lt;MargenObjReal,"Aceptable","Rentable")))))</f>
        <v/>
      </c>
      <c r="M90" s="83" t="n"/>
      <c r="N90" s="87">
        <f>IF(ISNUMBER(W90),RANK(W90,$W$7:$W$206),"")</f>
        <v/>
      </c>
      <c r="W90" s="88">
        <f>IF(AND(C90&lt;&gt;"",E90&gt;0,F90&gt;0),H90+ROW()/1000000000,"")</f>
        <v/>
      </c>
      <c r="X90" s="88">
        <f>IF(AND(C90&lt;&gt;"",E90&gt;0,F90&gt;0,OR(CatSel="Todas",D90=CatSel)),H90+ROW()/1000000000,"")</f>
        <v/>
      </c>
    </row>
    <row r="91">
      <c r="B91" s="83" t="n"/>
      <c r="C91" s="83" t="n"/>
      <c r="D91" s="83" t="n"/>
      <c r="E91" s="84" t="n"/>
      <c r="F91" s="84" t="n"/>
      <c r="G91" s="85">
        <f>IF(OR(C91="",E91&lt;=0,DivMargen&lt;=0),0,IF(Redondeo&gt;0,CEILING(E91/DivMargen,Redondeo),E91/DivMargen))</f>
        <v/>
      </c>
      <c r="H91" s="85">
        <f>IF(OR(C91="",E91&lt;=0,F91&lt;=0),0,F91*DivBase-E91)</f>
        <v/>
      </c>
      <c r="I91" s="86">
        <f>IF(OR(C91="",E91&lt;=0,F91&lt;=0),0,H91/F91)</f>
        <v/>
      </c>
      <c r="J91" s="84" t="n"/>
      <c r="K91" s="85">
        <f>IF(OR(C91="",E91&lt;=0),0,E91*J91)</f>
        <v/>
      </c>
      <c r="L91" s="74">
        <f>IF(OR(C91="",E91&lt;=0),"",IF(F91&lt;=0,"Sin precio",IF(H91&lt;0,"PÉRDIDA",IF(I91&lt;MargenMin,"Margen bajo",IF(I91&lt;MargenObjReal,"Aceptable","Rentable")))))</f>
        <v/>
      </c>
      <c r="M91" s="83" t="n"/>
      <c r="N91" s="87">
        <f>IF(ISNUMBER(W91),RANK(W91,$W$7:$W$206),"")</f>
        <v/>
      </c>
      <c r="W91" s="88">
        <f>IF(AND(C91&lt;&gt;"",E91&gt;0,F91&gt;0),H91+ROW()/1000000000,"")</f>
        <v/>
      </c>
      <c r="X91" s="88">
        <f>IF(AND(C91&lt;&gt;"",E91&gt;0,F91&gt;0,OR(CatSel="Todas",D91=CatSel)),H91+ROW()/1000000000,"")</f>
        <v/>
      </c>
    </row>
    <row r="92">
      <c r="B92" s="83" t="n"/>
      <c r="C92" s="83" t="n"/>
      <c r="D92" s="83" t="n"/>
      <c r="E92" s="84" t="n"/>
      <c r="F92" s="84" t="n"/>
      <c r="G92" s="85">
        <f>IF(OR(C92="",E92&lt;=0,DivMargen&lt;=0),0,IF(Redondeo&gt;0,CEILING(E92/DivMargen,Redondeo),E92/DivMargen))</f>
        <v/>
      </c>
      <c r="H92" s="85">
        <f>IF(OR(C92="",E92&lt;=0,F92&lt;=0),0,F92*DivBase-E92)</f>
        <v/>
      </c>
      <c r="I92" s="86">
        <f>IF(OR(C92="",E92&lt;=0,F92&lt;=0),0,H92/F92)</f>
        <v/>
      </c>
      <c r="J92" s="84" t="n"/>
      <c r="K92" s="85">
        <f>IF(OR(C92="",E92&lt;=0),0,E92*J92)</f>
        <v/>
      </c>
      <c r="L92" s="74">
        <f>IF(OR(C92="",E92&lt;=0),"",IF(F92&lt;=0,"Sin precio",IF(H92&lt;0,"PÉRDIDA",IF(I92&lt;MargenMin,"Margen bajo",IF(I92&lt;MargenObjReal,"Aceptable","Rentable")))))</f>
        <v/>
      </c>
      <c r="M92" s="83" t="n"/>
      <c r="N92" s="87">
        <f>IF(ISNUMBER(W92),RANK(W92,$W$7:$W$206),"")</f>
        <v/>
      </c>
      <c r="W92" s="88">
        <f>IF(AND(C92&lt;&gt;"",E92&gt;0,F92&gt;0),H92+ROW()/1000000000,"")</f>
        <v/>
      </c>
      <c r="X92" s="88">
        <f>IF(AND(C92&lt;&gt;"",E92&gt;0,F92&gt;0,OR(CatSel="Todas",D92=CatSel)),H92+ROW()/1000000000,"")</f>
        <v/>
      </c>
    </row>
    <row r="93">
      <c r="B93" s="83" t="n"/>
      <c r="C93" s="83" t="n"/>
      <c r="D93" s="83" t="n"/>
      <c r="E93" s="84" t="n"/>
      <c r="F93" s="84" t="n"/>
      <c r="G93" s="85">
        <f>IF(OR(C93="",E93&lt;=0,DivMargen&lt;=0),0,IF(Redondeo&gt;0,CEILING(E93/DivMargen,Redondeo),E93/DivMargen))</f>
        <v/>
      </c>
      <c r="H93" s="85">
        <f>IF(OR(C93="",E93&lt;=0,F93&lt;=0),0,F93*DivBase-E93)</f>
        <v/>
      </c>
      <c r="I93" s="86">
        <f>IF(OR(C93="",E93&lt;=0,F93&lt;=0),0,H93/F93)</f>
        <v/>
      </c>
      <c r="J93" s="84" t="n"/>
      <c r="K93" s="85">
        <f>IF(OR(C93="",E93&lt;=0),0,E93*J93)</f>
        <v/>
      </c>
      <c r="L93" s="74">
        <f>IF(OR(C93="",E93&lt;=0),"",IF(F93&lt;=0,"Sin precio",IF(H93&lt;0,"PÉRDIDA",IF(I93&lt;MargenMin,"Margen bajo",IF(I93&lt;MargenObjReal,"Aceptable","Rentable")))))</f>
        <v/>
      </c>
      <c r="M93" s="83" t="n"/>
      <c r="N93" s="87">
        <f>IF(ISNUMBER(W93),RANK(W93,$W$7:$W$206),"")</f>
        <v/>
      </c>
      <c r="W93" s="88">
        <f>IF(AND(C93&lt;&gt;"",E93&gt;0,F93&gt;0),H93+ROW()/1000000000,"")</f>
        <v/>
      </c>
      <c r="X93" s="88">
        <f>IF(AND(C93&lt;&gt;"",E93&gt;0,F93&gt;0,OR(CatSel="Todas",D93=CatSel)),H93+ROW()/1000000000,"")</f>
        <v/>
      </c>
    </row>
    <row r="94">
      <c r="B94" s="83" t="n"/>
      <c r="C94" s="83" t="n"/>
      <c r="D94" s="83" t="n"/>
      <c r="E94" s="84" t="n"/>
      <c r="F94" s="84" t="n"/>
      <c r="G94" s="85">
        <f>IF(OR(C94="",E94&lt;=0,DivMargen&lt;=0),0,IF(Redondeo&gt;0,CEILING(E94/DivMargen,Redondeo),E94/DivMargen))</f>
        <v/>
      </c>
      <c r="H94" s="85">
        <f>IF(OR(C94="",E94&lt;=0,F94&lt;=0),0,F94*DivBase-E94)</f>
        <v/>
      </c>
      <c r="I94" s="86">
        <f>IF(OR(C94="",E94&lt;=0,F94&lt;=0),0,H94/F94)</f>
        <v/>
      </c>
      <c r="J94" s="84" t="n"/>
      <c r="K94" s="85">
        <f>IF(OR(C94="",E94&lt;=0),0,E94*J94)</f>
        <v/>
      </c>
      <c r="L94" s="74">
        <f>IF(OR(C94="",E94&lt;=0),"",IF(F94&lt;=0,"Sin precio",IF(H94&lt;0,"PÉRDIDA",IF(I94&lt;MargenMin,"Margen bajo",IF(I94&lt;MargenObjReal,"Aceptable","Rentable")))))</f>
        <v/>
      </c>
      <c r="M94" s="83" t="n"/>
      <c r="N94" s="87">
        <f>IF(ISNUMBER(W94),RANK(W94,$W$7:$W$206),"")</f>
        <v/>
      </c>
      <c r="W94" s="88">
        <f>IF(AND(C94&lt;&gt;"",E94&gt;0,F94&gt;0),H94+ROW()/1000000000,"")</f>
        <v/>
      </c>
      <c r="X94" s="88">
        <f>IF(AND(C94&lt;&gt;"",E94&gt;0,F94&gt;0,OR(CatSel="Todas",D94=CatSel)),H94+ROW()/1000000000,"")</f>
        <v/>
      </c>
    </row>
    <row r="95">
      <c r="B95" s="83" t="n"/>
      <c r="C95" s="83" t="n"/>
      <c r="D95" s="83" t="n"/>
      <c r="E95" s="84" t="n"/>
      <c r="F95" s="84" t="n"/>
      <c r="G95" s="85">
        <f>IF(OR(C95="",E95&lt;=0,DivMargen&lt;=0),0,IF(Redondeo&gt;0,CEILING(E95/DivMargen,Redondeo),E95/DivMargen))</f>
        <v/>
      </c>
      <c r="H95" s="85">
        <f>IF(OR(C95="",E95&lt;=0,F95&lt;=0),0,F95*DivBase-E95)</f>
        <v/>
      </c>
      <c r="I95" s="86">
        <f>IF(OR(C95="",E95&lt;=0,F95&lt;=0),0,H95/F95)</f>
        <v/>
      </c>
      <c r="J95" s="84" t="n"/>
      <c r="K95" s="85">
        <f>IF(OR(C95="",E95&lt;=0),0,E95*J95)</f>
        <v/>
      </c>
      <c r="L95" s="74">
        <f>IF(OR(C95="",E95&lt;=0),"",IF(F95&lt;=0,"Sin precio",IF(H95&lt;0,"PÉRDIDA",IF(I95&lt;MargenMin,"Margen bajo",IF(I95&lt;MargenObjReal,"Aceptable","Rentable")))))</f>
        <v/>
      </c>
      <c r="M95" s="83" t="n"/>
      <c r="N95" s="87">
        <f>IF(ISNUMBER(W95),RANK(W95,$W$7:$W$206),"")</f>
        <v/>
      </c>
      <c r="W95" s="88">
        <f>IF(AND(C95&lt;&gt;"",E95&gt;0,F95&gt;0),H95+ROW()/1000000000,"")</f>
        <v/>
      </c>
      <c r="X95" s="88">
        <f>IF(AND(C95&lt;&gt;"",E95&gt;0,F95&gt;0,OR(CatSel="Todas",D95=CatSel)),H95+ROW()/1000000000,"")</f>
        <v/>
      </c>
    </row>
    <row r="96">
      <c r="B96" s="83" t="n"/>
      <c r="C96" s="83" t="n"/>
      <c r="D96" s="83" t="n"/>
      <c r="E96" s="84" t="n"/>
      <c r="F96" s="84" t="n"/>
      <c r="G96" s="85">
        <f>IF(OR(C96="",E96&lt;=0,DivMargen&lt;=0),0,IF(Redondeo&gt;0,CEILING(E96/DivMargen,Redondeo),E96/DivMargen))</f>
        <v/>
      </c>
      <c r="H96" s="85">
        <f>IF(OR(C96="",E96&lt;=0,F96&lt;=0),0,F96*DivBase-E96)</f>
        <v/>
      </c>
      <c r="I96" s="86">
        <f>IF(OR(C96="",E96&lt;=0,F96&lt;=0),0,H96/F96)</f>
        <v/>
      </c>
      <c r="J96" s="84" t="n"/>
      <c r="K96" s="85">
        <f>IF(OR(C96="",E96&lt;=0),0,E96*J96)</f>
        <v/>
      </c>
      <c r="L96" s="74">
        <f>IF(OR(C96="",E96&lt;=0),"",IF(F96&lt;=0,"Sin precio",IF(H96&lt;0,"PÉRDIDA",IF(I96&lt;MargenMin,"Margen bajo",IF(I96&lt;MargenObjReal,"Aceptable","Rentable")))))</f>
        <v/>
      </c>
      <c r="M96" s="83" t="n"/>
      <c r="N96" s="87">
        <f>IF(ISNUMBER(W96),RANK(W96,$W$7:$W$206),"")</f>
        <v/>
      </c>
      <c r="W96" s="88">
        <f>IF(AND(C96&lt;&gt;"",E96&gt;0,F96&gt;0),H96+ROW()/1000000000,"")</f>
        <v/>
      </c>
      <c r="X96" s="88">
        <f>IF(AND(C96&lt;&gt;"",E96&gt;0,F96&gt;0,OR(CatSel="Todas",D96=CatSel)),H96+ROW()/1000000000,"")</f>
        <v/>
      </c>
    </row>
    <row r="97">
      <c r="B97" s="83" t="n"/>
      <c r="C97" s="83" t="n"/>
      <c r="D97" s="83" t="n"/>
      <c r="E97" s="84" t="n"/>
      <c r="F97" s="84" t="n"/>
      <c r="G97" s="85">
        <f>IF(OR(C97="",E97&lt;=0,DivMargen&lt;=0),0,IF(Redondeo&gt;0,CEILING(E97/DivMargen,Redondeo),E97/DivMargen))</f>
        <v/>
      </c>
      <c r="H97" s="85">
        <f>IF(OR(C97="",E97&lt;=0,F97&lt;=0),0,F97*DivBase-E97)</f>
        <v/>
      </c>
      <c r="I97" s="86">
        <f>IF(OR(C97="",E97&lt;=0,F97&lt;=0),0,H97/F97)</f>
        <v/>
      </c>
      <c r="J97" s="84" t="n"/>
      <c r="K97" s="85">
        <f>IF(OR(C97="",E97&lt;=0),0,E97*J97)</f>
        <v/>
      </c>
      <c r="L97" s="74">
        <f>IF(OR(C97="",E97&lt;=0),"",IF(F97&lt;=0,"Sin precio",IF(H97&lt;0,"PÉRDIDA",IF(I97&lt;MargenMin,"Margen bajo",IF(I97&lt;MargenObjReal,"Aceptable","Rentable")))))</f>
        <v/>
      </c>
      <c r="M97" s="83" t="n"/>
      <c r="N97" s="87">
        <f>IF(ISNUMBER(W97),RANK(W97,$W$7:$W$206),"")</f>
        <v/>
      </c>
      <c r="W97" s="88">
        <f>IF(AND(C97&lt;&gt;"",E97&gt;0,F97&gt;0),H97+ROW()/1000000000,"")</f>
        <v/>
      </c>
      <c r="X97" s="88">
        <f>IF(AND(C97&lt;&gt;"",E97&gt;0,F97&gt;0,OR(CatSel="Todas",D97=CatSel)),H97+ROW()/1000000000,"")</f>
        <v/>
      </c>
    </row>
    <row r="98">
      <c r="B98" s="83" t="n"/>
      <c r="C98" s="83" t="n"/>
      <c r="D98" s="83" t="n"/>
      <c r="E98" s="84" t="n"/>
      <c r="F98" s="84" t="n"/>
      <c r="G98" s="85">
        <f>IF(OR(C98="",E98&lt;=0,DivMargen&lt;=0),0,IF(Redondeo&gt;0,CEILING(E98/DivMargen,Redondeo),E98/DivMargen))</f>
        <v/>
      </c>
      <c r="H98" s="85">
        <f>IF(OR(C98="",E98&lt;=0,F98&lt;=0),0,F98*DivBase-E98)</f>
        <v/>
      </c>
      <c r="I98" s="86">
        <f>IF(OR(C98="",E98&lt;=0,F98&lt;=0),0,H98/F98)</f>
        <v/>
      </c>
      <c r="J98" s="84" t="n"/>
      <c r="K98" s="85">
        <f>IF(OR(C98="",E98&lt;=0),0,E98*J98)</f>
        <v/>
      </c>
      <c r="L98" s="74">
        <f>IF(OR(C98="",E98&lt;=0),"",IF(F98&lt;=0,"Sin precio",IF(H98&lt;0,"PÉRDIDA",IF(I98&lt;MargenMin,"Margen bajo",IF(I98&lt;MargenObjReal,"Aceptable","Rentable")))))</f>
        <v/>
      </c>
      <c r="M98" s="83" t="n"/>
      <c r="N98" s="87">
        <f>IF(ISNUMBER(W98),RANK(W98,$W$7:$W$206),"")</f>
        <v/>
      </c>
      <c r="W98" s="88">
        <f>IF(AND(C98&lt;&gt;"",E98&gt;0,F98&gt;0),H98+ROW()/1000000000,"")</f>
        <v/>
      </c>
      <c r="X98" s="88">
        <f>IF(AND(C98&lt;&gt;"",E98&gt;0,F98&gt;0,OR(CatSel="Todas",D98=CatSel)),H98+ROW()/1000000000,"")</f>
        <v/>
      </c>
    </row>
    <row r="99">
      <c r="B99" s="83" t="n"/>
      <c r="C99" s="83" t="n"/>
      <c r="D99" s="83" t="n"/>
      <c r="E99" s="84" t="n"/>
      <c r="F99" s="84" t="n"/>
      <c r="G99" s="85">
        <f>IF(OR(C99="",E99&lt;=0,DivMargen&lt;=0),0,IF(Redondeo&gt;0,CEILING(E99/DivMargen,Redondeo),E99/DivMargen))</f>
        <v/>
      </c>
      <c r="H99" s="85">
        <f>IF(OR(C99="",E99&lt;=0,F99&lt;=0),0,F99*DivBase-E99)</f>
        <v/>
      </c>
      <c r="I99" s="86">
        <f>IF(OR(C99="",E99&lt;=0,F99&lt;=0),0,H99/F99)</f>
        <v/>
      </c>
      <c r="J99" s="84" t="n"/>
      <c r="K99" s="85">
        <f>IF(OR(C99="",E99&lt;=0),0,E99*J99)</f>
        <v/>
      </c>
      <c r="L99" s="74">
        <f>IF(OR(C99="",E99&lt;=0),"",IF(F99&lt;=0,"Sin precio",IF(H99&lt;0,"PÉRDIDA",IF(I99&lt;MargenMin,"Margen bajo",IF(I99&lt;MargenObjReal,"Aceptable","Rentable")))))</f>
        <v/>
      </c>
      <c r="M99" s="83" t="n"/>
      <c r="N99" s="87">
        <f>IF(ISNUMBER(W99),RANK(W99,$W$7:$W$206),"")</f>
        <v/>
      </c>
      <c r="W99" s="88">
        <f>IF(AND(C99&lt;&gt;"",E99&gt;0,F99&gt;0),H99+ROW()/1000000000,"")</f>
        <v/>
      </c>
      <c r="X99" s="88">
        <f>IF(AND(C99&lt;&gt;"",E99&gt;0,F99&gt;0,OR(CatSel="Todas",D99=CatSel)),H99+ROW()/1000000000,"")</f>
        <v/>
      </c>
    </row>
    <row r="100">
      <c r="B100" s="83" t="n"/>
      <c r="C100" s="83" t="n"/>
      <c r="D100" s="83" t="n"/>
      <c r="E100" s="84" t="n"/>
      <c r="F100" s="84" t="n"/>
      <c r="G100" s="85">
        <f>IF(OR(C100="",E100&lt;=0,DivMargen&lt;=0),0,IF(Redondeo&gt;0,CEILING(E100/DivMargen,Redondeo),E100/DivMargen))</f>
        <v/>
      </c>
      <c r="H100" s="85">
        <f>IF(OR(C100="",E100&lt;=0,F100&lt;=0),0,F100*DivBase-E100)</f>
        <v/>
      </c>
      <c r="I100" s="86">
        <f>IF(OR(C100="",E100&lt;=0,F100&lt;=0),0,H100/F100)</f>
        <v/>
      </c>
      <c r="J100" s="84" t="n"/>
      <c r="K100" s="85">
        <f>IF(OR(C100="",E100&lt;=0),0,E100*J100)</f>
        <v/>
      </c>
      <c r="L100" s="74">
        <f>IF(OR(C100="",E100&lt;=0),"",IF(F100&lt;=0,"Sin precio",IF(H100&lt;0,"PÉRDIDA",IF(I100&lt;MargenMin,"Margen bajo",IF(I100&lt;MargenObjReal,"Aceptable","Rentable")))))</f>
        <v/>
      </c>
      <c r="M100" s="83" t="n"/>
      <c r="N100" s="87">
        <f>IF(ISNUMBER(W100),RANK(W100,$W$7:$W$206),"")</f>
        <v/>
      </c>
      <c r="W100" s="88">
        <f>IF(AND(C100&lt;&gt;"",E100&gt;0,F100&gt;0),H100+ROW()/1000000000,"")</f>
        <v/>
      </c>
      <c r="X100" s="88">
        <f>IF(AND(C100&lt;&gt;"",E100&gt;0,F100&gt;0,OR(CatSel="Todas",D100=CatSel)),H100+ROW()/1000000000,"")</f>
        <v/>
      </c>
    </row>
    <row r="101">
      <c r="B101" s="83" t="n"/>
      <c r="C101" s="83" t="n"/>
      <c r="D101" s="83" t="n"/>
      <c r="E101" s="84" t="n"/>
      <c r="F101" s="84" t="n"/>
      <c r="G101" s="85">
        <f>IF(OR(C101="",E101&lt;=0,DivMargen&lt;=0),0,IF(Redondeo&gt;0,CEILING(E101/DivMargen,Redondeo),E101/DivMargen))</f>
        <v/>
      </c>
      <c r="H101" s="85">
        <f>IF(OR(C101="",E101&lt;=0,F101&lt;=0),0,F101*DivBase-E101)</f>
        <v/>
      </c>
      <c r="I101" s="86">
        <f>IF(OR(C101="",E101&lt;=0,F101&lt;=0),0,H101/F101)</f>
        <v/>
      </c>
      <c r="J101" s="84" t="n"/>
      <c r="K101" s="85">
        <f>IF(OR(C101="",E101&lt;=0),0,E101*J101)</f>
        <v/>
      </c>
      <c r="L101" s="74">
        <f>IF(OR(C101="",E101&lt;=0),"",IF(F101&lt;=0,"Sin precio",IF(H101&lt;0,"PÉRDIDA",IF(I101&lt;MargenMin,"Margen bajo",IF(I101&lt;MargenObjReal,"Aceptable","Rentable")))))</f>
        <v/>
      </c>
      <c r="M101" s="83" t="n"/>
      <c r="N101" s="87">
        <f>IF(ISNUMBER(W101),RANK(W101,$W$7:$W$206),"")</f>
        <v/>
      </c>
      <c r="W101" s="88">
        <f>IF(AND(C101&lt;&gt;"",E101&gt;0,F101&gt;0),H101+ROW()/1000000000,"")</f>
        <v/>
      </c>
      <c r="X101" s="88">
        <f>IF(AND(C101&lt;&gt;"",E101&gt;0,F101&gt;0,OR(CatSel="Todas",D101=CatSel)),H101+ROW()/1000000000,"")</f>
        <v/>
      </c>
    </row>
    <row r="102">
      <c r="B102" s="83" t="n"/>
      <c r="C102" s="83" t="n"/>
      <c r="D102" s="83" t="n"/>
      <c r="E102" s="84" t="n"/>
      <c r="F102" s="84" t="n"/>
      <c r="G102" s="85">
        <f>IF(OR(C102="",E102&lt;=0,DivMargen&lt;=0),0,IF(Redondeo&gt;0,CEILING(E102/DivMargen,Redondeo),E102/DivMargen))</f>
        <v/>
      </c>
      <c r="H102" s="85">
        <f>IF(OR(C102="",E102&lt;=0,F102&lt;=0),0,F102*DivBase-E102)</f>
        <v/>
      </c>
      <c r="I102" s="86">
        <f>IF(OR(C102="",E102&lt;=0,F102&lt;=0),0,H102/F102)</f>
        <v/>
      </c>
      <c r="J102" s="84" t="n"/>
      <c r="K102" s="85">
        <f>IF(OR(C102="",E102&lt;=0),0,E102*J102)</f>
        <v/>
      </c>
      <c r="L102" s="74">
        <f>IF(OR(C102="",E102&lt;=0),"",IF(F102&lt;=0,"Sin precio",IF(H102&lt;0,"PÉRDIDA",IF(I102&lt;MargenMin,"Margen bajo",IF(I102&lt;MargenObjReal,"Aceptable","Rentable")))))</f>
        <v/>
      </c>
      <c r="M102" s="83" t="n"/>
      <c r="N102" s="87">
        <f>IF(ISNUMBER(W102),RANK(W102,$W$7:$W$206),"")</f>
        <v/>
      </c>
      <c r="W102" s="88">
        <f>IF(AND(C102&lt;&gt;"",E102&gt;0,F102&gt;0),H102+ROW()/1000000000,"")</f>
        <v/>
      </c>
      <c r="X102" s="88">
        <f>IF(AND(C102&lt;&gt;"",E102&gt;0,F102&gt;0,OR(CatSel="Todas",D102=CatSel)),H102+ROW()/1000000000,"")</f>
        <v/>
      </c>
    </row>
    <row r="103">
      <c r="B103" s="83" t="n"/>
      <c r="C103" s="83" t="n"/>
      <c r="D103" s="83" t="n"/>
      <c r="E103" s="84" t="n"/>
      <c r="F103" s="84" t="n"/>
      <c r="G103" s="85">
        <f>IF(OR(C103="",E103&lt;=0,DivMargen&lt;=0),0,IF(Redondeo&gt;0,CEILING(E103/DivMargen,Redondeo),E103/DivMargen))</f>
        <v/>
      </c>
      <c r="H103" s="85">
        <f>IF(OR(C103="",E103&lt;=0,F103&lt;=0),0,F103*DivBase-E103)</f>
        <v/>
      </c>
      <c r="I103" s="86">
        <f>IF(OR(C103="",E103&lt;=0,F103&lt;=0),0,H103/F103)</f>
        <v/>
      </c>
      <c r="J103" s="84" t="n"/>
      <c r="K103" s="85">
        <f>IF(OR(C103="",E103&lt;=0),0,E103*J103)</f>
        <v/>
      </c>
      <c r="L103" s="74">
        <f>IF(OR(C103="",E103&lt;=0),"",IF(F103&lt;=0,"Sin precio",IF(H103&lt;0,"PÉRDIDA",IF(I103&lt;MargenMin,"Margen bajo",IF(I103&lt;MargenObjReal,"Aceptable","Rentable")))))</f>
        <v/>
      </c>
      <c r="M103" s="83" t="n"/>
      <c r="N103" s="87">
        <f>IF(ISNUMBER(W103),RANK(W103,$W$7:$W$206),"")</f>
        <v/>
      </c>
      <c r="W103" s="88">
        <f>IF(AND(C103&lt;&gt;"",E103&gt;0,F103&gt;0),H103+ROW()/1000000000,"")</f>
        <v/>
      </c>
      <c r="X103" s="88">
        <f>IF(AND(C103&lt;&gt;"",E103&gt;0,F103&gt;0,OR(CatSel="Todas",D103=CatSel)),H103+ROW()/1000000000,"")</f>
        <v/>
      </c>
    </row>
    <row r="104">
      <c r="B104" s="83" t="n"/>
      <c r="C104" s="83" t="n"/>
      <c r="D104" s="83" t="n"/>
      <c r="E104" s="84" t="n"/>
      <c r="F104" s="84" t="n"/>
      <c r="G104" s="85">
        <f>IF(OR(C104="",E104&lt;=0,DivMargen&lt;=0),0,IF(Redondeo&gt;0,CEILING(E104/DivMargen,Redondeo),E104/DivMargen))</f>
        <v/>
      </c>
      <c r="H104" s="85">
        <f>IF(OR(C104="",E104&lt;=0,F104&lt;=0),0,F104*DivBase-E104)</f>
        <v/>
      </c>
      <c r="I104" s="86">
        <f>IF(OR(C104="",E104&lt;=0,F104&lt;=0),0,H104/F104)</f>
        <v/>
      </c>
      <c r="J104" s="84" t="n"/>
      <c r="K104" s="85">
        <f>IF(OR(C104="",E104&lt;=0),0,E104*J104)</f>
        <v/>
      </c>
      <c r="L104" s="74">
        <f>IF(OR(C104="",E104&lt;=0),"",IF(F104&lt;=0,"Sin precio",IF(H104&lt;0,"PÉRDIDA",IF(I104&lt;MargenMin,"Margen bajo",IF(I104&lt;MargenObjReal,"Aceptable","Rentable")))))</f>
        <v/>
      </c>
      <c r="M104" s="83" t="n"/>
      <c r="N104" s="87">
        <f>IF(ISNUMBER(W104),RANK(W104,$W$7:$W$206),"")</f>
        <v/>
      </c>
      <c r="W104" s="88">
        <f>IF(AND(C104&lt;&gt;"",E104&gt;0,F104&gt;0),H104+ROW()/1000000000,"")</f>
        <v/>
      </c>
      <c r="X104" s="88">
        <f>IF(AND(C104&lt;&gt;"",E104&gt;0,F104&gt;0,OR(CatSel="Todas",D104=CatSel)),H104+ROW()/1000000000,"")</f>
        <v/>
      </c>
    </row>
    <row r="105">
      <c r="B105" s="83" t="n"/>
      <c r="C105" s="83" t="n"/>
      <c r="D105" s="83" t="n"/>
      <c r="E105" s="84" t="n"/>
      <c r="F105" s="84" t="n"/>
      <c r="G105" s="85">
        <f>IF(OR(C105="",E105&lt;=0,DivMargen&lt;=0),0,IF(Redondeo&gt;0,CEILING(E105/DivMargen,Redondeo),E105/DivMargen))</f>
        <v/>
      </c>
      <c r="H105" s="85">
        <f>IF(OR(C105="",E105&lt;=0,F105&lt;=0),0,F105*DivBase-E105)</f>
        <v/>
      </c>
      <c r="I105" s="86">
        <f>IF(OR(C105="",E105&lt;=0,F105&lt;=0),0,H105/F105)</f>
        <v/>
      </c>
      <c r="J105" s="84" t="n"/>
      <c r="K105" s="85">
        <f>IF(OR(C105="",E105&lt;=0),0,E105*J105)</f>
        <v/>
      </c>
      <c r="L105" s="74">
        <f>IF(OR(C105="",E105&lt;=0),"",IF(F105&lt;=0,"Sin precio",IF(H105&lt;0,"PÉRDIDA",IF(I105&lt;MargenMin,"Margen bajo",IF(I105&lt;MargenObjReal,"Aceptable","Rentable")))))</f>
        <v/>
      </c>
      <c r="M105" s="83" t="n"/>
      <c r="N105" s="87">
        <f>IF(ISNUMBER(W105),RANK(W105,$W$7:$W$206),"")</f>
        <v/>
      </c>
      <c r="W105" s="88">
        <f>IF(AND(C105&lt;&gt;"",E105&gt;0,F105&gt;0),H105+ROW()/1000000000,"")</f>
        <v/>
      </c>
      <c r="X105" s="88">
        <f>IF(AND(C105&lt;&gt;"",E105&gt;0,F105&gt;0,OR(CatSel="Todas",D105=CatSel)),H105+ROW()/1000000000,"")</f>
        <v/>
      </c>
    </row>
    <row r="106">
      <c r="B106" s="83" t="n"/>
      <c r="C106" s="83" t="n"/>
      <c r="D106" s="83" t="n"/>
      <c r="E106" s="84" t="n"/>
      <c r="F106" s="84" t="n"/>
      <c r="G106" s="85">
        <f>IF(OR(C106="",E106&lt;=0,DivMargen&lt;=0),0,IF(Redondeo&gt;0,CEILING(E106/DivMargen,Redondeo),E106/DivMargen))</f>
        <v/>
      </c>
      <c r="H106" s="85">
        <f>IF(OR(C106="",E106&lt;=0,F106&lt;=0),0,F106*DivBase-E106)</f>
        <v/>
      </c>
      <c r="I106" s="86">
        <f>IF(OR(C106="",E106&lt;=0,F106&lt;=0),0,H106/F106)</f>
        <v/>
      </c>
      <c r="J106" s="84" t="n"/>
      <c r="K106" s="85">
        <f>IF(OR(C106="",E106&lt;=0),0,E106*J106)</f>
        <v/>
      </c>
      <c r="L106" s="74">
        <f>IF(OR(C106="",E106&lt;=0),"",IF(F106&lt;=0,"Sin precio",IF(H106&lt;0,"PÉRDIDA",IF(I106&lt;MargenMin,"Margen bajo",IF(I106&lt;MargenObjReal,"Aceptable","Rentable")))))</f>
        <v/>
      </c>
      <c r="M106" s="83" t="n"/>
      <c r="N106" s="87">
        <f>IF(ISNUMBER(W106),RANK(W106,$W$7:$W$206),"")</f>
        <v/>
      </c>
      <c r="W106" s="88">
        <f>IF(AND(C106&lt;&gt;"",E106&gt;0,F106&gt;0),H106+ROW()/1000000000,"")</f>
        <v/>
      </c>
      <c r="X106" s="88">
        <f>IF(AND(C106&lt;&gt;"",E106&gt;0,F106&gt;0,OR(CatSel="Todas",D106=CatSel)),H106+ROW()/1000000000,"")</f>
        <v/>
      </c>
    </row>
    <row r="107">
      <c r="B107" s="83" t="n"/>
      <c r="C107" s="83" t="n"/>
      <c r="D107" s="83" t="n"/>
      <c r="E107" s="84" t="n"/>
      <c r="F107" s="84" t="n"/>
      <c r="G107" s="85">
        <f>IF(OR(C107="",E107&lt;=0,DivMargen&lt;=0),0,IF(Redondeo&gt;0,CEILING(E107/DivMargen,Redondeo),E107/DivMargen))</f>
        <v/>
      </c>
      <c r="H107" s="85">
        <f>IF(OR(C107="",E107&lt;=0,F107&lt;=0),0,F107*DivBase-E107)</f>
        <v/>
      </c>
      <c r="I107" s="86">
        <f>IF(OR(C107="",E107&lt;=0,F107&lt;=0),0,H107/F107)</f>
        <v/>
      </c>
      <c r="J107" s="84" t="n"/>
      <c r="K107" s="85">
        <f>IF(OR(C107="",E107&lt;=0),0,E107*J107)</f>
        <v/>
      </c>
      <c r="L107" s="74">
        <f>IF(OR(C107="",E107&lt;=0),"",IF(F107&lt;=0,"Sin precio",IF(H107&lt;0,"PÉRDIDA",IF(I107&lt;MargenMin,"Margen bajo",IF(I107&lt;MargenObjReal,"Aceptable","Rentable")))))</f>
        <v/>
      </c>
      <c r="M107" s="83" t="n"/>
      <c r="N107" s="87">
        <f>IF(ISNUMBER(W107),RANK(W107,$W$7:$W$206),"")</f>
        <v/>
      </c>
      <c r="W107" s="88">
        <f>IF(AND(C107&lt;&gt;"",E107&gt;0,F107&gt;0),H107+ROW()/1000000000,"")</f>
        <v/>
      </c>
      <c r="X107" s="88">
        <f>IF(AND(C107&lt;&gt;"",E107&gt;0,F107&gt;0,OR(CatSel="Todas",D107=CatSel)),H107+ROW()/1000000000,"")</f>
        <v/>
      </c>
    </row>
    <row r="108">
      <c r="B108" s="83" t="n"/>
      <c r="C108" s="83" t="n"/>
      <c r="D108" s="83" t="n"/>
      <c r="E108" s="84" t="n"/>
      <c r="F108" s="84" t="n"/>
      <c r="G108" s="85">
        <f>IF(OR(C108="",E108&lt;=0,DivMargen&lt;=0),0,IF(Redondeo&gt;0,CEILING(E108/DivMargen,Redondeo),E108/DivMargen))</f>
        <v/>
      </c>
      <c r="H108" s="85">
        <f>IF(OR(C108="",E108&lt;=0,F108&lt;=0),0,F108*DivBase-E108)</f>
        <v/>
      </c>
      <c r="I108" s="86">
        <f>IF(OR(C108="",E108&lt;=0,F108&lt;=0),0,H108/F108)</f>
        <v/>
      </c>
      <c r="J108" s="84" t="n"/>
      <c r="K108" s="85">
        <f>IF(OR(C108="",E108&lt;=0),0,E108*J108)</f>
        <v/>
      </c>
      <c r="L108" s="74">
        <f>IF(OR(C108="",E108&lt;=0),"",IF(F108&lt;=0,"Sin precio",IF(H108&lt;0,"PÉRDIDA",IF(I108&lt;MargenMin,"Margen bajo",IF(I108&lt;MargenObjReal,"Aceptable","Rentable")))))</f>
        <v/>
      </c>
      <c r="M108" s="83" t="n"/>
      <c r="N108" s="87">
        <f>IF(ISNUMBER(W108),RANK(W108,$W$7:$W$206),"")</f>
        <v/>
      </c>
      <c r="W108" s="88">
        <f>IF(AND(C108&lt;&gt;"",E108&gt;0,F108&gt;0),H108+ROW()/1000000000,"")</f>
        <v/>
      </c>
      <c r="X108" s="88">
        <f>IF(AND(C108&lt;&gt;"",E108&gt;0,F108&gt;0,OR(CatSel="Todas",D108=CatSel)),H108+ROW()/1000000000,"")</f>
        <v/>
      </c>
    </row>
    <row r="109">
      <c r="B109" s="83" t="n"/>
      <c r="C109" s="83" t="n"/>
      <c r="D109" s="83" t="n"/>
      <c r="E109" s="84" t="n"/>
      <c r="F109" s="84" t="n"/>
      <c r="G109" s="85">
        <f>IF(OR(C109="",E109&lt;=0,DivMargen&lt;=0),0,IF(Redondeo&gt;0,CEILING(E109/DivMargen,Redondeo),E109/DivMargen))</f>
        <v/>
      </c>
      <c r="H109" s="85">
        <f>IF(OR(C109="",E109&lt;=0,F109&lt;=0),0,F109*DivBase-E109)</f>
        <v/>
      </c>
      <c r="I109" s="86">
        <f>IF(OR(C109="",E109&lt;=0,F109&lt;=0),0,H109/F109)</f>
        <v/>
      </c>
      <c r="J109" s="84" t="n"/>
      <c r="K109" s="85">
        <f>IF(OR(C109="",E109&lt;=0),0,E109*J109)</f>
        <v/>
      </c>
      <c r="L109" s="74">
        <f>IF(OR(C109="",E109&lt;=0),"",IF(F109&lt;=0,"Sin precio",IF(H109&lt;0,"PÉRDIDA",IF(I109&lt;MargenMin,"Margen bajo",IF(I109&lt;MargenObjReal,"Aceptable","Rentable")))))</f>
        <v/>
      </c>
      <c r="M109" s="83" t="n"/>
      <c r="N109" s="87">
        <f>IF(ISNUMBER(W109),RANK(W109,$W$7:$W$206),"")</f>
        <v/>
      </c>
      <c r="W109" s="88">
        <f>IF(AND(C109&lt;&gt;"",E109&gt;0,F109&gt;0),H109+ROW()/1000000000,"")</f>
        <v/>
      </c>
      <c r="X109" s="88">
        <f>IF(AND(C109&lt;&gt;"",E109&gt;0,F109&gt;0,OR(CatSel="Todas",D109=CatSel)),H109+ROW()/1000000000,"")</f>
        <v/>
      </c>
    </row>
    <row r="110">
      <c r="B110" s="83" t="n"/>
      <c r="C110" s="83" t="n"/>
      <c r="D110" s="83" t="n"/>
      <c r="E110" s="84" t="n"/>
      <c r="F110" s="84" t="n"/>
      <c r="G110" s="85">
        <f>IF(OR(C110="",E110&lt;=0,DivMargen&lt;=0),0,IF(Redondeo&gt;0,CEILING(E110/DivMargen,Redondeo),E110/DivMargen))</f>
        <v/>
      </c>
      <c r="H110" s="85">
        <f>IF(OR(C110="",E110&lt;=0,F110&lt;=0),0,F110*DivBase-E110)</f>
        <v/>
      </c>
      <c r="I110" s="86">
        <f>IF(OR(C110="",E110&lt;=0,F110&lt;=0),0,H110/F110)</f>
        <v/>
      </c>
      <c r="J110" s="84" t="n"/>
      <c r="K110" s="85">
        <f>IF(OR(C110="",E110&lt;=0),0,E110*J110)</f>
        <v/>
      </c>
      <c r="L110" s="74">
        <f>IF(OR(C110="",E110&lt;=0),"",IF(F110&lt;=0,"Sin precio",IF(H110&lt;0,"PÉRDIDA",IF(I110&lt;MargenMin,"Margen bajo",IF(I110&lt;MargenObjReal,"Aceptable","Rentable")))))</f>
        <v/>
      </c>
      <c r="M110" s="83" t="n"/>
      <c r="N110" s="87">
        <f>IF(ISNUMBER(W110),RANK(W110,$W$7:$W$206),"")</f>
        <v/>
      </c>
      <c r="W110" s="88">
        <f>IF(AND(C110&lt;&gt;"",E110&gt;0,F110&gt;0),H110+ROW()/1000000000,"")</f>
        <v/>
      </c>
      <c r="X110" s="88">
        <f>IF(AND(C110&lt;&gt;"",E110&gt;0,F110&gt;0,OR(CatSel="Todas",D110=CatSel)),H110+ROW()/1000000000,"")</f>
        <v/>
      </c>
    </row>
    <row r="111">
      <c r="B111" s="83" t="n"/>
      <c r="C111" s="83" t="n"/>
      <c r="D111" s="83" t="n"/>
      <c r="E111" s="84" t="n"/>
      <c r="F111" s="84" t="n"/>
      <c r="G111" s="85">
        <f>IF(OR(C111="",E111&lt;=0,DivMargen&lt;=0),0,IF(Redondeo&gt;0,CEILING(E111/DivMargen,Redondeo),E111/DivMargen))</f>
        <v/>
      </c>
      <c r="H111" s="85">
        <f>IF(OR(C111="",E111&lt;=0,F111&lt;=0),0,F111*DivBase-E111)</f>
        <v/>
      </c>
      <c r="I111" s="86">
        <f>IF(OR(C111="",E111&lt;=0,F111&lt;=0),0,H111/F111)</f>
        <v/>
      </c>
      <c r="J111" s="84" t="n"/>
      <c r="K111" s="85">
        <f>IF(OR(C111="",E111&lt;=0),0,E111*J111)</f>
        <v/>
      </c>
      <c r="L111" s="74">
        <f>IF(OR(C111="",E111&lt;=0),"",IF(F111&lt;=0,"Sin precio",IF(H111&lt;0,"PÉRDIDA",IF(I111&lt;MargenMin,"Margen bajo",IF(I111&lt;MargenObjReal,"Aceptable","Rentable")))))</f>
        <v/>
      </c>
      <c r="M111" s="83" t="n"/>
      <c r="N111" s="87">
        <f>IF(ISNUMBER(W111),RANK(W111,$W$7:$W$206),"")</f>
        <v/>
      </c>
      <c r="W111" s="88">
        <f>IF(AND(C111&lt;&gt;"",E111&gt;0,F111&gt;0),H111+ROW()/1000000000,"")</f>
        <v/>
      </c>
      <c r="X111" s="88">
        <f>IF(AND(C111&lt;&gt;"",E111&gt;0,F111&gt;0,OR(CatSel="Todas",D111=CatSel)),H111+ROW()/1000000000,"")</f>
        <v/>
      </c>
    </row>
    <row r="112">
      <c r="B112" s="83" t="n"/>
      <c r="C112" s="83" t="n"/>
      <c r="D112" s="83" t="n"/>
      <c r="E112" s="84" t="n"/>
      <c r="F112" s="84" t="n"/>
      <c r="G112" s="85">
        <f>IF(OR(C112="",E112&lt;=0,DivMargen&lt;=0),0,IF(Redondeo&gt;0,CEILING(E112/DivMargen,Redondeo),E112/DivMargen))</f>
        <v/>
      </c>
      <c r="H112" s="85">
        <f>IF(OR(C112="",E112&lt;=0,F112&lt;=0),0,F112*DivBase-E112)</f>
        <v/>
      </c>
      <c r="I112" s="86">
        <f>IF(OR(C112="",E112&lt;=0,F112&lt;=0),0,H112/F112)</f>
        <v/>
      </c>
      <c r="J112" s="84" t="n"/>
      <c r="K112" s="85">
        <f>IF(OR(C112="",E112&lt;=0),0,E112*J112)</f>
        <v/>
      </c>
      <c r="L112" s="74">
        <f>IF(OR(C112="",E112&lt;=0),"",IF(F112&lt;=0,"Sin precio",IF(H112&lt;0,"PÉRDIDA",IF(I112&lt;MargenMin,"Margen bajo",IF(I112&lt;MargenObjReal,"Aceptable","Rentable")))))</f>
        <v/>
      </c>
      <c r="M112" s="83" t="n"/>
      <c r="N112" s="87">
        <f>IF(ISNUMBER(W112),RANK(W112,$W$7:$W$206),"")</f>
        <v/>
      </c>
      <c r="W112" s="88">
        <f>IF(AND(C112&lt;&gt;"",E112&gt;0,F112&gt;0),H112+ROW()/1000000000,"")</f>
        <v/>
      </c>
      <c r="X112" s="88">
        <f>IF(AND(C112&lt;&gt;"",E112&gt;0,F112&gt;0,OR(CatSel="Todas",D112=CatSel)),H112+ROW()/1000000000,"")</f>
        <v/>
      </c>
    </row>
    <row r="113">
      <c r="B113" s="83" t="n"/>
      <c r="C113" s="83" t="n"/>
      <c r="D113" s="83" t="n"/>
      <c r="E113" s="84" t="n"/>
      <c r="F113" s="84" t="n"/>
      <c r="G113" s="85">
        <f>IF(OR(C113="",E113&lt;=0,DivMargen&lt;=0),0,IF(Redondeo&gt;0,CEILING(E113/DivMargen,Redondeo),E113/DivMargen))</f>
        <v/>
      </c>
      <c r="H113" s="85">
        <f>IF(OR(C113="",E113&lt;=0,F113&lt;=0),0,F113*DivBase-E113)</f>
        <v/>
      </c>
      <c r="I113" s="86">
        <f>IF(OR(C113="",E113&lt;=0,F113&lt;=0),0,H113/F113)</f>
        <v/>
      </c>
      <c r="J113" s="84" t="n"/>
      <c r="K113" s="85">
        <f>IF(OR(C113="",E113&lt;=0),0,E113*J113)</f>
        <v/>
      </c>
      <c r="L113" s="74">
        <f>IF(OR(C113="",E113&lt;=0),"",IF(F113&lt;=0,"Sin precio",IF(H113&lt;0,"PÉRDIDA",IF(I113&lt;MargenMin,"Margen bajo",IF(I113&lt;MargenObjReal,"Aceptable","Rentable")))))</f>
        <v/>
      </c>
      <c r="M113" s="83" t="n"/>
      <c r="N113" s="87">
        <f>IF(ISNUMBER(W113),RANK(W113,$W$7:$W$206),"")</f>
        <v/>
      </c>
      <c r="W113" s="88">
        <f>IF(AND(C113&lt;&gt;"",E113&gt;0,F113&gt;0),H113+ROW()/1000000000,"")</f>
        <v/>
      </c>
      <c r="X113" s="88">
        <f>IF(AND(C113&lt;&gt;"",E113&gt;0,F113&gt;0,OR(CatSel="Todas",D113=CatSel)),H113+ROW()/1000000000,"")</f>
        <v/>
      </c>
    </row>
    <row r="114">
      <c r="B114" s="83" t="n"/>
      <c r="C114" s="83" t="n"/>
      <c r="D114" s="83" t="n"/>
      <c r="E114" s="84" t="n"/>
      <c r="F114" s="84" t="n"/>
      <c r="G114" s="85">
        <f>IF(OR(C114="",E114&lt;=0,DivMargen&lt;=0),0,IF(Redondeo&gt;0,CEILING(E114/DivMargen,Redondeo),E114/DivMargen))</f>
        <v/>
      </c>
      <c r="H114" s="85">
        <f>IF(OR(C114="",E114&lt;=0,F114&lt;=0),0,F114*DivBase-E114)</f>
        <v/>
      </c>
      <c r="I114" s="86">
        <f>IF(OR(C114="",E114&lt;=0,F114&lt;=0),0,H114/F114)</f>
        <v/>
      </c>
      <c r="J114" s="84" t="n"/>
      <c r="K114" s="85">
        <f>IF(OR(C114="",E114&lt;=0),0,E114*J114)</f>
        <v/>
      </c>
      <c r="L114" s="74">
        <f>IF(OR(C114="",E114&lt;=0),"",IF(F114&lt;=0,"Sin precio",IF(H114&lt;0,"PÉRDIDA",IF(I114&lt;MargenMin,"Margen bajo",IF(I114&lt;MargenObjReal,"Aceptable","Rentable")))))</f>
        <v/>
      </c>
      <c r="M114" s="83" t="n"/>
      <c r="N114" s="87">
        <f>IF(ISNUMBER(W114),RANK(W114,$W$7:$W$206),"")</f>
        <v/>
      </c>
      <c r="W114" s="88">
        <f>IF(AND(C114&lt;&gt;"",E114&gt;0,F114&gt;0),H114+ROW()/1000000000,"")</f>
        <v/>
      </c>
      <c r="X114" s="88">
        <f>IF(AND(C114&lt;&gt;"",E114&gt;0,F114&gt;0,OR(CatSel="Todas",D114=CatSel)),H114+ROW()/1000000000,"")</f>
        <v/>
      </c>
    </row>
    <row r="115">
      <c r="B115" s="83" t="n"/>
      <c r="C115" s="83" t="n"/>
      <c r="D115" s="83" t="n"/>
      <c r="E115" s="84" t="n"/>
      <c r="F115" s="84" t="n"/>
      <c r="G115" s="85">
        <f>IF(OR(C115="",E115&lt;=0,DivMargen&lt;=0),0,IF(Redondeo&gt;0,CEILING(E115/DivMargen,Redondeo),E115/DivMargen))</f>
        <v/>
      </c>
      <c r="H115" s="85">
        <f>IF(OR(C115="",E115&lt;=0,F115&lt;=0),0,F115*DivBase-E115)</f>
        <v/>
      </c>
      <c r="I115" s="86">
        <f>IF(OR(C115="",E115&lt;=0,F115&lt;=0),0,H115/F115)</f>
        <v/>
      </c>
      <c r="J115" s="84" t="n"/>
      <c r="K115" s="85">
        <f>IF(OR(C115="",E115&lt;=0),0,E115*J115)</f>
        <v/>
      </c>
      <c r="L115" s="74">
        <f>IF(OR(C115="",E115&lt;=0),"",IF(F115&lt;=0,"Sin precio",IF(H115&lt;0,"PÉRDIDA",IF(I115&lt;MargenMin,"Margen bajo",IF(I115&lt;MargenObjReal,"Aceptable","Rentable")))))</f>
        <v/>
      </c>
      <c r="M115" s="83" t="n"/>
      <c r="N115" s="87">
        <f>IF(ISNUMBER(W115),RANK(W115,$W$7:$W$206),"")</f>
        <v/>
      </c>
      <c r="W115" s="88">
        <f>IF(AND(C115&lt;&gt;"",E115&gt;0,F115&gt;0),H115+ROW()/1000000000,"")</f>
        <v/>
      </c>
      <c r="X115" s="88">
        <f>IF(AND(C115&lt;&gt;"",E115&gt;0,F115&gt;0,OR(CatSel="Todas",D115=CatSel)),H115+ROW()/1000000000,"")</f>
        <v/>
      </c>
    </row>
    <row r="116">
      <c r="B116" s="83" t="n"/>
      <c r="C116" s="83" t="n"/>
      <c r="D116" s="83" t="n"/>
      <c r="E116" s="84" t="n"/>
      <c r="F116" s="84" t="n"/>
      <c r="G116" s="85">
        <f>IF(OR(C116="",E116&lt;=0,DivMargen&lt;=0),0,IF(Redondeo&gt;0,CEILING(E116/DivMargen,Redondeo),E116/DivMargen))</f>
        <v/>
      </c>
      <c r="H116" s="85">
        <f>IF(OR(C116="",E116&lt;=0,F116&lt;=0),0,F116*DivBase-E116)</f>
        <v/>
      </c>
      <c r="I116" s="86">
        <f>IF(OR(C116="",E116&lt;=0,F116&lt;=0),0,H116/F116)</f>
        <v/>
      </c>
      <c r="J116" s="84" t="n"/>
      <c r="K116" s="85">
        <f>IF(OR(C116="",E116&lt;=0),0,E116*J116)</f>
        <v/>
      </c>
      <c r="L116" s="74">
        <f>IF(OR(C116="",E116&lt;=0),"",IF(F116&lt;=0,"Sin precio",IF(H116&lt;0,"PÉRDIDA",IF(I116&lt;MargenMin,"Margen bajo",IF(I116&lt;MargenObjReal,"Aceptable","Rentable")))))</f>
        <v/>
      </c>
      <c r="M116" s="83" t="n"/>
      <c r="N116" s="87">
        <f>IF(ISNUMBER(W116),RANK(W116,$W$7:$W$206),"")</f>
        <v/>
      </c>
      <c r="W116" s="88">
        <f>IF(AND(C116&lt;&gt;"",E116&gt;0,F116&gt;0),H116+ROW()/1000000000,"")</f>
        <v/>
      </c>
      <c r="X116" s="88">
        <f>IF(AND(C116&lt;&gt;"",E116&gt;0,F116&gt;0,OR(CatSel="Todas",D116=CatSel)),H116+ROW()/1000000000,"")</f>
        <v/>
      </c>
    </row>
    <row r="117">
      <c r="B117" s="83" t="n"/>
      <c r="C117" s="83" t="n"/>
      <c r="D117" s="83" t="n"/>
      <c r="E117" s="84" t="n"/>
      <c r="F117" s="84" t="n"/>
      <c r="G117" s="85">
        <f>IF(OR(C117="",E117&lt;=0,DivMargen&lt;=0),0,IF(Redondeo&gt;0,CEILING(E117/DivMargen,Redondeo),E117/DivMargen))</f>
        <v/>
      </c>
      <c r="H117" s="85">
        <f>IF(OR(C117="",E117&lt;=0,F117&lt;=0),0,F117*DivBase-E117)</f>
        <v/>
      </c>
      <c r="I117" s="86">
        <f>IF(OR(C117="",E117&lt;=0,F117&lt;=0),0,H117/F117)</f>
        <v/>
      </c>
      <c r="J117" s="84" t="n"/>
      <c r="K117" s="85">
        <f>IF(OR(C117="",E117&lt;=0),0,E117*J117)</f>
        <v/>
      </c>
      <c r="L117" s="74">
        <f>IF(OR(C117="",E117&lt;=0),"",IF(F117&lt;=0,"Sin precio",IF(H117&lt;0,"PÉRDIDA",IF(I117&lt;MargenMin,"Margen bajo",IF(I117&lt;MargenObjReal,"Aceptable","Rentable")))))</f>
        <v/>
      </c>
      <c r="M117" s="83" t="n"/>
      <c r="N117" s="87">
        <f>IF(ISNUMBER(W117),RANK(W117,$W$7:$W$206),"")</f>
        <v/>
      </c>
      <c r="W117" s="88">
        <f>IF(AND(C117&lt;&gt;"",E117&gt;0,F117&gt;0),H117+ROW()/1000000000,"")</f>
        <v/>
      </c>
      <c r="X117" s="88">
        <f>IF(AND(C117&lt;&gt;"",E117&gt;0,F117&gt;0,OR(CatSel="Todas",D117=CatSel)),H117+ROW()/1000000000,"")</f>
        <v/>
      </c>
    </row>
    <row r="118">
      <c r="B118" s="83" t="n"/>
      <c r="C118" s="83" t="n"/>
      <c r="D118" s="83" t="n"/>
      <c r="E118" s="84" t="n"/>
      <c r="F118" s="84" t="n"/>
      <c r="G118" s="85">
        <f>IF(OR(C118="",E118&lt;=0,DivMargen&lt;=0),0,IF(Redondeo&gt;0,CEILING(E118/DivMargen,Redondeo),E118/DivMargen))</f>
        <v/>
      </c>
      <c r="H118" s="85">
        <f>IF(OR(C118="",E118&lt;=0,F118&lt;=0),0,F118*DivBase-E118)</f>
        <v/>
      </c>
      <c r="I118" s="86">
        <f>IF(OR(C118="",E118&lt;=0,F118&lt;=0),0,H118/F118)</f>
        <v/>
      </c>
      <c r="J118" s="84" t="n"/>
      <c r="K118" s="85">
        <f>IF(OR(C118="",E118&lt;=0),0,E118*J118)</f>
        <v/>
      </c>
      <c r="L118" s="74">
        <f>IF(OR(C118="",E118&lt;=0),"",IF(F118&lt;=0,"Sin precio",IF(H118&lt;0,"PÉRDIDA",IF(I118&lt;MargenMin,"Margen bajo",IF(I118&lt;MargenObjReal,"Aceptable","Rentable")))))</f>
        <v/>
      </c>
      <c r="M118" s="83" t="n"/>
      <c r="N118" s="87">
        <f>IF(ISNUMBER(W118),RANK(W118,$W$7:$W$206),"")</f>
        <v/>
      </c>
      <c r="W118" s="88">
        <f>IF(AND(C118&lt;&gt;"",E118&gt;0,F118&gt;0),H118+ROW()/1000000000,"")</f>
        <v/>
      </c>
      <c r="X118" s="88">
        <f>IF(AND(C118&lt;&gt;"",E118&gt;0,F118&gt;0,OR(CatSel="Todas",D118=CatSel)),H118+ROW()/1000000000,"")</f>
        <v/>
      </c>
    </row>
    <row r="119">
      <c r="B119" s="83" t="n"/>
      <c r="C119" s="83" t="n"/>
      <c r="D119" s="83" t="n"/>
      <c r="E119" s="84" t="n"/>
      <c r="F119" s="84" t="n"/>
      <c r="G119" s="85">
        <f>IF(OR(C119="",E119&lt;=0,DivMargen&lt;=0),0,IF(Redondeo&gt;0,CEILING(E119/DivMargen,Redondeo),E119/DivMargen))</f>
        <v/>
      </c>
      <c r="H119" s="85">
        <f>IF(OR(C119="",E119&lt;=0,F119&lt;=0),0,F119*DivBase-E119)</f>
        <v/>
      </c>
      <c r="I119" s="86">
        <f>IF(OR(C119="",E119&lt;=0,F119&lt;=0),0,H119/F119)</f>
        <v/>
      </c>
      <c r="J119" s="84" t="n"/>
      <c r="K119" s="85">
        <f>IF(OR(C119="",E119&lt;=0),0,E119*J119)</f>
        <v/>
      </c>
      <c r="L119" s="74">
        <f>IF(OR(C119="",E119&lt;=0),"",IF(F119&lt;=0,"Sin precio",IF(H119&lt;0,"PÉRDIDA",IF(I119&lt;MargenMin,"Margen bajo",IF(I119&lt;MargenObjReal,"Aceptable","Rentable")))))</f>
        <v/>
      </c>
      <c r="M119" s="83" t="n"/>
      <c r="N119" s="87">
        <f>IF(ISNUMBER(W119),RANK(W119,$W$7:$W$206),"")</f>
        <v/>
      </c>
      <c r="W119" s="88">
        <f>IF(AND(C119&lt;&gt;"",E119&gt;0,F119&gt;0),H119+ROW()/1000000000,"")</f>
        <v/>
      </c>
      <c r="X119" s="88">
        <f>IF(AND(C119&lt;&gt;"",E119&gt;0,F119&gt;0,OR(CatSel="Todas",D119=CatSel)),H119+ROW()/1000000000,"")</f>
        <v/>
      </c>
    </row>
    <row r="120">
      <c r="B120" s="83" t="n"/>
      <c r="C120" s="83" t="n"/>
      <c r="D120" s="83" t="n"/>
      <c r="E120" s="84" t="n"/>
      <c r="F120" s="84" t="n"/>
      <c r="G120" s="85">
        <f>IF(OR(C120="",E120&lt;=0,DivMargen&lt;=0),0,IF(Redondeo&gt;0,CEILING(E120/DivMargen,Redondeo),E120/DivMargen))</f>
        <v/>
      </c>
      <c r="H120" s="85">
        <f>IF(OR(C120="",E120&lt;=0,F120&lt;=0),0,F120*DivBase-E120)</f>
        <v/>
      </c>
      <c r="I120" s="86">
        <f>IF(OR(C120="",E120&lt;=0,F120&lt;=0),0,H120/F120)</f>
        <v/>
      </c>
      <c r="J120" s="84" t="n"/>
      <c r="K120" s="85">
        <f>IF(OR(C120="",E120&lt;=0),0,E120*J120)</f>
        <v/>
      </c>
      <c r="L120" s="74">
        <f>IF(OR(C120="",E120&lt;=0),"",IF(F120&lt;=0,"Sin precio",IF(H120&lt;0,"PÉRDIDA",IF(I120&lt;MargenMin,"Margen bajo",IF(I120&lt;MargenObjReal,"Aceptable","Rentable")))))</f>
        <v/>
      </c>
      <c r="M120" s="83" t="n"/>
      <c r="N120" s="87">
        <f>IF(ISNUMBER(W120),RANK(W120,$W$7:$W$206),"")</f>
        <v/>
      </c>
      <c r="W120" s="88">
        <f>IF(AND(C120&lt;&gt;"",E120&gt;0,F120&gt;0),H120+ROW()/1000000000,"")</f>
        <v/>
      </c>
      <c r="X120" s="88">
        <f>IF(AND(C120&lt;&gt;"",E120&gt;0,F120&gt;0,OR(CatSel="Todas",D120=CatSel)),H120+ROW()/1000000000,"")</f>
        <v/>
      </c>
    </row>
    <row r="121">
      <c r="B121" s="83" t="n"/>
      <c r="C121" s="83" t="n"/>
      <c r="D121" s="83" t="n"/>
      <c r="E121" s="84" t="n"/>
      <c r="F121" s="84" t="n"/>
      <c r="G121" s="85">
        <f>IF(OR(C121="",E121&lt;=0,DivMargen&lt;=0),0,IF(Redondeo&gt;0,CEILING(E121/DivMargen,Redondeo),E121/DivMargen))</f>
        <v/>
      </c>
      <c r="H121" s="85">
        <f>IF(OR(C121="",E121&lt;=0,F121&lt;=0),0,F121*DivBase-E121)</f>
        <v/>
      </c>
      <c r="I121" s="86">
        <f>IF(OR(C121="",E121&lt;=0,F121&lt;=0),0,H121/F121)</f>
        <v/>
      </c>
      <c r="J121" s="84" t="n"/>
      <c r="K121" s="85">
        <f>IF(OR(C121="",E121&lt;=0),0,E121*J121)</f>
        <v/>
      </c>
      <c r="L121" s="74">
        <f>IF(OR(C121="",E121&lt;=0),"",IF(F121&lt;=0,"Sin precio",IF(H121&lt;0,"PÉRDIDA",IF(I121&lt;MargenMin,"Margen bajo",IF(I121&lt;MargenObjReal,"Aceptable","Rentable")))))</f>
        <v/>
      </c>
      <c r="M121" s="83" t="n"/>
      <c r="N121" s="87">
        <f>IF(ISNUMBER(W121),RANK(W121,$W$7:$W$206),"")</f>
        <v/>
      </c>
      <c r="W121" s="88">
        <f>IF(AND(C121&lt;&gt;"",E121&gt;0,F121&gt;0),H121+ROW()/1000000000,"")</f>
        <v/>
      </c>
      <c r="X121" s="88">
        <f>IF(AND(C121&lt;&gt;"",E121&gt;0,F121&gt;0,OR(CatSel="Todas",D121=CatSel)),H121+ROW()/1000000000,"")</f>
        <v/>
      </c>
    </row>
    <row r="122">
      <c r="B122" s="83" t="n"/>
      <c r="C122" s="83" t="n"/>
      <c r="D122" s="83" t="n"/>
      <c r="E122" s="84" t="n"/>
      <c r="F122" s="84" t="n"/>
      <c r="G122" s="85">
        <f>IF(OR(C122="",E122&lt;=0,DivMargen&lt;=0),0,IF(Redondeo&gt;0,CEILING(E122/DivMargen,Redondeo),E122/DivMargen))</f>
        <v/>
      </c>
      <c r="H122" s="85">
        <f>IF(OR(C122="",E122&lt;=0,F122&lt;=0),0,F122*DivBase-E122)</f>
        <v/>
      </c>
      <c r="I122" s="86">
        <f>IF(OR(C122="",E122&lt;=0,F122&lt;=0),0,H122/F122)</f>
        <v/>
      </c>
      <c r="J122" s="84" t="n"/>
      <c r="K122" s="85">
        <f>IF(OR(C122="",E122&lt;=0),0,E122*J122)</f>
        <v/>
      </c>
      <c r="L122" s="74">
        <f>IF(OR(C122="",E122&lt;=0),"",IF(F122&lt;=0,"Sin precio",IF(H122&lt;0,"PÉRDIDA",IF(I122&lt;MargenMin,"Margen bajo",IF(I122&lt;MargenObjReal,"Aceptable","Rentable")))))</f>
        <v/>
      </c>
      <c r="M122" s="83" t="n"/>
      <c r="N122" s="87">
        <f>IF(ISNUMBER(W122),RANK(W122,$W$7:$W$206),"")</f>
        <v/>
      </c>
      <c r="W122" s="88">
        <f>IF(AND(C122&lt;&gt;"",E122&gt;0,F122&gt;0),H122+ROW()/1000000000,"")</f>
        <v/>
      </c>
      <c r="X122" s="88">
        <f>IF(AND(C122&lt;&gt;"",E122&gt;0,F122&gt;0,OR(CatSel="Todas",D122=CatSel)),H122+ROW()/1000000000,"")</f>
        <v/>
      </c>
    </row>
    <row r="123">
      <c r="B123" s="83" t="n"/>
      <c r="C123" s="83" t="n"/>
      <c r="D123" s="83" t="n"/>
      <c r="E123" s="84" t="n"/>
      <c r="F123" s="84" t="n"/>
      <c r="G123" s="85">
        <f>IF(OR(C123="",E123&lt;=0,DivMargen&lt;=0),0,IF(Redondeo&gt;0,CEILING(E123/DivMargen,Redondeo),E123/DivMargen))</f>
        <v/>
      </c>
      <c r="H123" s="85">
        <f>IF(OR(C123="",E123&lt;=0,F123&lt;=0),0,F123*DivBase-E123)</f>
        <v/>
      </c>
      <c r="I123" s="86">
        <f>IF(OR(C123="",E123&lt;=0,F123&lt;=0),0,H123/F123)</f>
        <v/>
      </c>
      <c r="J123" s="84" t="n"/>
      <c r="K123" s="85">
        <f>IF(OR(C123="",E123&lt;=0),0,E123*J123)</f>
        <v/>
      </c>
      <c r="L123" s="74">
        <f>IF(OR(C123="",E123&lt;=0),"",IF(F123&lt;=0,"Sin precio",IF(H123&lt;0,"PÉRDIDA",IF(I123&lt;MargenMin,"Margen bajo",IF(I123&lt;MargenObjReal,"Aceptable","Rentable")))))</f>
        <v/>
      </c>
      <c r="M123" s="83" t="n"/>
      <c r="N123" s="87">
        <f>IF(ISNUMBER(W123),RANK(W123,$W$7:$W$206),"")</f>
        <v/>
      </c>
      <c r="W123" s="88">
        <f>IF(AND(C123&lt;&gt;"",E123&gt;0,F123&gt;0),H123+ROW()/1000000000,"")</f>
        <v/>
      </c>
      <c r="X123" s="88">
        <f>IF(AND(C123&lt;&gt;"",E123&gt;0,F123&gt;0,OR(CatSel="Todas",D123=CatSel)),H123+ROW()/1000000000,"")</f>
        <v/>
      </c>
    </row>
    <row r="124">
      <c r="B124" s="83" t="n"/>
      <c r="C124" s="83" t="n"/>
      <c r="D124" s="83" t="n"/>
      <c r="E124" s="84" t="n"/>
      <c r="F124" s="84" t="n"/>
      <c r="G124" s="85">
        <f>IF(OR(C124="",E124&lt;=0,DivMargen&lt;=0),0,IF(Redondeo&gt;0,CEILING(E124/DivMargen,Redondeo),E124/DivMargen))</f>
        <v/>
      </c>
      <c r="H124" s="85">
        <f>IF(OR(C124="",E124&lt;=0,F124&lt;=0),0,F124*DivBase-E124)</f>
        <v/>
      </c>
      <c r="I124" s="86">
        <f>IF(OR(C124="",E124&lt;=0,F124&lt;=0),0,H124/F124)</f>
        <v/>
      </c>
      <c r="J124" s="84" t="n"/>
      <c r="K124" s="85">
        <f>IF(OR(C124="",E124&lt;=0),0,E124*J124)</f>
        <v/>
      </c>
      <c r="L124" s="74">
        <f>IF(OR(C124="",E124&lt;=0),"",IF(F124&lt;=0,"Sin precio",IF(H124&lt;0,"PÉRDIDA",IF(I124&lt;MargenMin,"Margen bajo",IF(I124&lt;MargenObjReal,"Aceptable","Rentable")))))</f>
        <v/>
      </c>
      <c r="M124" s="83" t="n"/>
      <c r="N124" s="87">
        <f>IF(ISNUMBER(W124),RANK(W124,$W$7:$W$206),"")</f>
        <v/>
      </c>
      <c r="W124" s="88">
        <f>IF(AND(C124&lt;&gt;"",E124&gt;0,F124&gt;0),H124+ROW()/1000000000,"")</f>
        <v/>
      </c>
      <c r="X124" s="88">
        <f>IF(AND(C124&lt;&gt;"",E124&gt;0,F124&gt;0,OR(CatSel="Todas",D124=CatSel)),H124+ROW()/1000000000,"")</f>
        <v/>
      </c>
    </row>
    <row r="125">
      <c r="B125" s="83" t="n"/>
      <c r="C125" s="83" t="n"/>
      <c r="D125" s="83" t="n"/>
      <c r="E125" s="84" t="n"/>
      <c r="F125" s="84" t="n"/>
      <c r="G125" s="85">
        <f>IF(OR(C125="",E125&lt;=0,DivMargen&lt;=0),0,IF(Redondeo&gt;0,CEILING(E125/DivMargen,Redondeo),E125/DivMargen))</f>
        <v/>
      </c>
      <c r="H125" s="85">
        <f>IF(OR(C125="",E125&lt;=0,F125&lt;=0),0,F125*DivBase-E125)</f>
        <v/>
      </c>
      <c r="I125" s="86">
        <f>IF(OR(C125="",E125&lt;=0,F125&lt;=0),0,H125/F125)</f>
        <v/>
      </c>
      <c r="J125" s="84" t="n"/>
      <c r="K125" s="85">
        <f>IF(OR(C125="",E125&lt;=0),0,E125*J125)</f>
        <v/>
      </c>
      <c r="L125" s="74">
        <f>IF(OR(C125="",E125&lt;=0),"",IF(F125&lt;=0,"Sin precio",IF(H125&lt;0,"PÉRDIDA",IF(I125&lt;MargenMin,"Margen bajo",IF(I125&lt;MargenObjReal,"Aceptable","Rentable")))))</f>
        <v/>
      </c>
      <c r="M125" s="83" t="n"/>
      <c r="N125" s="87">
        <f>IF(ISNUMBER(W125),RANK(W125,$W$7:$W$206),"")</f>
        <v/>
      </c>
      <c r="W125" s="88">
        <f>IF(AND(C125&lt;&gt;"",E125&gt;0,F125&gt;0),H125+ROW()/1000000000,"")</f>
        <v/>
      </c>
      <c r="X125" s="88">
        <f>IF(AND(C125&lt;&gt;"",E125&gt;0,F125&gt;0,OR(CatSel="Todas",D125=CatSel)),H125+ROW()/1000000000,"")</f>
        <v/>
      </c>
    </row>
    <row r="126">
      <c r="B126" s="83" t="n"/>
      <c r="C126" s="83" t="n"/>
      <c r="D126" s="83" t="n"/>
      <c r="E126" s="84" t="n"/>
      <c r="F126" s="84" t="n"/>
      <c r="G126" s="85">
        <f>IF(OR(C126="",E126&lt;=0,DivMargen&lt;=0),0,IF(Redondeo&gt;0,CEILING(E126/DivMargen,Redondeo),E126/DivMargen))</f>
        <v/>
      </c>
      <c r="H126" s="85">
        <f>IF(OR(C126="",E126&lt;=0,F126&lt;=0),0,F126*DivBase-E126)</f>
        <v/>
      </c>
      <c r="I126" s="86">
        <f>IF(OR(C126="",E126&lt;=0,F126&lt;=0),0,H126/F126)</f>
        <v/>
      </c>
      <c r="J126" s="84" t="n"/>
      <c r="K126" s="85">
        <f>IF(OR(C126="",E126&lt;=0),0,E126*J126)</f>
        <v/>
      </c>
      <c r="L126" s="74">
        <f>IF(OR(C126="",E126&lt;=0),"",IF(F126&lt;=0,"Sin precio",IF(H126&lt;0,"PÉRDIDA",IF(I126&lt;MargenMin,"Margen bajo",IF(I126&lt;MargenObjReal,"Aceptable","Rentable")))))</f>
        <v/>
      </c>
      <c r="M126" s="83" t="n"/>
      <c r="N126" s="87">
        <f>IF(ISNUMBER(W126),RANK(W126,$W$7:$W$206),"")</f>
        <v/>
      </c>
      <c r="W126" s="88">
        <f>IF(AND(C126&lt;&gt;"",E126&gt;0,F126&gt;0),H126+ROW()/1000000000,"")</f>
        <v/>
      </c>
      <c r="X126" s="88">
        <f>IF(AND(C126&lt;&gt;"",E126&gt;0,F126&gt;0,OR(CatSel="Todas",D126=CatSel)),H126+ROW()/1000000000,"")</f>
        <v/>
      </c>
    </row>
    <row r="127">
      <c r="B127" s="83" t="n"/>
      <c r="C127" s="83" t="n"/>
      <c r="D127" s="83" t="n"/>
      <c r="E127" s="84" t="n"/>
      <c r="F127" s="84" t="n"/>
      <c r="G127" s="85">
        <f>IF(OR(C127="",E127&lt;=0,DivMargen&lt;=0),0,IF(Redondeo&gt;0,CEILING(E127/DivMargen,Redondeo),E127/DivMargen))</f>
        <v/>
      </c>
      <c r="H127" s="85">
        <f>IF(OR(C127="",E127&lt;=0,F127&lt;=0),0,F127*DivBase-E127)</f>
        <v/>
      </c>
      <c r="I127" s="86">
        <f>IF(OR(C127="",E127&lt;=0,F127&lt;=0),0,H127/F127)</f>
        <v/>
      </c>
      <c r="J127" s="84" t="n"/>
      <c r="K127" s="85">
        <f>IF(OR(C127="",E127&lt;=0),0,E127*J127)</f>
        <v/>
      </c>
      <c r="L127" s="74">
        <f>IF(OR(C127="",E127&lt;=0),"",IF(F127&lt;=0,"Sin precio",IF(H127&lt;0,"PÉRDIDA",IF(I127&lt;MargenMin,"Margen bajo",IF(I127&lt;MargenObjReal,"Aceptable","Rentable")))))</f>
        <v/>
      </c>
      <c r="M127" s="83" t="n"/>
      <c r="N127" s="87">
        <f>IF(ISNUMBER(W127),RANK(W127,$W$7:$W$206),"")</f>
        <v/>
      </c>
      <c r="W127" s="88">
        <f>IF(AND(C127&lt;&gt;"",E127&gt;0,F127&gt;0),H127+ROW()/1000000000,"")</f>
        <v/>
      </c>
      <c r="X127" s="88">
        <f>IF(AND(C127&lt;&gt;"",E127&gt;0,F127&gt;0,OR(CatSel="Todas",D127=CatSel)),H127+ROW()/1000000000,"")</f>
        <v/>
      </c>
    </row>
    <row r="128">
      <c r="B128" s="83" t="n"/>
      <c r="C128" s="83" t="n"/>
      <c r="D128" s="83" t="n"/>
      <c r="E128" s="84" t="n"/>
      <c r="F128" s="84" t="n"/>
      <c r="G128" s="85">
        <f>IF(OR(C128="",E128&lt;=0,DivMargen&lt;=0),0,IF(Redondeo&gt;0,CEILING(E128/DivMargen,Redondeo),E128/DivMargen))</f>
        <v/>
      </c>
      <c r="H128" s="85">
        <f>IF(OR(C128="",E128&lt;=0,F128&lt;=0),0,F128*DivBase-E128)</f>
        <v/>
      </c>
      <c r="I128" s="86">
        <f>IF(OR(C128="",E128&lt;=0,F128&lt;=0),0,H128/F128)</f>
        <v/>
      </c>
      <c r="J128" s="84" t="n"/>
      <c r="K128" s="85">
        <f>IF(OR(C128="",E128&lt;=0),0,E128*J128)</f>
        <v/>
      </c>
      <c r="L128" s="74">
        <f>IF(OR(C128="",E128&lt;=0),"",IF(F128&lt;=0,"Sin precio",IF(H128&lt;0,"PÉRDIDA",IF(I128&lt;MargenMin,"Margen bajo",IF(I128&lt;MargenObjReal,"Aceptable","Rentable")))))</f>
        <v/>
      </c>
      <c r="M128" s="83" t="n"/>
      <c r="N128" s="87">
        <f>IF(ISNUMBER(W128),RANK(W128,$W$7:$W$206),"")</f>
        <v/>
      </c>
      <c r="W128" s="88">
        <f>IF(AND(C128&lt;&gt;"",E128&gt;0,F128&gt;0),H128+ROW()/1000000000,"")</f>
        <v/>
      </c>
      <c r="X128" s="88">
        <f>IF(AND(C128&lt;&gt;"",E128&gt;0,F128&gt;0,OR(CatSel="Todas",D128=CatSel)),H128+ROW()/1000000000,"")</f>
        <v/>
      </c>
    </row>
    <row r="129">
      <c r="B129" s="83" t="n"/>
      <c r="C129" s="83" t="n"/>
      <c r="D129" s="83" t="n"/>
      <c r="E129" s="84" t="n"/>
      <c r="F129" s="84" t="n"/>
      <c r="G129" s="85">
        <f>IF(OR(C129="",E129&lt;=0,DivMargen&lt;=0),0,IF(Redondeo&gt;0,CEILING(E129/DivMargen,Redondeo),E129/DivMargen))</f>
        <v/>
      </c>
      <c r="H129" s="85">
        <f>IF(OR(C129="",E129&lt;=0,F129&lt;=0),0,F129*DivBase-E129)</f>
        <v/>
      </c>
      <c r="I129" s="86">
        <f>IF(OR(C129="",E129&lt;=0,F129&lt;=0),0,H129/F129)</f>
        <v/>
      </c>
      <c r="J129" s="84" t="n"/>
      <c r="K129" s="85">
        <f>IF(OR(C129="",E129&lt;=0),0,E129*J129)</f>
        <v/>
      </c>
      <c r="L129" s="74">
        <f>IF(OR(C129="",E129&lt;=0),"",IF(F129&lt;=0,"Sin precio",IF(H129&lt;0,"PÉRDIDA",IF(I129&lt;MargenMin,"Margen bajo",IF(I129&lt;MargenObjReal,"Aceptable","Rentable")))))</f>
        <v/>
      </c>
      <c r="M129" s="83" t="n"/>
      <c r="N129" s="87">
        <f>IF(ISNUMBER(W129),RANK(W129,$W$7:$W$206),"")</f>
        <v/>
      </c>
      <c r="W129" s="88">
        <f>IF(AND(C129&lt;&gt;"",E129&gt;0,F129&gt;0),H129+ROW()/1000000000,"")</f>
        <v/>
      </c>
      <c r="X129" s="88">
        <f>IF(AND(C129&lt;&gt;"",E129&gt;0,F129&gt;0,OR(CatSel="Todas",D129=CatSel)),H129+ROW()/1000000000,"")</f>
        <v/>
      </c>
    </row>
    <row r="130">
      <c r="B130" s="83" t="n"/>
      <c r="C130" s="83" t="n"/>
      <c r="D130" s="83" t="n"/>
      <c r="E130" s="84" t="n"/>
      <c r="F130" s="84" t="n"/>
      <c r="G130" s="85">
        <f>IF(OR(C130="",E130&lt;=0,DivMargen&lt;=0),0,IF(Redondeo&gt;0,CEILING(E130/DivMargen,Redondeo),E130/DivMargen))</f>
        <v/>
      </c>
      <c r="H130" s="85">
        <f>IF(OR(C130="",E130&lt;=0,F130&lt;=0),0,F130*DivBase-E130)</f>
        <v/>
      </c>
      <c r="I130" s="86">
        <f>IF(OR(C130="",E130&lt;=0,F130&lt;=0),0,H130/F130)</f>
        <v/>
      </c>
      <c r="J130" s="84" t="n"/>
      <c r="K130" s="85">
        <f>IF(OR(C130="",E130&lt;=0),0,E130*J130)</f>
        <v/>
      </c>
      <c r="L130" s="74">
        <f>IF(OR(C130="",E130&lt;=0),"",IF(F130&lt;=0,"Sin precio",IF(H130&lt;0,"PÉRDIDA",IF(I130&lt;MargenMin,"Margen bajo",IF(I130&lt;MargenObjReal,"Aceptable","Rentable")))))</f>
        <v/>
      </c>
      <c r="M130" s="83" t="n"/>
      <c r="N130" s="87">
        <f>IF(ISNUMBER(W130),RANK(W130,$W$7:$W$206),"")</f>
        <v/>
      </c>
      <c r="W130" s="88">
        <f>IF(AND(C130&lt;&gt;"",E130&gt;0,F130&gt;0),H130+ROW()/1000000000,"")</f>
        <v/>
      </c>
      <c r="X130" s="88">
        <f>IF(AND(C130&lt;&gt;"",E130&gt;0,F130&gt;0,OR(CatSel="Todas",D130=CatSel)),H130+ROW()/1000000000,"")</f>
        <v/>
      </c>
    </row>
    <row r="131">
      <c r="B131" s="83" t="n"/>
      <c r="C131" s="83" t="n"/>
      <c r="D131" s="83" t="n"/>
      <c r="E131" s="84" t="n"/>
      <c r="F131" s="84" t="n"/>
      <c r="G131" s="85">
        <f>IF(OR(C131="",E131&lt;=0,DivMargen&lt;=0),0,IF(Redondeo&gt;0,CEILING(E131/DivMargen,Redondeo),E131/DivMargen))</f>
        <v/>
      </c>
      <c r="H131" s="85">
        <f>IF(OR(C131="",E131&lt;=0,F131&lt;=0),0,F131*DivBase-E131)</f>
        <v/>
      </c>
      <c r="I131" s="86">
        <f>IF(OR(C131="",E131&lt;=0,F131&lt;=0),0,H131/F131)</f>
        <v/>
      </c>
      <c r="J131" s="84" t="n"/>
      <c r="K131" s="85">
        <f>IF(OR(C131="",E131&lt;=0),0,E131*J131)</f>
        <v/>
      </c>
      <c r="L131" s="74">
        <f>IF(OR(C131="",E131&lt;=0),"",IF(F131&lt;=0,"Sin precio",IF(H131&lt;0,"PÉRDIDA",IF(I131&lt;MargenMin,"Margen bajo",IF(I131&lt;MargenObjReal,"Aceptable","Rentable")))))</f>
        <v/>
      </c>
      <c r="M131" s="83" t="n"/>
      <c r="N131" s="87">
        <f>IF(ISNUMBER(W131),RANK(W131,$W$7:$W$206),"")</f>
        <v/>
      </c>
      <c r="W131" s="88">
        <f>IF(AND(C131&lt;&gt;"",E131&gt;0,F131&gt;0),H131+ROW()/1000000000,"")</f>
        <v/>
      </c>
      <c r="X131" s="88">
        <f>IF(AND(C131&lt;&gt;"",E131&gt;0,F131&gt;0,OR(CatSel="Todas",D131=CatSel)),H131+ROW()/1000000000,"")</f>
        <v/>
      </c>
    </row>
    <row r="132">
      <c r="B132" s="83" t="n"/>
      <c r="C132" s="83" t="n"/>
      <c r="D132" s="83" t="n"/>
      <c r="E132" s="84" t="n"/>
      <c r="F132" s="84" t="n"/>
      <c r="G132" s="85">
        <f>IF(OR(C132="",E132&lt;=0,DivMargen&lt;=0),0,IF(Redondeo&gt;0,CEILING(E132/DivMargen,Redondeo),E132/DivMargen))</f>
        <v/>
      </c>
      <c r="H132" s="85">
        <f>IF(OR(C132="",E132&lt;=0,F132&lt;=0),0,F132*DivBase-E132)</f>
        <v/>
      </c>
      <c r="I132" s="86">
        <f>IF(OR(C132="",E132&lt;=0,F132&lt;=0),0,H132/F132)</f>
        <v/>
      </c>
      <c r="J132" s="84" t="n"/>
      <c r="K132" s="85">
        <f>IF(OR(C132="",E132&lt;=0),0,E132*J132)</f>
        <v/>
      </c>
      <c r="L132" s="74">
        <f>IF(OR(C132="",E132&lt;=0),"",IF(F132&lt;=0,"Sin precio",IF(H132&lt;0,"PÉRDIDA",IF(I132&lt;MargenMin,"Margen bajo",IF(I132&lt;MargenObjReal,"Aceptable","Rentable")))))</f>
        <v/>
      </c>
      <c r="M132" s="83" t="n"/>
      <c r="N132" s="87">
        <f>IF(ISNUMBER(W132),RANK(W132,$W$7:$W$206),"")</f>
        <v/>
      </c>
      <c r="W132" s="88">
        <f>IF(AND(C132&lt;&gt;"",E132&gt;0,F132&gt;0),H132+ROW()/1000000000,"")</f>
        <v/>
      </c>
      <c r="X132" s="88">
        <f>IF(AND(C132&lt;&gt;"",E132&gt;0,F132&gt;0,OR(CatSel="Todas",D132=CatSel)),H132+ROW()/1000000000,"")</f>
        <v/>
      </c>
    </row>
    <row r="133">
      <c r="B133" s="83" t="n"/>
      <c r="C133" s="83" t="n"/>
      <c r="D133" s="83" t="n"/>
      <c r="E133" s="84" t="n"/>
      <c r="F133" s="84" t="n"/>
      <c r="G133" s="85">
        <f>IF(OR(C133="",E133&lt;=0,DivMargen&lt;=0),0,IF(Redondeo&gt;0,CEILING(E133/DivMargen,Redondeo),E133/DivMargen))</f>
        <v/>
      </c>
      <c r="H133" s="85">
        <f>IF(OR(C133="",E133&lt;=0,F133&lt;=0),0,F133*DivBase-E133)</f>
        <v/>
      </c>
      <c r="I133" s="86">
        <f>IF(OR(C133="",E133&lt;=0,F133&lt;=0),0,H133/F133)</f>
        <v/>
      </c>
      <c r="J133" s="84" t="n"/>
      <c r="K133" s="85">
        <f>IF(OR(C133="",E133&lt;=0),0,E133*J133)</f>
        <v/>
      </c>
      <c r="L133" s="74">
        <f>IF(OR(C133="",E133&lt;=0),"",IF(F133&lt;=0,"Sin precio",IF(H133&lt;0,"PÉRDIDA",IF(I133&lt;MargenMin,"Margen bajo",IF(I133&lt;MargenObjReal,"Aceptable","Rentable")))))</f>
        <v/>
      </c>
      <c r="M133" s="83" t="n"/>
      <c r="N133" s="87">
        <f>IF(ISNUMBER(W133),RANK(W133,$W$7:$W$206),"")</f>
        <v/>
      </c>
      <c r="W133" s="88">
        <f>IF(AND(C133&lt;&gt;"",E133&gt;0,F133&gt;0),H133+ROW()/1000000000,"")</f>
        <v/>
      </c>
      <c r="X133" s="88">
        <f>IF(AND(C133&lt;&gt;"",E133&gt;0,F133&gt;0,OR(CatSel="Todas",D133=CatSel)),H133+ROW()/1000000000,"")</f>
        <v/>
      </c>
    </row>
    <row r="134">
      <c r="B134" s="83" t="n"/>
      <c r="C134" s="83" t="n"/>
      <c r="D134" s="83" t="n"/>
      <c r="E134" s="84" t="n"/>
      <c r="F134" s="84" t="n"/>
      <c r="G134" s="85">
        <f>IF(OR(C134="",E134&lt;=0,DivMargen&lt;=0),0,IF(Redondeo&gt;0,CEILING(E134/DivMargen,Redondeo),E134/DivMargen))</f>
        <v/>
      </c>
      <c r="H134" s="85">
        <f>IF(OR(C134="",E134&lt;=0,F134&lt;=0),0,F134*DivBase-E134)</f>
        <v/>
      </c>
      <c r="I134" s="86">
        <f>IF(OR(C134="",E134&lt;=0,F134&lt;=0),0,H134/F134)</f>
        <v/>
      </c>
      <c r="J134" s="84" t="n"/>
      <c r="K134" s="85">
        <f>IF(OR(C134="",E134&lt;=0),0,E134*J134)</f>
        <v/>
      </c>
      <c r="L134" s="74">
        <f>IF(OR(C134="",E134&lt;=0),"",IF(F134&lt;=0,"Sin precio",IF(H134&lt;0,"PÉRDIDA",IF(I134&lt;MargenMin,"Margen bajo",IF(I134&lt;MargenObjReal,"Aceptable","Rentable")))))</f>
        <v/>
      </c>
      <c r="M134" s="83" t="n"/>
      <c r="N134" s="87">
        <f>IF(ISNUMBER(W134),RANK(W134,$W$7:$W$206),"")</f>
        <v/>
      </c>
      <c r="W134" s="88">
        <f>IF(AND(C134&lt;&gt;"",E134&gt;0,F134&gt;0),H134+ROW()/1000000000,"")</f>
        <v/>
      </c>
      <c r="X134" s="88">
        <f>IF(AND(C134&lt;&gt;"",E134&gt;0,F134&gt;0,OR(CatSel="Todas",D134=CatSel)),H134+ROW()/1000000000,"")</f>
        <v/>
      </c>
    </row>
    <row r="135">
      <c r="B135" s="83" t="n"/>
      <c r="C135" s="83" t="n"/>
      <c r="D135" s="83" t="n"/>
      <c r="E135" s="84" t="n"/>
      <c r="F135" s="84" t="n"/>
      <c r="G135" s="85">
        <f>IF(OR(C135="",E135&lt;=0,DivMargen&lt;=0),0,IF(Redondeo&gt;0,CEILING(E135/DivMargen,Redondeo),E135/DivMargen))</f>
        <v/>
      </c>
      <c r="H135" s="85">
        <f>IF(OR(C135="",E135&lt;=0,F135&lt;=0),0,F135*DivBase-E135)</f>
        <v/>
      </c>
      <c r="I135" s="86">
        <f>IF(OR(C135="",E135&lt;=0,F135&lt;=0),0,H135/F135)</f>
        <v/>
      </c>
      <c r="J135" s="84" t="n"/>
      <c r="K135" s="85">
        <f>IF(OR(C135="",E135&lt;=0),0,E135*J135)</f>
        <v/>
      </c>
      <c r="L135" s="74">
        <f>IF(OR(C135="",E135&lt;=0),"",IF(F135&lt;=0,"Sin precio",IF(H135&lt;0,"PÉRDIDA",IF(I135&lt;MargenMin,"Margen bajo",IF(I135&lt;MargenObjReal,"Aceptable","Rentable")))))</f>
        <v/>
      </c>
      <c r="M135" s="83" t="n"/>
      <c r="N135" s="87">
        <f>IF(ISNUMBER(W135),RANK(W135,$W$7:$W$206),"")</f>
        <v/>
      </c>
      <c r="W135" s="88">
        <f>IF(AND(C135&lt;&gt;"",E135&gt;0,F135&gt;0),H135+ROW()/1000000000,"")</f>
        <v/>
      </c>
      <c r="X135" s="88">
        <f>IF(AND(C135&lt;&gt;"",E135&gt;0,F135&gt;0,OR(CatSel="Todas",D135=CatSel)),H135+ROW()/1000000000,"")</f>
        <v/>
      </c>
    </row>
    <row r="136">
      <c r="B136" s="83" t="n"/>
      <c r="C136" s="83" t="n"/>
      <c r="D136" s="83" t="n"/>
      <c r="E136" s="84" t="n"/>
      <c r="F136" s="84" t="n"/>
      <c r="G136" s="85">
        <f>IF(OR(C136="",E136&lt;=0,DivMargen&lt;=0),0,IF(Redondeo&gt;0,CEILING(E136/DivMargen,Redondeo),E136/DivMargen))</f>
        <v/>
      </c>
      <c r="H136" s="85">
        <f>IF(OR(C136="",E136&lt;=0,F136&lt;=0),0,F136*DivBase-E136)</f>
        <v/>
      </c>
      <c r="I136" s="86">
        <f>IF(OR(C136="",E136&lt;=0,F136&lt;=0),0,H136/F136)</f>
        <v/>
      </c>
      <c r="J136" s="84" t="n"/>
      <c r="K136" s="85">
        <f>IF(OR(C136="",E136&lt;=0),0,E136*J136)</f>
        <v/>
      </c>
      <c r="L136" s="74">
        <f>IF(OR(C136="",E136&lt;=0),"",IF(F136&lt;=0,"Sin precio",IF(H136&lt;0,"PÉRDIDA",IF(I136&lt;MargenMin,"Margen bajo",IF(I136&lt;MargenObjReal,"Aceptable","Rentable")))))</f>
        <v/>
      </c>
      <c r="M136" s="83" t="n"/>
      <c r="N136" s="87">
        <f>IF(ISNUMBER(W136),RANK(W136,$W$7:$W$206),"")</f>
        <v/>
      </c>
      <c r="W136" s="88">
        <f>IF(AND(C136&lt;&gt;"",E136&gt;0,F136&gt;0),H136+ROW()/1000000000,"")</f>
        <v/>
      </c>
      <c r="X136" s="88">
        <f>IF(AND(C136&lt;&gt;"",E136&gt;0,F136&gt;0,OR(CatSel="Todas",D136=CatSel)),H136+ROW()/1000000000,"")</f>
        <v/>
      </c>
    </row>
    <row r="137">
      <c r="B137" s="83" t="n"/>
      <c r="C137" s="83" t="n"/>
      <c r="D137" s="83" t="n"/>
      <c r="E137" s="84" t="n"/>
      <c r="F137" s="84" t="n"/>
      <c r="G137" s="85">
        <f>IF(OR(C137="",E137&lt;=0,DivMargen&lt;=0),0,IF(Redondeo&gt;0,CEILING(E137/DivMargen,Redondeo),E137/DivMargen))</f>
        <v/>
      </c>
      <c r="H137" s="85">
        <f>IF(OR(C137="",E137&lt;=0,F137&lt;=0),0,F137*DivBase-E137)</f>
        <v/>
      </c>
      <c r="I137" s="86">
        <f>IF(OR(C137="",E137&lt;=0,F137&lt;=0),0,H137/F137)</f>
        <v/>
      </c>
      <c r="J137" s="84" t="n"/>
      <c r="K137" s="85">
        <f>IF(OR(C137="",E137&lt;=0),0,E137*J137)</f>
        <v/>
      </c>
      <c r="L137" s="74">
        <f>IF(OR(C137="",E137&lt;=0),"",IF(F137&lt;=0,"Sin precio",IF(H137&lt;0,"PÉRDIDA",IF(I137&lt;MargenMin,"Margen bajo",IF(I137&lt;MargenObjReal,"Aceptable","Rentable")))))</f>
        <v/>
      </c>
      <c r="M137" s="83" t="n"/>
      <c r="N137" s="87">
        <f>IF(ISNUMBER(W137),RANK(W137,$W$7:$W$206),"")</f>
        <v/>
      </c>
      <c r="W137" s="88">
        <f>IF(AND(C137&lt;&gt;"",E137&gt;0,F137&gt;0),H137+ROW()/1000000000,"")</f>
        <v/>
      </c>
      <c r="X137" s="88">
        <f>IF(AND(C137&lt;&gt;"",E137&gt;0,F137&gt;0,OR(CatSel="Todas",D137=CatSel)),H137+ROW()/1000000000,"")</f>
        <v/>
      </c>
    </row>
    <row r="138">
      <c r="B138" s="83" t="n"/>
      <c r="C138" s="83" t="n"/>
      <c r="D138" s="83" t="n"/>
      <c r="E138" s="84" t="n"/>
      <c r="F138" s="84" t="n"/>
      <c r="G138" s="85">
        <f>IF(OR(C138="",E138&lt;=0,DivMargen&lt;=0),0,IF(Redondeo&gt;0,CEILING(E138/DivMargen,Redondeo),E138/DivMargen))</f>
        <v/>
      </c>
      <c r="H138" s="85">
        <f>IF(OR(C138="",E138&lt;=0,F138&lt;=0),0,F138*DivBase-E138)</f>
        <v/>
      </c>
      <c r="I138" s="86">
        <f>IF(OR(C138="",E138&lt;=0,F138&lt;=0),0,H138/F138)</f>
        <v/>
      </c>
      <c r="J138" s="84" t="n"/>
      <c r="K138" s="85">
        <f>IF(OR(C138="",E138&lt;=0),0,E138*J138)</f>
        <v/>
      </c>
      <c r="L138" s="74">
        <f>IF(OR(C138="",E138&lt;=0),"",IF(F138&lt;=0,"Sin precio",IF(H138&lt;0,"PÉRDIDA",IF(I138&lt;MargenMin,"Margen bajo",IF(I138&lt;MargenObjReal,"Aceptable","Rentable")))))</f>
        <v/>
      </c>
      <c r="M138" s="83" t="n"/>
      <c r="N138" s="87">
        <f>IF(ISNUMBER(W138),RANK(W138,$W$7:$W$206),"")</f>
        <v/>
      </c>
      <c r="W138" s="88">
        <f>IF(AND(C138&lt;&gt;"",E138&gt;0,F138&gt;0),H138+ROW()/1000000000,"")</f>
        <v/>
      </c>
      <c r="X138" s="88">
        <f>IF(AND(C138&lt;&gt;"",E138&gt;0,F138&gt;0,OR(CatSel="Todas",D138=CatSel)),H138+ROW()/1000000000,"")</f>
        <v/>
      </c>
    </row>
    <row r="139">
      <c r="B139" s="83" t="n"/>
      <c r="C139" s="83" t="n"/>
      <c r="D139" s="83" t="n"/>
      <c r="E139" s="84" t="n"/>
      <c r="F139" s="84" t="n"/>
      <c r="G139" s="85">
        <f>IF(OR(C139="",E139&lt;=0,DivMargen&lt;=0),0,IF(Redondeo&gt;0,CEILING(E139/DivMargen,Redondeo),E139/DivMargen))</f>
        <v/>
      </c>
      <c r="H139" s="85">
        <f>IF(OR(C139="",E139&lt;=0,F139&lt;=0),0,F139*DivBase-E139)</f>
        <v/>
      </c>
      <c r="I139" s="86">
        <f>IF(OR(C139="",E139&lt;=0,F139&lt;=0),0,H139/F139)</f>
        <v/>
      </c>
      <c r="J139" s="84" t="n"/>
      <c r="K139" s="85">
        <f>IF(OR(C139="",E139&lt;=0),0,E139*J139)</f>
        <v/>
      </c>
      <c r="L139" s="74">
        <f>IF(OR(C139="",E139&lt;=0),"",IF(F139&lt;=0,"Sin precio",IF(H139&lt;0,"PÉRDIDA",IF(I139&lt;MargenMin,"Margen bajo",IF(I139&lt;MargenObjReal,"Aceptable","Rentable")))))</f>
        <v/>
      </c>
      <c r="M139" s="83" t="n"/>
      <c r="N139" s="87">
        <f>IF(ISNUMBER(W139),RANK(W139,$W$7:$W$206),"")</f>
        <v/>
      </c>
      <c r="W139" s="88">
        <f>IF(AND(C139&lt;&gt;"",E139&gt;0,F139&gt;0),H139+ROW()/1000000000,"")</f>
        <v/>
      </c>
      <c r="X139" s="88">
        <f>IF(AND(C139&lt;&gt;"",E139&gt;0,F139&gt;0,OR(CatSel="Todas",D139=CatSel)),H139+ROW()/1000000000,"")</f>
        <v/>
      </c>
    </row>
    <row r="140">
      <c r="B140" s="83" t="n"/>
      <c r="C140" s="83" t="n"/>
      <c r="D140" s="83" t="n"/>
      <c r="E140" s="84" t="n"/>
      <c r="F140" s="84" t="n"/>
      <c r="G140" s="85">
        <f>IF(OR(C140="",E140&lt;=0,DivMargen&lt;=0),0,IF(Redondeo&gt;0,CEILING(E140/DivMargen,Redondeo),E140/DivMargen))</f>
        <v/>
      </c>
      <c r="H140" s="85">
        <f>IF(OR(C140="",E140&lt;=0,F140&lt;=0),0,F140*DivBase-E140)</f>
        <v/>
      </c>
      <c r="I140" s="86">
        <f>IF(OR(C140="",E140&lt;=0,F140&lt;=0),0,H140/F140)</f>
        <v/>
      </c>
      <c r="J140" s="84" t="n"/>
      <c r="K140" s="85">
        <f>IF(OR(C140="",E140&lt;=0),0,E140*J140)</f>
        <v/>
      </c>
      <c r="L140" s="74">
        <f>IF(OR(C140="",E140&lt;=0),"",IF(F140&lt;=0,"Sin precio",IF(H140&lt;0,"PÉRDIDA",IF(I140&lt;MargenMin,"Margen bajo",IF(I140&lt;MargenObjReal,"Aceptable","Rentable")))))</f>
        <v/>
      </c>
      <c r="M140" s="83" t="n"/>
      <c r="N140" s="87">
        <f>IF(ISNUMBER(W140),RANK(W140,$W$7:$W$206),"")</f>
        <v/>
      </c>
      <c r="W140" s="88">
        <f>IF(AND(C140&lt;&gt;"",E140&gt;0,F140&gt;0),H140+ROW()/1000000000,"")</f>
        <v/>
      </c>
      <c r="X140" s="88">
        <f>IF(AND(C140&lt;&gt;"",E140&gt;0,F140&gt;0,OR(CatSel="Todas",D140=CatSel)),H140+ROW()/1000000000,"")</f>
        <v/>
      </c>
    </row>
    <row r="141">
      <c r="B141" s="83" t="n"/>
      <c r="C141" s="83" t="n"/>
      <c r="D141" s="83" t="n"/>
      <c r="E141" s="84" t="n"/>
      <c r="F141" s="84" t="n"/>
      <c r="G141" s="85">
        <f>IF(OR(C141="",E141&lt;=0,DivMargen&lt;=0),0,IF(Redondeo&gt;0,CEILING(E141/DivMargen,Redondeo),E141/DivMargen))</f>
        <v/>
      </c>
      <c r="H141" s="85">
        <f>IF(OR(C141="",E141&lt;=0,F141&lt;=0),0,F141*DivBase-E141)</f>
        <v/>
      </c>
      <c r="I141" s="86">
        <f>IF(OR(C141="",E141&lt;=0,F141&lt;=0),0,H141/F141)</f>
        <v/>
      </c>
      <c r="J141" s="84" t="n"/>
      <c r="K141" s="85">
        <f>IF(OR(C141="",E141&lt;=0),0,E141*J141)</f>
        <v/>
      </c>
      <c r="L141" s="74">
        <f>IF(OR(C141="",E141&lt;=0),"",IF(F141&lt;=0,"Sin precio",IF(H141&lt;0,"PÉRDIDA",IF(I141&lt;MargenMin,"Margen bajo",IF(I141&lt;MargenObjReal,"Aceptable","Rentable")))))</f>
        <v/>
      </c>
      <c r="M141" s="83" t="n"/>
      <c r="N141" s="87">
        <f>IF(ISNUMBER(W141),RANK(W141,$W$7:$W$206),"")</f>
        <v/>
      </c>
      <c r="W141" s="88">
        <f>IF(AND(C141&lt;&gt;"",E141&gt;0,F141&gt;0),H141+ROW()/1000000000,"")</f>
        <v/>
      </c>
      <c r="X141" s="88">
        <f>IF(AND(C141&lt;&gt;"",E141&gt;0,F141&gt;0,OR(CatSel="Todas",D141=CatSel)),H141+ROW()/1000000000,"")</f>
        <v/>
      </c>
    </row>
    <row r="142">
      <c r="B142" s="83" t="n"/>
      <c r="C142" s="83" t="n"/>
      <c r="D142" s="83" t="n"/>
      <c r="E142" s="84" t="n"/>
      <c r="F142" s="84" t="n"/>
      <c r="G142" s="85">
        <f>IF(OR(C142="",E142&lt;=0,DivMargen&lt;=0),0,IF(Redondeo&gt;0,CEILING(E142/DivMargen,Redondeo),E142/DivMargen))</f>
        <v/>
      </c>
      <c r="H142" s="85">
        <f>IF(OR(C142="",E142&lt;=0,F142&lt;=0),0,F142*DivBase-E142)</f>
        <v/>
      </c>
      <c r="I142" s="86">
        <f>IF(OR(C142="",E142&lt;=0,F142&lt;=0),0,H142/F142)</f>
        <v/>
      </c>
      <c r="J142" s="84" t="n"/>
      <c r="K142" s="85">
        <f>IF(OR(C142="",E142&lt;=0),0,E142*J142)</f>
        <v/>
      </c>
      <c r="L142" s="74">
        <f>IF(OR(C142="",E142&lt;=0),"",IF(F142&lt;=0,"Sin precio",IF(H142&lt;0,"PÉRDIDA",IF(I142&lt;MargenMin,"Margen bajo",IF(I142&lt;MargenObjReal,"Aceptable","Rentable")))))</f>
        <v/>
      </c>
      <c r="M142" s="83" t="n"/>
      <c r="N142" s="87">
        <f>IF(ISNUMBER(W142),RANK(W142,$W$7:$W$206),"")</f>
        <v/>
      </c>
      <c r="W142" s="88">
        <f>IF(AND(C142&lt;&gt;"",E142&gt;0,F142&gt;0),H142+ROW()/1000000000,"")</f>
        <v/>
      </c>
      <c r="X142" s="88">
        <f>IF(AND(C142&lt;&gt;"",E142&gt;0,F142&gt;0,OR(CatSel="Todas",D142=CatSel)),H142+ROW()/1000000000,"")</f>
        <v/>
      </c>
    </row>
    <row r="143">
      <c r="B143" s="83" t="n"/>
      <c r="C143" s="83" t="n"/>
      <c r="D143" s="83" t="n"/>
      <c r="E143" s="84" t="n"/>
      <c r="F143" s="84" t="n"/>
      <c r="G143" s="85">
        <f>IF(OR(C143="",E143&lt;=0,DivMargen&lt;=0),0,IF(Redondeo&gt;0,CEILING(E143/DivMargen,Redondeo),E143/DivMargen))</f>
        <v/>
      </c>
      <c r="H143" s="85">
        <f>IF(OR(C143="",E143&lt;=0,F143&lt;=0),0,F143*DivBase-E143)</f>
        <v/>
      </c>
      <c r="I143" s="86">
        <f>IF(OR(C143="",E143&lt;=0,F143&lt;=0),0,H143/F143)</f>
        <v/>
      </c>
      <c r="J143" s="84" t="n"/>
      <c r="K143" s="85">
        <f>IF(OR(C143="",E143&lt;=0),0,E143*J143)</f>
        <v/>
      </c>
      <c r="L143" s="74">
        <f>IF(OR(C143="",E143&lt;=0),"",IF(F143&lt;=0,"Sin precio",IF(H143&lt;0,"PÉRDIDA",IF(I143&lt;MargenMin,"Margen bajo",IF(I143&lt;MargenObjReal,"Aceptable","Rentable")))))</f>
        <v/>
      </c>
      <c r="M143" s="83" t="n"/>
      <c r="N143" s="87">
        <f>IF(ISNUMBER(W143),RANK(W143,$W$7:$W$206),"")</f>
        <v/>
      </c>
      <c r="W143" s="88">
        <f>IF(AND(C143&lt;&gt;"",E143&gt;0,F143&gt;0),H143+ROW()/1000000000,"")</f>
        <v/>
      </c>
      <c r="X143" s="88">
        <f>IF(AND(C143&lt;&gt;"",E143&gt;0,F143&gt;0,OR(CatSel="Todas",D143=CatSel)),H143+ROW()/1000000000,"")</f>
        <v/>
      </c>
    </row>
    <row r="144">
      <c r="B144" s="83" t="n"/>
      <c r="C144" s="83" t="n"/>
      <c r="D144" s="83" t="n"/>
      <c r="E144" s="84" t="n"/>
      <c r="F144" s="84" t="n"/>
      <c r="G144" s="85">
        <f>IF(OR(C144="",E144&lt;=0,DivMargen&lt;=0),0,IF(Redondeo&gt;0,CEILING(E144/DivMargen,Redondeo),E144/DivMargen))</f>
        <v/>
      </c>
      <c r="H144" s="85">
        <f>IF(OR(C144="",E144&lt;=0,F144&lt;=0),0,F144*DivBase-E144)</f>
        <v/>
      </c>
      <c r="I144" s="86">
        <f>IF(OR(C144="",E144&lt;=0,F144&lt;=0),0,H144/F144)</f>
        <v/>
      </c>
      <c r="J144" s="84" t="n"/>
      <c r="K144" s="85">
        <f>IF(OR(C144="",E144&lt;=0),0,E144*J144)</f>
        <v/>
      </c>
      <c r="L144" s="74">
        <f>IF(OR(C144="",E144&lt;=0),"",IF(F144&lt;=0,"Sin precio",IF(H144&lt;0,"PÉRDIDA",IF(I144&lt;MargenMin,"Margen bajo",IF(I144&lt;MargenObjReal,"Aceptable","Rentable")))))</f>
        <v/>
      </c>
      <c r="M144" s="83" t="n"/>
      <c r="N144" s="87">
        <f>IF(ISNUMBER(W144),RANK(W144,$W$7:$W$206),"")</f>
        <v/>
      </c>
      <c r="W144" s="88">
        <f>IF(AND(C144&lt;&gt;"",E144&gt;0,F144&gt;0),H144+ROW()/1000000000,"")</f>
        <v/>
      </c>
      <c r="X144" s="88">
        <f>IF(AND(C144&lt;&gt;"",E144&gt;0,F144&gt;0,OR(CatSel="Todas",D144=CatSel)),H144+ROW()/1000000000,"")</f>
        <v/>
      </c>
    </row>
    <row r="145">
      <c r="B145" s="83" t="n"/>
      <c r="C145" s="83" t="n"/>
      <c r="D145" s="83" t="n"/>
      <c r="E145" s="84" t="n"/>
      <c r="F145" s="84" t="n"/>
      <c r="G145" s="85">
        <f>IF(OR(C145="",E145&lt;=0,DivMargen&lt;=0),0,IF(Redondeo&gt;0,CEILING(E145/DivMargen,Redondeo),E145/DivMargen))</f>
        <v/>
      </c>
      <c r="H145" s="85">
        <f>IF(OR(C145="",E145&lt;=0,F145&lt;=0),0,F145*DivBase-E145)</f>
        <v/>
      </c>
      <c r="I145" s="86">
        <f>IF(OR(C145="",E145&lt;=0,F145&lt;=0),0,H145/F145)</f>
        <v/>
      </c>
      <c r="J145" s="84" t="n"/>
      <c r="K145" s="85">
        <f>IF(OR(C145="",E145&lt;=0),0,E145*J145)</f>
        <v/>
      </c>
      <c r="L145" s="74">
        <f>IF(OR(C145="",E145&lt;=0),"",IF(F145&lt;=0,"Sin precio",IF(H145&lt;0,"PÉRDIDA",IF(I145&lt;MargenMin,"Margen bajo",IF(I145&lt;MargenObjReal,"Aceptable","Rentable")))))</f>
        <v/>
      </c>
      <c r="M145" s="83" t="n"/>
      <c r="N145" s="87">
        <f>IF(ISNUMBER(W145),RANK(W145,$W$7:$W$206),"")</f>
        <v/>
      </c>
      <c r="W145" s="88">
        <f>IF(AND(C145&lt;&gt;"",E145&gt;0,F145&gt;0),H145+ROW()/1000000000,"")</f>
        <v/>
      </c>
      <c r="X145" s="88">
        <f>IF(AND(C145&lt;&gt;"",E145&gt;0,F145&gt;0,OR(CatSel="Todas",D145=CatSel)),H145+ROW()/1000000000,"")</f>
        <v/>
      </c>
    </row>
    <row r="146">
      <c r="B146" s="83" t="n"/>
      <c r="C146" s="83" t="n"/>
      <c r="D146" s="83" t="n"/>
      <c r="E146" s="84" t="n"/>
      <c r="F146" s="84" t="n"/>
      <c r="G146" s="85">
        <f>IF(OR(C146="",E146&lt;=0,DivMargen&lt;=0),0,IF(Redondeo&gt;0,CEILING(E146/DivMargen,Redondeo),E146/DivMargen))</f>
        <v/>
      </c>
      <c r="H146" s="85">
        <f>IF(OR(C146="",E146&lt;=0,F146&lt;=0),0,F146*DivBase-E146)</f>
        <v/>
      </c>
      <c r="I146" s="86">
        <f>IF(OR(C146="",E146&lt;=0,F146&lt;=0),0,H146/F146)</f>
        <v/>
      </c>
      <c r="J146" s="84" t="n"/>
      <c r="K146" s="85">
        <f>IF(OR(C146="",E146&lt;=0),0,E146*J146)</f>
        <v/>
      </c>
      <c r="L146" s="74">
        <f>IF(OR(C146="",E146&lt;=0),"",IF(F146&lt;=0,"Sin precio",IF(H146&lt;0,"PÉRDIDA",IF(I146&lt;MargenMin,"Margen bajo",IF(I146&lt;MargenObjReal,"Aceptable","Rentable")))))</f>
        <v/>
      </c>
      <c r="M146" s="83" t="n"/>
      <c r="N146" s="87">
        <f>IF(ISNUMBER(W146),RANK(W146,$W$7:$W$206),"")</f>
        <v/>
      </c>
      <c r="W146" s="88">
        <f>IF(AND(C146&lt;&gt;"",E146&gt;0,F146&gt;0),H146+ROW()/1000000000,"")</f>
        <v/>
      </c>
      <c r="X146" s="88">
        <f>IF(AND(C146&lt;&gt;"",E146&gt;0,F146&gt;0,OR(CatSel="Todas",D146=CatSel)),H146+ROW()/1000000000,"")</f>
        <v/>
      </c>
    </row>
    <row r="147">
      <c r="B147" s="83" t="n"/>
      <c r="C147" s="83" t="n"/>
      <c r="D147" s="83" t="n"/>
      <c r="E147" s="84" t="n"/>
      <c r="F147" s="84" t="n"/>
      <c r="G147" s="85">
        <f>IF(OR(C147="",E147&lt;=0,DivMargen&lt;=0),0,IF(Redondeo&gt;0,CEILING(E147/DivMargen,Redondeo),E147/DivMargen))</f>
        <v/>
      </c>
      <c r="H147" s="85">
        <f>IF(OR(C147="",E147&lt;=0,F147&lt;=0),0,F147*DivBase-E147)</f>
        <v/>
      </c>
      <c r="I147" s="86">
        <f>IF(OR(C147="",E147&lt;=0,F147&lt;=0),0,H147/F147)</f>
        <v/>
      </c>
      <c r="J147" s="84" t="n"/>
      <c r="K147" s="85">
        <f>IF(OR(C147="",E147&lt;=0),0,E147*J147)</f>
        <v/>
      </c>
      <c r="L147" s="74">
        <f>IF(OR(C147="",E147&lt;=0),"",IF(F147&lt;=0,"Sin precio",IF(H147&lt;0,"PÉRDIDA",IF(I147&lt;MargenMin,"Margen bajo",IF(I147&lt;MargenObjReal,"Aceptable","Rentable")))))</f>
        <v/>
      </c>
      <c r="M147" s="83" t="n"/>
      <c r="N147" s="87">
        <f>IF(ISNUMBER(W147),RANK(W147,$W$7:$W$206),"")</f>
        <v/>
      </c>
      <c r="W147" s="88">
        <f>IF(AND(C147&lt;&gt;"",E147&gt;0,F147&gt;0),H147+ROW()/1000000000,"")</f>
        <v/>
      </c>
      <c r="X147" s="88">
        <f>IF(AND(C147&lt;&gt;"",E147&gt;0,F147&gt;0,OR(CatSel="Todas",D147=CatSel)),H147+ROW()/1000000000,"")</f>
        <v/>
      </c>
    </row>
    <row r="148">
      <c r="B148" s="83" t="n"/>
      <c r="C148" s="83" t="n"/>
      <c r="D148" s="83" t="n"/>
      <c r="E148" s="84" t="n"/>
      <c r="F148" s="84" t="n"/>
      <c r="G148" s="85">
        <f>IF(OR(C148="",E148&lt;=0,DivMargen&lt;=0),0,IF(Redondeo&gt;0,CEILING(E148/DivMargen,Redondeo),E148/DivMargen))</f>
        <v/>
      </c>
      <c r="H148" s="85">
        <f>IF(OR(C148="",E148&lt;=0,F148&lt;=0),0,F148*DivBase-E148)</f>
        <v/>
      </c>
      <c r="I148" s="86">
        <f>IF(OR(C148="",E148&lt;=0,F148&lt;=0),0,H148/F148)</f>
        <v/>
      </c>
      <c r="J148" s="84" t="n"/>
      <c r="K148" s="85">
        <f>IF(OR(C148="",E148&lt;=0),0,E148*J148)</f>
        <v/>
      </c>
      <c r="L148" s="74">
        <f>IF(OR(C148="",E148&lt;=0),"",IF(F148&lt;=0,"Sin precio",IF(H148&lt;0,"PÉRDIDA",IF(I148&lt;MargenMin,"Margen bajo",IF(I148&lt;MargenObjReal,"Aceptable","Rentable")))))</f>
        <v/>
      </c>
      <c r="M148" s="83" t="n"/>
      <c r="N148" s="87">
        <f>IF(ISNUMBER(W148),RANK(W148,$W$7:$W$206),"")</f>
        <v/>
      </c>
      <c r="W148" s="88">
        <f>IF(AND(C148&lt;&gt;"",E148&gt;0,F148&gt;0),H148+ROW()/1000000000,"")</f>
        <v/>
      </c>
      <c r="X148" s="88">
        <f>IF(AND(C148&lt;&gt;"",E148&gt;0,F148&gt;0,OR(CatSel="Todas",D148=CatSel)),H148+ROW()/1000000000,"")</f>
        <v/>
      </c>
    </row>
    <row r="149">
      <c r="B149" s="83" t="n"/>
      <c r="C149" s="83" t="n"/>
      <c r="D149" s="83" t="n"/>
      <c r="E149" s="84" t="n"/>
      <c r="F149" s="84" t="n"/>
      <c r="G149" s="85">
        <f>IF(OR(C149="",E149&lt;=0,DivMargen&lt;=0),0,IF(Redondeo&gt;0,CEILING(E149/DivMargen,Redondeo),E149/DivMargen))</f>
        <v/>
      </c>
      <c r="H149" s="85">
        <f>IF(OR(C149="",E149&lt;=0,F149&lt;=0),0,F149*DivBase-E149)</f>
        <v/>
      </c>
      <c r="I149" s="86">
        <f>IF(OR(C149="",E149&lt;=0,F149&lt;=0),0,H149/F149)</f>
        <v/>
      </c>
      <c r="J149" s="84" t="n"/>
      <c r="K149" s="85">
        <f>IF(OR(C149="",E149&lt;=0),0,E149*J149)</f>
        <v/>
      </c>
      <c r="L149" s="74">
        <f>IF(OR(C149="",E149&lt;=0),"",IF(F149&lt;=0,"Sin precio",IF(H149&lt;0,"PÉRDIDA",IF(I149&lt;MargenMin,"Margen bajo",IF(I149&lt;MargenObjReal,"Aceptable","Rentable")))))</f>
        <v/>
      </c>
      <c r="M149" s="83" t="n"/>
      <c r="N149" s="87">
        <f>IF(ISNUMBER(W149),RANK(W149,$W$7:$W$206),"")</f>
        <v/>
      </c>
      <c r="W149" s="88">
        <f>IF(AND(C149&lt;&gt;"",E149&gt;0,F149&gt;0),H149+ROW()/1000000000,"")</f>
        <v/>
      </c>
      <c r="X149" s="88">
        <f>IF(AND(C149&lt;&gt;"",E149&gt;0,F149&gt;0,OR(CatSel="Todas",D149=CatSel)),H149+ROW()/1000000000,"")</f>
        <v/>
      </c>
    </row>
    <row r="150">
      <c r="B150" s="83" t="n"/>
      <c r="C150" s="83" t="n"/>
      <c r="D150" s="83" t="n"/>
      <c r="E150" s="84" t="n"/>
      <c r="F150" s="84" t="n"/>
      <c r="G150" s="85">
        <f>IF(OR(C150="",E150&lt;=0,DivMargen&lt;=0),0,IF(Redondeo&gt;0,CEILING(E150/DivMargen,Redondeo),E150/DivMargen))</f>
        <v/>
      </c>
      <c r="H150" s="85">
        <f>IF(OR(C150="",E150&lt;=0,F150&lt;=0),0,F150*DivBase-E150)</f>
        <v/>
      </c>
      <c r="I150" s="86">
        <f>IF(OR(C150="",E150&lt;=0,F150&lt;=0),0,H150/F150)</f>
        <v/>
      </c>
      <c r="J150" s="84" t="n"/>
      <c r="K150" s="85">
        <f>IF(OR(C150="",E150&lt;=0),0,E150*J150)</f>
        <v/>
      </c>
      <c r="L150" s="74">
        <f>IF(OR(C150="",E150&lt;=0),"",IF(F150&lt;=0,"Sin precio",IF(H150&lt;0,"PÉRDIDA",IF(I150&lt;MargenMin,"Margen bajo",IF(I150&lt;MargenObjReal,"Aceptable","Rentable")))))</f>
        <v/>
      </c>
      <c r="M150" s="83" t="n"/>
      <c r="N150" s="87">
        <f>IF(ISNUMBER(W150),RANK(W150,$W$7:$W$206),"")</f>
        <v/>
      </c>
      <c r="W150" s="88">
        <f>IF(AND(C150&lt;&gt;"",E150&gt;0,F150&gt;0),H150+ROW()/1000000000,"")</f>
        <v/>
      </c>
      <c r="X150" s="88">
        <f>IF(AND(C150&lt;&gt;"",E150&gt;0,F150&gt;0,OR(CatSel="Todas",D150=CatSel)),H150+ROW()/1000000000,"")</f>
        <v/>
      </c>
    </row>
    <row r="151">
      <c r="B151" s="83" t="n"/>
      <c r="C151" s="83" t="n"/>
      <c r="D151" s="83" t="n"/>
      <c r="E151" s="84" t="n"/>
      <c r="F151" s="84" t="n"/>
      <c r="G151" s="85">
        <f>IF(OR(C151="",E151&lt;=0,DivMargen&lt;=0),0,IF(Redondeo&gt;0,CEILING(E151/DivMargen,Redondeo),E151/DivMargen))</f>
        <v/>
      </c>
      <c r="H151" s="85">
        <f>IF(OR(C151="",E151&lt;=0,F151&lt;=0),0,F151*DivBase-E151)</f>
        <v/>
      </c>
      <c r="I151" s="86">
        <f>IF(OR(C151="",E151&lt;=0,F151&lt;=0),0,H151/F151)</f>
        <v/>
      </c>
      <c r="J151" s="84" t="n"/>
      <c r="K151" s="85">
        <f>IF(OR(C151="",E151&lt;=0),0,E151*J151)</f>
        <v/>
      </c>
      <c r="L151" s="74">
        <f>IF(OR(C151="",E151&lt;=0),"",IF(F151&lt;=0,"Sin precio",IF(H151&lt;0,"PÉRDIDA",IF(I151&lt;MargenMin,"Margen bajo",IF(I151&lt;MargenObjReal,"Aceptable","Rentable")))))</f>
        <v/>
      </c>
      <c r="M151" s="83" t="n"/>
      <c r="N151" s="87">
        <f>IF(ISNUMBER(W151),RANK(W151,$W$7:$W$206),"")</f>
        <v/>
      </c>
      <c r="W151" s="88">
        <f>IF(AND(C151&lt;&gt;"",E151&gt;0,F151&gt;0),H151+ROW()/1000000000,"")</f>
        <v/>
      </c>
      <c r="X151" s="88">
        <f>IF(AND(C151&lt;&gt;"",E151&gt;0,F151&gt;0,OR(CatSel="Todas",D151=CatSel)),H151+ROW()/1000000000,"")</f>
        <v/>
      </c>
    </row>
    <row r="152">
      <c r="B152" s="83" t="n"/>
      <c r="C152" s="83" t="n"/>
      <c r="D152" s="83" t="n"/>
      <c r="E152" s="84" t="n"/>
      <c r="F152" s="84" t="n"/>
      <c r="G152" s="85">
        <f>IF(OR(C152="",E152&lt;=0,DivMargen&lt;=0),0,IF(Redondeo&gt;0,CEILING(E152/DivMargen,Redondeo),E152/DivMargen))</f>
        <v/>
      </c>
      <c r="H152" s="85">
        <f>IF(OR(C152="",E152&lt;=0,F152&lt;=0),0,F152*DivBase-E152)</f>
        <v/>
      </c>
      <c r="I152" s="86">
        <f>IF(OR(C152="",E152&lt;=0,F152&lt;=0),0,H152/F152)</f>
        <v/>
      </c>
      <c r="J152" s="84" t="n"/>
      <c r="K152" s="85">
        <f>IF(OR(C152="",E152&lt;=0),0,E152*J152)</f>
        <v/>
      </c>
      <c r="L152" s="74">
        <f>IF(OR(C152="",E152&lt;=0),"",IF(F152&lt;=0,"Sin precio",IF(H152&lt;0,"PÉRDIDA",IF(I152&lt;MargenMin,"Margen bajo",IF(I152&lt;MargenObjReal,"Aceptable","Rentable")))))</f>
        <v/>
      </c>
      <c r="M152" s="83" t="n"/>
      <c r="N152" s="87">
        <f>IF(ISNUMBER(W152),RANK(W152,$W$7:$W$206),"")</f>
        <v/>
      </c>
      <c r="W152" s="88">
        <f>IF(AND(C152&lt;&gt;"",E152&gt;0,F152&gt;0),H152+ROW()/1000000000,"")</f>
        <v/>
      </c>
      <c r="X152" s="88">
        <f>IF(AND(C152&lt;&gt;"",E152&gt;0,F152&gt;0,OR(CatSel="Todas",D152=CatSel)),H152+ROW()/1000000000,"")</f>
        <v/>
      </c>
    </row>
    <row r="153">
      <c r="B153" s="83" t="n"/>
      <c r="C153" s="83" t="n"/>
      <c r="D153" s="83" t="n"/>
      <c r="E153" s="84" t="n"/>
      <c r="F153" s="84" t="n"/>
      <c r="G153" s="85">
        <f>IF(OR(C153="",E153&lt;=0,DivMargen&lt;=0),0,IF(Redondeo&gt;0,CEILING(E153/DivMargen,Redondeo),E153/DivMargen))</f>
        <v/>
      </c>
      <c r="H153" s="85">
        <f>IF(OR(C153="",E153&lt;=0,F153&lt;=0),0,F153*DivBase-E153)</f>
        <v/>
      </c>
      <c r="I153" s="86">
        <f>IF(OR(C153="",E153&lt;=0,F153&lt;=0),0,H153/F153)</f>
        <v/>
      </c>
      <c r="J153" s="84" t="n"/>
      <c r="K153" s="85">
        <f>IF(OR(C153="",E153&lt;=0),0,E153*J153)</f>
        <v/>
      </c>
      <c r="L153" s="74">
        <f>IF(OR(C153="",E153&lt;=0),"",IF(F153&lt;=0,"Sin precio",IF(H153&lt;0,"PÉRDIDA",IF(I153&lt;MargenMin,"Margen bajo",IF(I153&lt;MargenObjReal,"Aceptable","Rentable")))))</f>
        <v/>
      </c>
      <c r="M153" s="83" t="n"/>
      <c r="N153" s="87">
        <f>IF(ISNUMBER(W153),RANK(W153,$W$7:$W$206),"")</f>
        <v/>
      </c>
      <c r="W153" s="88">
        <f>IF(AND(C153&lt;&gt;"",E153&gt;0,F153&gt;0),H153+ROW()/1000000000,"")</f>
        <v/>
      </c>
      <c r="X153" s="88">
        <f>IF(AND(C153&lt;&gt;"",E153&gt;0,F153&gt;0,OR(CatSel="Todas",D153=CatSel)),H153+ROW()/1000000000,"")</f>
        <v/>
      </c>
    </row>
    <row r="154">
      <c r="B154" s="83" t="n"/>
      <c r="C154" s="83" t="n"/>
      <c r="D154" s="83" t="n"/>
      <c r="E154" s="84" t="n"/>
      <c r="F154" s="84" t="n"/>
      <c r="G154" s="85">
        <f>IF(OR(C154="",E154&lt;=0,DivMargen&lt;=0),0,IF(Redondeo&gt;0,CEILING(E154/DivMargen,Redondeo),E154/DivMargen))</f>
        <v/>
      </c>
      <c r="H154" s="85">
        <f>IF(OR(C154="",E154&lt;=0,F154&lt;=0),0,F154*DivBase-E154)</f>
        <v/>
      </c>
      <c r="I154" s="86">
        <f>IF(OR(C154="",E154&lt;=0,F154&lt;=0),0,H154/F154)</f>
        <v/>
      </c>
      <c r="J154" s="84" t="n"/>
      <c r="K154" s="85">
        <f>IF(OR(C154="",E154&lt;=0),0,E154*J154)</f>
        <v/>
      </c>
      <c r="L154" s="74">
        <f>IF(OR(C154="",E154&lt;=0),"",IF(F154&lt;=0,"Sin precio",IF(H154&lt;0,"PÉRDIDA",IF(I154&lt;MargenMin,"Margen bajo",IF(I154&lt;MargenObjReal,"Aceptable","Rentable")))))</f>
        <v/>
      </c>
      <c r="M154" s="83" t="n"/>
      <c r="N154" s="87">
        <f>IF(ISNUMBER(W154),RANK(W154,$W$7:$W$206),"")</f>
        <v/>
      </c>
      <c r="W154" s="88">
        <f>IF(AND(C154&lt;&gt;"",E154&gt;0,F154&gt;0),H154+ROW()/1000000000,"")</f>
        <v/>
      </c>
      <c r="X154" s="88">
        <f>IF(AND(C154&lt;&gt;"",E154&gt;0,F154&gt;0,OR(CatSel="Todas",D154=CatSel)),H154+ROW()/1000000000,"")</f>
        <v/>
      </c>
    </row>
    <row r="155">
      <c r="B155" s="83" t="n"/>
      <c r="C155" s="83" t="n"/>
      <c r="D155" s="83" t="n"/>
      <c r="E155" s="84" t="n"/>
      <c r="F155" s="84" t="n"/>
      <c r="G155" s="85">
        <f>IF(OR(C155="",E155&lt;=0,DivMargen&lt;=0),0,IF(Redondeo&gt;0,CEILING(E155/DivMargen,Redondeo),E155/DivMargen))</f>
        <v/>
      </c>
      <c r="H155" s="85">
        <f>IF(OR(C155="",E155&lt;=0,F155&lt;=0),0,F155*DivBase-E155)</f>
        <v/>
      </c>
      <c r="I155" s="86">
        <f>IF(OR(C155="",E155&lt;=0,F155&lt;=0),0,H155/F155)</f>
        <v/>
      </c>
      <c r="J155" s="84" t="n"/>
      <c r="K155" s="85">
        <f>IF(OR(C155="",E155&lt;=0),0,E155*J155)</f>
        <v/>
      </c>
      <c r="L155" s="74">
        <f>IF(OR(C155="",E155&lt;=0),"",IF(F155&lt;=0,"Sin precio",IF(H155&lt;0,"PÉRDIDA",IF(I155&lt;MargenMin,"Margen bajo",IF(I155&lt;MargenObjReal,"Aceptable","Rentable")))))</f>
        <v/>
      </c>
      <c r="M155" s="83" t="n"/>
      <c r="N155" s="87">
        <f>IF(ISNUMBER(W155),RANK(W155,$W$7:$W$206),"")</f>
        <v/>
      </c>
      <c r="W155" s="88">
        <f>IF(AND(C155&lt;&gt;"",E155&gt;0,F155&gt;0),H155+ROW()/1000000000,"")</f>
        <v/>
      </c>
      <c r="X155" s="88">
        <f>IF(AND(C155&lt;&gt;"",E155&gt;0,F155&gt;0,OR(CatSel="Todas",D155=CatSel)),H155+ROW()/1000000000,"")</f>
        <v/>
      </c>
    </row>
    <row r="156">
      <c r="B156" s="83" t="n"/>
      <c r="C156" s="83" t="n"/>
      <c r="D156" s="83" t="n"/>
      <c r="E156" s="84" t="n"/>
      <c r="F156" s="84" t="n"/>
      <c r="G156" s="85">
        <f>IF(OR(C156="",E156&lt;=0,DivMargen&lt;=0),0,IF(Redondeo&gt;0,CEILING(E156/DivMargen,Redondeo),E156/DivMargen))</f>
        <v/>
      </c>
      <c r="H156" s="85">
        <f>IF(OR(C156="",E156&lt;=0,F156&lt;=0),0,F156*DivBase-E156)</f>
        <v/>
      </c>
      <c r="I156" s="86">
        <f>IF(OR(C156="",E156&lt;=0,F156&lt;=0),0,H156/F156)</f>
        <v/>
      </c>
      <c r="J156" s="84" t="n"/>
      <c r="K156" s="85">
        <f>IF(OR(C156="",E156&lt;=0),0,E156*J156)</f>
        <v/>
      </c>
      <c r="L156" s="74">
        <f>IF(OR(C156="",E156&lt;=0),"",IF(F156&lt;=0,"Sin precio",IF(H156&lt;0,"PÉRDIDA",IF(I156&lt;MargenMin,"Margen bajo",IF(I156&lt;MargenObjReal,"Aceptable","Rentable")))))</f>
        <v/>
      </c>
      <c r="M156" s="83" t="n"/>
      <c r="N156" s="87">
        <f>IF(ISNUMBER(W156),RANK(W156,$W$7:$W$206),"")</f>
        <v/>
      </c>
      <c r="W156" s="88">
        <f>IF(AND(C156&lt;&gt;"",E156&gt;0,F156&gt;0),H156+ROW()/1000000000,"")</f>
        <v/>
      </c>
      <c r="X156" s="88">
        <f>IF(AND(C156&lt;&gt;"",E156&gt;0,F156&gt;0,OR(CatSel="Todas",D156=CatSel)),H156+ROW()/1000000000,"")</f>
        <v/>
      </c>
    </row>
    <row r="157">
      <c r="B157" s="83" t="n"/>
      <c r="C157" s="83" t="n"/>
      <c r="D157" s="83" t="n"/>
      <c r="E157" s="84" t="n"/>
      <c r="F157" s="84" t="n"/>
      <c r="G157" s="85">
        <f>IF(OR(C157="",E157&lt;=0,DivMargen&lt;=0),0,IF(Redondeo&gt;0,CEILING(E157/DivMargen,Redondeo),E157/DivMargen))</f>
        <v/>
      </c>
      <c r="H157" s="85">
        <f>IF(OR(C157="",E157&lt;=0,F157&lt;=0),0,F157*DivBase-E157)</f>
        <v/>
      </c>
      <c r="I157" s="86">
        <f>IF(OR(C157="",E157&lt;=0,F157&lt;=0),0,H157/F157)</f>
        <v/>
      </c>
      <c r="J157" s="84" t="n"/>
      <c r="K157" s="85">
        <f>IF(OR(C157="",E157&lt;=0),0,E157*J157)</f>
        <v/>
      </c>
      <c r="L157" s="74">
        <f>IF(OR(C157="",E157&lt;=0),"",IF(F157&lt;=0,"Sin precio",IF(H157&lt;0,"PÉRDIDA",IF(I157&lt;MargenMin,"Margen bajo",IF(I157&lt;MargenObjReal,"Aceptable","Rentable")))))</f>
        <v/>
      </c>
      <c r="M157" s="83" t="n"/>
      <c r="N157" s="87">
        <f>IF(ISNUMBER(W157),RANK(W157,$W$7:$W$206),"")</f>
        <v/>
      </c>
      <c r="W157" s="88">
        <f>IF(AND(C157&lt;&gt;"",E157&gt;0,F157&gt;0),H157+ROW()/1000000000,"")</f>
        <v/>
      </c>
      <c r="X157" s="88">
        <f>IF(AND(C157&lt;&gt;"",E157&gt;0,F157&gt;0,OR(CatSel="Todas",D157=CatSel)),H157+ROW()/1000000000,"")</f>
        <v/>
      </c>
    </row>
    <row r="158">
      <c r="B158" s="83" t="n"/>
      <c r="C158" s="83" t="n"/>
      <c r="D158" s="83" t="n"/>
      <c r="E158" s="84" t="n"/>
      <c r="F158" s="84" t="n"/>
      <c r="G158" s="85">
        <f>IF(OR(C158="",E158&lt;=0,DivMargen&lt;=0),0,IF(Redondeo&gt;0,CEILING(E158/DivMargen,Redondeo),E158/DivMargen))</f>
        <v/>
      </c>
      <c r="H158" s="85">
        <f>IF(OR(C158="",E158&lt;=0,F158&lt;=0),0,F158*DivBase-E158)</f>
        <v/>
      </c>
      <c r="I158" s="86">
        <f>IF(OR(C158="",E158&lt;=0,F158&lt;=0),0,H158/F158)</f>
        <v/>
      </c>
      <c r="J158" s="84" t="n"/>
      <c r="K158" s="85">
        <f>IF(OR(C158="",E158&lt;=0),0,E158*J158)</f>
        <v/>
      </c>
      <c r="L158" s="74">
        <f>IF(OR(C158="",E158&lt;=0),"",IF(F158&lt;=0,"Sin precio",IF(H158&lt;0,"PÉRDIDA",IF(I158&lt;MargenMin,"Margen bajo",IF(I158&lt;MargenObjReal,"Aceptable","Rentable")))))</f>
        <v/>
      </c>
      <c r="M158" s="83" t="n"/>
      <c r="N158" s="87">
        <f>IF(ISNUMBER(W158),RANK(W158,$W$7:$W$206),"")</f>
        <v/>
      </c>
      <c r="W158" s="88">
        <f>IF(AND(C158&lt;&gt;"",E158&gt;0,F158&gt;0),H158+ROW()/1000000000,"")</f>
        <v/>
      </c>
      <c r="X158" s="88">
        <f>IF(AND(C158&lt;&gt;"",E158&gt;0,F158&gt;0,OR(CatSel="Todas",D158=CatSel)),H158+ROW()/1000000000,"")</f>
        <v/>
      </c>
    </row>
    <row r="159">
      <c r="B159" s="83" t="n"/>
      <c r="C159" s="83" t="n"/>
      <c r="D159" s="83" t="n"/>
      <c r="E159" s="84" t="n"/>
      <c r="F159" s="84" t="n"/>
      <c r="G159" s="85">
        <f>IF(OR(C159="",E159&lt;=0,DivMargen&lt;=0),0,IF(Redondeo&gt;0,CEILING(E159/DivMargen,Redondeo),E159/DivMargen))</f>
        <v/>
      </c>
      <c r="H159" s="85">
        <f>IF(OR(C159="",E159&lt;=0,F159&lt;=0),0,F159*DivBase-E159)</f>
        <v/>
      </c>
      <c r="I159" s="86">
        <f>IF(OR(C159="",E159&lt;=0,F159&lt;=0),0,H159/F159)</f>
        <v/>
      </c>
      <c r="J159" s="84" t="n"/>
      <c r="K159" s="85">
        <f>IF(OR(C159="",E159&lt;=0),0,E159*J159)</f>
        <v/>
      </c>
      <c r="L159" s="74">
        <f>IF(OR(C159="",E159&lt;=0),"",IF(F159&lt;=0,"Sin precio",IF(H159&lt;0,"PÉRDIDA",IF(I159&lt;MargenMin,"Margen bajo",IF(I159&lt;MargenObjReal,"Aceptable","Rentable")))))</f>
        <v/>
      </c>
      <c r="M159" s="83" t="n"/>
      <c r="N159" s="87">
        <f>IF(ISNUMBER(W159),RANK(W159,$W$7:$W$206),"")</f>
        <v/>
      </c>
      <c r="W159" s="88">
        <f>IF(AND(C159&lt;&gt;"",E159&gt;0,F159&gt;0),H159+ROW()/1000000000,"")</f>
        <v/>
      </c>
      <c r="X159" s="88">
        <f>IF(AND(C159&lt;&gt;"",E159&gt;0,F159&gt;0,OR(CatSel="Todas",D159=CatSel)),H159+ROW()/1000000000,"")</f>
        <v/>
      </c>
    </row>
    <row r="160">
      <c r="B160" s="83" t="n"/>
      <c r="C160" s="83" t="n"/>
      <c r="D160" s="83" t="n"/>
      <c r="E160" s="84" t="n"/>
      <c r="F160" s="84" t="n"/>
      <c r="G160" s="85">
        <f>IF(OR(C160="",E160&lt;=0,DivMargen&lt;=0),0,IF(Redondeo&gt;0,CEILING(E160/DivMargen,Redondeo),E160/DivMargen))</f>
        <v/>
      </c>
      <c r="H160" s="85">
        <f>IF(OR(C160="",E160&lt;=0,F160&lt;=0),0,F160*DivBase-E160)</f>
        <v/>
      </c>
      <c r="I160" s="86">
        <f>IF(OR(C160="",E160&lt;=0,F160&lt;=0),0,H160/F160)</f>
        <v/>
      </c>
      <c r="J160" s="84" t="n"/>
      <c r="K160" s="85">
        <f>IF(OR(C160="",E160&lt;=0),0,E160*J160)</f>
        <v/>
      </c>
      <c r="L160" s="74">
        <f>IF(OR(C160="",E160&lt;=0),"",IF(F160&lt;=0,"Sin precio",IF(H160&lt;0,"PÉRDIDA",IF(I160&lt;MargenMin,"Margen bajo",IF(I160&lt;MargenObjReal,"Aceptable","Rentable")))))</f>
        <v/>
      </c>
      <c r="M160" s="83" t="n"/>
      <c r="N160" s="87">
        <f>IF(ISNUMBER(W160),RANK(W160,$W$7:$W$206),"")</f>
        <v/>
      </c>
      <c r="W160" s="88">
        <f>IF(AND(C160&lt;&gt;"",E160&gt;0,F160&gt;0),H160+ROW()/1000000000,"")</f>
        <v/>
      </c>
      <c r="X160" s="88">
        <f>IF(AND(C160&lt;&gt;"",E160&gt;0,F160&gt;0,OR(CatSel="Todas",D160=CatSel)),H160+ROW()/1000000000,"")</f>
        <v/>
      </c>
    </row>
    <row r="161">
      <c r="B161" s="83" t="n"/>
      <c r="C161" s="83" t="n"/>
      <c r="D161" s="83" t="n"/>
      <c r="E161" s="84" t="n"/>
      <c r="F161" s="84" t="n"/>
      <c r="G161" s="85">
        <f>IF(OR(C161="",E161&lt;=0,DivMargen&lt;=0),0,IF(Redondeo&gt;0,CEILING(E161/DivMargen,Redondeo),E161/DivMargen))</f>
        <v/>
      </c>
      <c r="H161" s="85">
        <f>IF(OR(C161="",E161&lt;=0,F161&lt;=0),0,F161*DivBase-E161)</f>
        <v/>
      </c>
      <c r="I161" s="86">
        <f>IF(OR(C161="",E161&lt;=0,F161&lt;=0),0,H161/F161)</f>
        <v/>
      </c>
      <c r="J161" s="84" t="n"/>
      <c r="K161" s="85">
        <f>IF(OR(C161="",E161&lt;=0),0,E161*J161)</f>
        <v/>
      </c>
      <c r="L161" s="74">
        <f>IF(OR(C161="",E161&lt;=0),"",IF(F161&lt;=0,"Sin precio",IF(H161&lt;0,"PÉRDIDA",IF(I161&lt;MargenMin,"Margen bajo",IF(I161&lt;MargenObjReal,"Aceptable","Rentable")))))</f>
        <v/>
      </c>
      <c r="M161" s="83" t="n"/>
      <c r="N161" s="87">
        <f>IF(ISNUMBER(W161),RANK(W161,$W$7:$W$206),"")</f>
        <v/>
      </c>
      <c r="W161" s="88">
        <f>IF(AND(C161&lt;&gt;"",E161&gt;0,F161&gt;0),H161+ROW()/1000000000,"")</f>
        <v/>
      </c>
      <c r="X161" s="88">
        <f>IF(AND(C161&lt;&gt;"",E161&gt;0,F161&gt;0,OR(CatSel="Todas",D161=CatSel)),H161+ROW()/1000000000,"")</f>
        <v/>
      </c>
    </row>
    <row r="162">
      <c r="B162" s="83" t="n"/>
      <c r="C162" s="83" t="n"/>
      <c r="D162" s="83" t="n"/>
      <c r="E162" s="84" t="n"/>
      <c r="F162" s="84" t="n"/>
      <c r="G162" s="85">
        <f>IF(OR(C162="",E162&lt;=0,DivMargen&lt;=0),0,IF(Redondeo&gt;0,CEILING(E162/DivMargen,Redondeo),E162/DivMargen))</f>
        <v/>
      </c>
      <c r="H162" s="85">
        <f>IF(OR(C162="",E162&lt;=0,F162&lt;=0),0,F162*DivBase-E162)</f>
        <v/>
      </c>
      <c r="I162" s="86">
        <f>IF(OR(C162="",E162&lt;=0,F162&lt;=0),0,H162/F162)</f>
        <v/>
      </c>
      <c r="J162" s="84" t="n"/>
      <c r="K162" s="85">
        <f>IF(OR(C162="",E162&lt;=0),0,E162*J162)</f>
        <v/>
      </c>
      <c r="L162" s="74">
        <f>IF(OR(C162="",E162&lt;=0),"",IF(F162&lt;=0,"Sin precio",IF(H162&lt;0,"PÉRDIDA",IF(I162&lt;MargenMin,"Margen bajo",IF(I162&lt;MargenObjReal,"Aceptable","Rentable")))))</f>
        <v/>
      </c>
      <c r="M162" s="83" t="n"/>
      <c r="N162" s="87">
        <f>IF(ISNUMBER(W162),RANK(W162,$W$7:$W$206),"")</f>
        <v/>
      </c>
      <c r="W162" s="88">
        <f>IF(AND(C162&lt;&gt;"",E162&gt;0,F162&gt;0),H162+ROW()/1000000000,"")</f>
        <v/>
      </c>
      <c r="X162" s="88">
        <f>IF(AND(C162&lt;&gt;"",E162&gt;0,F162&gt;0,OR(CatSel="Todas",D162=CatSel)),H162+ROW()/1000000000,"")</f>
        <v/>
      </c>
    </row>
    <row r="163">
      <c r="B163" s="83" t="n"/>
      <c r="C163" s="83" t="n"/>
      <c r="D163" s="83" t="n"/>
      <c r="E163" s="84" t="n"/>
      <c r="F163" s="84" t="n"/>
      <c r="G163" s="85">
        <f>IF(OR(C163="",E163&lt;=0,DivMargen&lt;=0),0,IF(Redondeo&gt;0,CEILING(E163/DivMargen,Redondeo),E163/DivMargen))</f>
        <v/>
      </c>
      <c r="H163" s="85">
        <f>IF(OR(C163="",E163&lt;=0,F163&lt;=0),0,F163*DivBase-E163)</f>
        <v/>
      </c>
      <c r="I163" s="86">
        <f>IF(OR(C163="",E163&lt;=0,F163&lt;=0),0,H163/F163)</f>
        <v/>
      </c>
      <c r="J163" s="84" t="n"/>
      <c r="K163" s="85">
        <f>IF(OR(C163="",E163&lt;=0),0,E163*J163)</f>
        <v/>
      </c>
      <c r="L163" s="74">
        <f>IF(OR(C163="",E163&lt;=0),"",IF(F163&lt;=0,"Sin precio",IF(H163&lt;0,"PÉRDIDA",IF(I163&lt;MargenMin,"Margen bajo",IF(I163&lt;MargenObjReal,"Aceptable","Rentable")))))</f>
        <v/>
      </c>
      <c r="M163" s="83" t="n"/>
      <c r="N163" s="87">
        <f>IF(ISNUMBER(W163),RANK(W163,$W$7:$W$206),"")</f>
        <v/>
      </c>
      <c r="W163" s="88">
        <f>IF(AND(C163&lt;&gt;"",E163&gt;0,F163&gt;0),H163+ROW()/1000000000,"")</f>
        <v/>
      </c>
      <c r="X163" s="88">
        <f>IF(AND(C163&lt;&gt;"",E163&gt;0,F163&gt;0,OR(CatSel="Todas",D163=CatSel)),H163+ROW()/1000000000,"")</f>
        <v/>
      </c>
    </row>
    <row r="164">
      <c r="B164" s="83" t="n"/>
      <c r="C164" s="83" t="n"/>
      <c r="D164" s="83" t="n"/>
      <c r="E164" s="84" t="n"/>
      <c r="F164" s="84" t="n"/>
      <c r="G164" s="85">
        <f>IF(OR(C164="",E164&lt;=0,DivMargen&lt;=0),0,IF(Redondeo&gt;0,CEILING(E164/DivMargen,Redondeo),E164/DivMargen))</f>
        <v/>
      </c>
      <c r="H164" s="85">
        <f>IF(OR(C164="",E164&lt;=0,F164&lt;=0),0,F164*DivBase-E164)</f>
        <v/>
      </c>
      <c r="I164" s="86">
        <f>IF(OR(C164="",E164&lt;=0,F164&lt;=0),0,H164/F164)</f>
        <v/>
      </c>
      <c r="J164" s="84" t="n"/>
      <c r="K164" s="85">
        <f>IF(OR(C164="",E164&lt;=0),0,E164*J164)</f>
        <v/>
      </c>
      <c r="L164" s="74">
        <f>IF(OR(C164="",E164&lt;=0),"",IF(F164&lt;=0,"Sin precio",IF(H164&lt;0,"PÉRDIDA",IF(I164&lt;MargenMin,"Margen bajo",IF(I164&lt;MargenObjReal,"Aceptable","Rentable")))))</f>
        <v/>
      </c>
      <c r="M164" s="83" t="n"/>
      <c r="N164" s="87">
        <f>IF(ISNUMBER(W164),RANK(W164,$W$7:$W$206),"")</f>
        <v/>
      </c>
      <c r="W164" s="88">
        <f>IF(AND(C164&lt;&gt;"",E164&gt;0,F164&gt;0),H164+ROW()/1000000000,"")</f>
        <v/>
      </c>
      <c r="X164" s="88">
        <f>IF(AND(C164&lt;&gt;"",E164&gt;0,F164&gt;0,OR(CatSel="Todas",D164=CatSel)),H164+ROW()/1000000000,"")</f>
        <v/>
      </c>
    </row>
    <row r="165">
      <c r="B165" s="83" t="n"/>
      <c r="C165" s="83" t="n"/>
      <c r="D165" s="83" t="n"/>
      <c r="E165" s="84" t="n"/>
      <c r="F165" s="84" t="n"/>
      <c r="G165" s="85">
        <f>IF(OR(C165="",E165&lt;=0,DivMargen&lt;=0),0,IF(Redondeo&gt;0,CEILING(E165/DivMargen,Redondeo),E165/DivMargen))</f>
        <v/>
      </c>
      <c r="H165" s="85">
        <f>IF(OR(C165="",E165&lt;=0,F165&lt;=0),0,F165*DivBase-E165)</f>
        <v/>
      </c>
      <c r="I165" s="86">
        <f>IF(OR(C165="",E165&lt;=0,F165&lt;=0),0,H165/F165)</f>
        <v/>
      </c>
      <c r="J165" s="84" t="n"/>
      <c r="K165" s="85">
        <f>IF(OR(C165="",E165&lt;=0),0,E165*J165)</f>
        <v/>
      </c>
      <c r="L165" s="74">
        <f>IF(OR(C165="",E165&lt;=0),"",IF(F165&lt;=0,"Sin precio",IF(H165&lt;0,"PÉRDIDA",IF(I165&lt;MargenMin,"Margen bajo",IF(I165&lt;MargenObjReal,"Aceptable","Rentable")))))</f>
        <v/>
      </c>
      <c r="M165" s="83" t="n"/>
      <c r="N165" s="87">
        <f>IF(ISNUMBER(W165),RANK(W165,$W$7:$W$206),"")</f>
        <v/>
      </c>
      <c r="W165" s="88">
        <f>IF(AND(C165&lt;&gt;"",E165&gt;0,F165&gt;0),H165+ROW()/1000000000,"")</f>
        <v/>
      </c>
      <c r="X165" s="88">
        <f>IF(AND(C165&lt;&gt;"",E165&gt;0,F165&gt;0,OR(CatSel="Todas",D165=CatSel)),H165+ROW()/1000000000,"")</f>
        <v/>
      </c>
    </row>
    <row r="166">
      <c r="B166" s="83" t="n"/>
      <c r="C166" s="83" t="n"/>
      <c r="D166" s="83" t="n"/>
      <c r="E166" s="84" t="n"/>
      <c r="F166" s="84" t="n"/>
      <c r="G166" s="85">
        <f>IF(OR(C166="",E166&lt;=0,DivMargen&lt;=0),0,IF(Redondeo&gt;0,CEILING(E166/DivMargen,Redondeo),E166/DivMargen))</f>
        <v/>
      </c>
      <c r="H166" s="85">
        <f>IF(OR(C166="",E166&lt;=0,F166&lt;=0),0,F166*DivBase-E166)</f>
        <v/>
      </c>
      <c r="I166" s="86">
        <f>IF(OR(C166="",E166&lt;=0,F166&lt;=0),0,H166/F166)</f>
        <v/>
      </c>
      <c r="J166" s="84" t="n"/>
      <c r="K166" s="85">
        <f>IF(OR(C166="",E166&lt;=0),0,E166*J166)</f>
        <v/>
      </c>
      <c r="L166" s="74">
        <f>IF(OR(C166="",E166&lt;=0),"",IF(F166&lt;=0,"Sin precio",IF(H166&lt;0,"PÉRDIDA",IF(I166&lt;MargenMin,"Margen bajo",IF(I166&lt;MargenObjReal,"Aceptable","Rentable")))))</f>
        <v/>
      </c>
      <c r="M166" s="83" t="n"/>
      <c r="N166" s="87">
        <f>IF(ISNUMBER(W166),RANK(W166,$W$7:$W$206),"")</f>
        <v/>
      </c>
      <c r="W166" s="88">
        <f>IF(AND(C166&lt;&gt;"",E166&gt;0,F166&gt;0),H166+ROW()/1000000000,"")</f>
        <v/>
      </c>
      <c r="X166" s="88">
        <f>IF(AND(C166&lt;&gt;"",E166&gt;0,F166&gt;0,OR(CatSel="Todas",D166=CatSel)),H166+ROW()/1000000000,"")</f>
        <v/>
      </c>
    </row>
    <row r="167">
      <c r="B167" s="83" t="n"/>
      <c r="C167" s="83" t="n"/>
      <c r="D167" s="83" t="n"/>
      <c r="E167" s="84" t="n"/>
      <c r="F167" s="84" t="n"/>
      <c r="G167" s="85">
        <f>IF(OR(C167="",E167&lt;=0,DivMargen&lt;=0),0,IF(Redondeo&gt;0,CEILING(E167/DivMargen,Redondeo),E167/DivMargen))</f>
        <v/>
      </c>
      <c r="H167" s="85">
        <f>IF(OR(C167="",E167&lt;=0,F167&lt;=0),0,F167*DivBase-E167)</f>
        <v/>
      </c>
      <c r="I167" s="86">
        <f>IF(OR(C167="",E167&lt;=0,F167&lt;=0),0,H167/F167)</f>
        <v/>
      </c>
      <c r="J167" s="84" t="n"/>
      <c r="K167" s="85">
        <f>IF(OR(C167="",E167&lt;=0),0,E167*J167)</f>
        <v/>
      </c>
      <c r="L167" s="74">
        <f>IF(OR(C167="",E167&lt;=0),"",IF(F167&lt;=0,"Sin precio",IF(H167&lt;0,"PÉRDIDA",IF(I167&lt;MargenMin,"Margen bajo",IF(I167&lt;MargenObjReal,"Aceptable","Rentable")))))</f>
        <v/>
      </c>
      <c r="M167" s="83" t="n"/>
      <c r="N167" s="87">
        <f>IF(ISNUMBER(W167),RANK(W167,$W$7:$W$206),"")</f>
        <v/>
      </c>
      <c r="W167" s="88">
        <f>IF(AND(C167&lt;&gt;"",E167&gt;0,F167&gt;0),H167+ROW()/1000000000,"")</f>
        <v/>
      </c>
      <c r="X167" s="88">
        <f>IF(AND(C167&lt;&gt;"",E167&gt;0,F167&gt;0,OR(CatSel="Todas",D167=CatSel)),H167+ROW()/1000000000,"")</f>
        <v/>
      </c>
    </row>
    <row r="168">
      <c r="B168" s="83" t="n"/>
      <c r="C168" s="83" t="n"/>
      <c r="D168" s="83" t="n"/>
      <c r="E168" s="84" t="n"/>
      <c r="F168" s="84" t="n"/>
      <c r="G168" s="85">
        <f>IF(OR(C168="",E168&lt;=0,DivMargen&lt;=0),0,IF(Redondeo&gt;0,CEILING(E168/DivMargen,Redondeo),E168/DivMargen))</f>
        <v/>
      </c>
      <c r="H168" s="85">
        <f>IF(OR(C168="",E168&lt;=0,F168&lt;=0),0,F168*DivBase-E168)</f>
        <v/>
      </c>
      <c r="I168" s="86">
        <f>IF(OR(C168="",E168&lt;=0,F168&lt;=0),0,H168/F168)</f>
        <v/>
      </c>
      <c r="J168" s="84" t="n"/>
      <c r="K168" s="85">
        <f>IF(OR(C168="",E168&lt;=0),0,E168*J168)</f>
        <v/>
      </c>
      <c r="L168" s="74">
        <f>IF(OR(C168="",E168&lt;=0),"",IF(F168&lt;=0,"Sin precio",IF(H168&lt;0,"PÉRDIDA",IF(I168&lt;MargenMin,"Margen bajo",IF(I168&lt;MargenObjReal,"Aceptable","Rentable")))))</f>
        <v/>
      </c>
      <c r="M168" s="83" t="n"/>
      <c r="N168" s="87">
        <f>IF(ISNUMBER(W168),RANK(W168,$W$7:$W$206),"")</f>
        <v/>
      </c>
      <c r="W168" s="88">
        <f>IF(AND(C168&lt;&gt;"",E168&gt;0,F168&gt;0),H168+ROW()/1000000000,"")</f>
        <v/>
      </c>
      <c r="X168" s="88">
        <f>IF(AND(C168&lt;&gt;"",E168&gt;0,F168&gt;0,OR(CatSel="Todas",D168=CatSel)),H168+ROW()/1000000000,"")</f>
        <v/>
      </c>
    </row>
    <row r="169">
      <c r="B169" s="83" t="n"/>
      <c r="C169" s="83" t="n"/>
      <c r="D169" s="83" t="n"/>
      <c r="E169" s="84" t="n"/>
      <c r="F169" s="84" t="n"/>
      <c r="G169" s="85">
        <f>IF(OR(C169="",E169&lt;=0,DivMargen&lt;=0),0,IF(Redondeo&gt;0,CEILING(E169/DivMargen,Redondeo),E169/DivMargen))</f>
        <v/>
      </c>
      <c r="H169" s="85">
        <f>IF(OR(C169="",E169&lt;=0,F169&lt;=0),0,F169*DivBase-E169)</f>
        <v/>
      </c>
      <c r="I169" s="86">
        <f>IF(OR(C169="",E169&lt;=0,F169&lt;=0),0,H169/F169)</f>
        <v/>
      </c>
      <c r="J169" s="84" t="n"/>
      <c r="K169" s="85">
        <f>IF(OR(C169="",E169&lt;=0),0,E169*J169)</f>
        <v/>
      </c>
      <c r="L169" s="74">
        <f>IF(OR(C169="",E169&lt;=0),"",IF(F169&lt;=0,"Sin precio",IF(H169&lt;0,"PÉRDIDA",IF(I169&lt;MargenMin,"Margen bajo",IF(I169&lt;MargenObjReal,"Aceptable","Rentable")))))</f>
        <v/>
      </c>
      <c r="M169" s="83" t="n"/>
      <c r="N169" s="87">
        <f>IF(ISNUMBER(W169),RANK(W169,$W$7:$W$206),"")</f>
        <v/>
      </c>
      <c r="W169" s="88">
        <f>IF(AND(C169&lt;&gt;"",E169&gt;0,F169&gt;0),H169+ROW()/1000000000,"")</f>
        <v/>
      </c>
      <c r="X169" s="88">
        <f>IF(AND(C169&lt;&gt;"",E169&gt;0,F169&gt;0,OR(CatSel="Todas",D169=CatSel)),H169+ROW()/1000000000,"")</f>
        <v/>
      </c>
    </row>
    <row r="170">
      <c r="B170" s="83" t="n"/>
      <c r="C170" s="83" t="n"/>
      <c r="D170" s="83" t="n"/>
      <c r="E170" s="84" t="n"/>
      <c r="F170" s="84" t="n"/>
      <c r="G170" s="85">
        <f>IF(OR(C170="",E170&lt;=0,DivMargen&lt;=0),0,IF(Redondeo&gt;0,CEILING(E170/DivMargen,Redondeo),E170/DivMargen))</f>
        <v/>
      </c>
      <c r="H170" s="85">
        <f>IF(OR(C170="",E170&lt;=0,F170&lt;=0),0,F170*DivBase-E170)</f>
        <v/>
      </c>
      <c r="I170" s="86">
        <f>IF(OR(C170="",E170&lt;=0,F170&lt;=0),0,H170/F170)</f>
        <v/>
      </c>
      <c r="J170" s="84" t="n"/>
      <c r="K170" s="85">
        <f>IF(OR(C170="",E170&lt;=0),0,E170*J170)</f>
        <v/>
      </c>
      <c r="L170" s="74">
        <f>IF(OR(C170="",E170&lt;=0),"",IF(F170&lt;=0,"Sin precio",IF(H170&lt;0,"PÉRDIDA",IF(I170&lt;MargenMin,"Margen bajo",IF(I170&lt;MargenObjReal,"Aceptable","Rentable")))))</f>
        <v/>
      </c>
      <c r="M170" s="83" t="n"/>
      <c r="N170" s="87">
        <f>IF(ISNUMBER(W170),RANK(W170,$W$7:$W$206),"")</f>
        <v/>
      </c>
      <c r="W170" s="88">
        <f>IF(AND(C170&lt;&gt;"",E170&gt;0,F170&gt;0),H170+ROW()/1000000000,"")</f>
        <v/>
      </c>
      <c r="X170" s="88">
        <f>IF(AND(C170&lt;&gt;"",E170&gt;0,F170&gt;0,OR(CatSel="Todas",D170=CatSel)),H170+ROW()/1000000000,"")</f>
        <v/>
      </c>
    </row>
    <row r="171">
      <c r="B171" s="83" t="n"/>
      <c r="C171" s="83" t="n"/>
      <c r="D171" s="83" t="n"/>
      <c r="E171" s="84" t="n"/>
      <c r="F171" s="84" t="n"/>
      <c r="G171" s="85">
        <f>IF(OR(C171="",E171&lt;=0,DivMargen&lt;=0),0,IF(Redondeo&gt;0,CEILING(E171/DivMargen,Redondeo),E171/DivMargen))</f>
        <v/>
      </c>
      <c r="H171" s="85">
        <f>IF(OR(C171="",E171&lt;=0,F171&lt;=0),0,F171*DivBase-E171)</f>
        <v/>
      </c>
      <c r="I171" s="86">
        <f>IF(OR(C171="",E171&lt;=0,F171&lt;=0),0,H171/F171)</f>
        <v/>
      </c>
      <c r="J171" s="84" t="n"/>
      <c r="K171" s="85">
        <f>IF(OR(C171="",E171&lt;=0),0,E171*J171)</f>
        <v/>
      </c>
      <c r="L171" s="74">
        <f>IF(OR(C171="",E171&lt;=0),"",IF(F171&lt;=0,"Sin precio",IF(H171&lt;0,"PÉRDIDA",IF(I171&lt;MargenMin,"Margen bajo",IF(I171&lt;MargenObjReal,"Aceptable","Rentable")))))</f>
        <v/>
      </c>
      <c r="M171" s="83" t="n"/>
      <c r="N171" s="87">
        <f>IF(ISNUMBER(W171),RANK(W171,$W$7:$W$206),"")</f>
        <v/>
      </c>
      <c r="W171" s="88">
        <f>IF(AND(C171&lt;&gt;"",E171&gt;0,F171&gt;0),H171+ROW()/1000000000,"")</f>
        <v/>
      </c>
      <c r="X171" s="88">
        <f>IF(AND(C171&lt;&gt;"",E171&gt;0,F171&gt;0,OR(CatSel="Todas",D171=CatSel)),H171+ROW()/1000000000,"")</f>
        <v/>
      </c>
    </row>
    <row r="172">
      <c r="B172" s="83" t="n"/>
      <c r="C172" s="83" t="n"/>
      <c r="D172" s="83" t="n"/>
      <c r="E172" s="84" t="n"/>
      <c r="F172" s="84" t="n"/>
      <c r="G172" s="85">
        <f>IF(OR(C172="",E172&lt;=0,DivMargen&lt;=0),0,IF(Redondeo&gt;0,CEILING(E172/DivMargen,Redondeo),E172/DivMargen))</f>
        <v/>
      </c>
      <c r="H172" s="85">
        <f>IF(OR(C172="",E172&lt;=0,F172&lt;=0),0,F172*DivBase-E172)</f>
        <v/>
      </c>
      <c r="I172" s="86">
        <f>IF(OR(C172="",E172&lt;=0,F172&lt;=0),0,H172/F172)</f>
        <v/>
      </c>
      <c r="J172" s="84" t="n"/>
      <c r="K172" s="85">
        <f>IF(OR(C172="",E172&lt;=0),0,E172*J172)</f>
        <v/>
      </c>
      <c r="L172" s="74">
        <f>IF(OR(C172="",E172&lt;=0),"",IF(F172&lt;=0,"Sin precio",IF(H172&lt;0,"PÉRDIDA",IF(I172&lt;MargenMin,"Margen bajo",IF(I172&lt;MargenObjReal,"Aceptable","Rentable")))))</f>
        <v/>
      </c>
      <c r="M172" s="83" t="n"/>
      <c r="N172" s="87">
        <f>IF(ISNUMBER(W172),RANK(W172,$W$7:$W$206),"")</f>
        <v/>
      </c>
      <c r="W172" s="88">
        <f>IF(AND(C172&lt;&gt;"",E172&gt;0,F172&gt;0),H172+ROW()/1000000000,"")</f>
        <v/>
      </c>
      <c r="X172" s="88">
        <f>IF(AND(C172&lt;&gt;"",E172&gt;0,F172&gt;0,OR(CatSel="Todas",D172=CatSel)),H172+ROW()/1000000000,"")</f>
        <v/>
      </c>
    </row>
    <row r="173">
      <c r="B173" s="83" t="n"/>
      <c r="C173" s="83" t="n"/>
      <c r="D173" s="83" t="n"/>
      <c r="E173" s="84" t="n"/>
      <c r="F173" s="84" t="n"/>
      <c r="G173" s="85">
        <f>IF(OR(C173="",E173&lt;=0,DivMargen&lt;=0),0,IF(Redondeo&gt;0,CEILING(E173/DivMargen,Redondeo),E173/DivMargen))</f>
        <v/>
      </c>
      <c r="H173" s="85">
        <f>IF(OR(C173="",E173&lt;=0,F173&lt;=0),0,F173*DivBase-E173)</f>
        <v/>
      </c>
      <c r="I173" s="86">
        <f>IF(OR(C173="",E173&lt;=0,F173&lt;=0),0,H173/F173)</f>
        <v/>
      </c>
      <c r="J173" s="84" t="n"/>
      <c r="K173" s="85">
        <f>IF(OR(C173="",E173&lt;=0),0,E173*J173)</f>
        <v/>
      </c>
      <c r="L173" s="74">
        <f>IF(OR(C173="",E173&lt;=0),"",IF(F173&lt;=0,"Sin precio",IF(H173&lt;0,"PÉRDIDA",IF(I173&lt;MargenMin,"Margen bajo",IF(I173&lt;MargenObjReal,"Aceptable","Rentable")))))</f>
        <v/>
      </c>
      <c r="M173" s="83" t="n"/>
      <c r="N173" s="87">
        <f>IF(ISNUMBER(W173),RANK(W173,$W$7:$W$206),"")</f>
        <v/>
      </c>
      <c r="W173" s="88">
        <f>IF(AND(C173&lt;&gt;"",E173&gt;0,F173&gt;0),H173+ROW()/1000000000,"")</f>
        <v/>
      </c>
      <c r="X173" s="88">
        <f>IF(AND(C173&lt;&gt;"",E173&gt;0,F173&gt;0,OR(CatSel="Todas",D173=CatSel)),H173+ROW()/1000000000,"")</f>
        <v/>
      </c>
    </row>
    <row r="174">
      <c r="B174" s="83" t="n"/>
      <c r="C174" s="83" t="n"/>
      <c r="D174" s="83" t="n"/>
      <c r="E174" s="84" t="n"/>
      <c r="F174" s="84" t="n"/>
      <c r="G174" s="85">
        <f>IF(OR(C174="",E174&lt;=0,DivMargen&lt;=0),0,IF(Redondeo&gt;0,CEILING(E174/DivMargen,Redondeo),E174/DivMargen))</f>
        <v/>
      </c>
      <c r="H174" s="85">
        <f>IF(OR(C174="",E174&lt;=0,F174&lt;=0),0,F174*DivBase-E174)</f>
        <v/>
      </c>
      <c r="I174" s="86">
        <f>IF(OR(C174="",E174&lt;=0,F174&lt;=0),0,H174/F174)</f>
        <v/>
      </c>
      <c r="J174" s="84" t="n"/>
      <c r="K174" s="85">
        <f>IF(OR(C174="",E174&lt;=0),0,E174*J174)</f>
        <v/>
      </c>
      <c r="L174" s="74">
        <f>IF(OR(C174="",E174&lt;=0),"",IF(F174&lt;=0,"Sin precio",IF(H174&lt;0,"PÉRDIDA",IF(I174&lt;MargenMin,"Margen bajo",IF(I174&lt;MargenObjReal,"Aceptable","Rentable")))))</f>
        <v/>
      </c>
      <c r="M174" s="83" t="n"/>
      <c r="N174" s="87">
        <f>IF(ISNUMBER(W174),RANK(W174,$W$7:$W$206),"")</f>
        <v/>
      </c>
      <c r="W174" s="88">
        <f>IF(AND(C174&lt;&gt;"",E174&gt;0,F174&gt;0),H174+ROW()/1000000000,"")</f>
        <v/>
      </c>
      <c r="X174" s="88">
        <f>IF(AND(C174&lt;&gt;"",E174&gt;0,F174&gt;0,OR(CatSel="Todas",D174=CatSel)),H174+ROW()/1000000000,"")</f>
        <v/>
      </c>
    </row>
    <row r="175">
      <c r="B175" s="83" t="n"/>
      <c r="C175" s="83" t="n"/>
      <c r="D175" s="83" t="n"/>
      <c r="E175" s="84" t="n"/>
      <c r="F175" s="84" t="n"/>
      <c r="G175" s="85">
        <f>IF(OR(C175="",E175&lt;=0,DivMargen&lt;=0),0,IF(Redondeo&gt;0,CEILING(E175/DivMargen,Redondeo),E175/DivMargen))</f>
        <v/>
      </c>
      <c r="H175" s="85">
        <f>IF(OR(C175="",E175&lt;=0,F175&lt;=0),0,F175*DivBase-E175)</f>
        <v/>
      </c>
      <c r="I175" s="86">
        <f>IF(OR(C175="",E175&lt;=0,F175&lt;=0),0,H175/F175)</f>
        <v/>
      </c>
      <c r="J175" s="84" t="n"/>
      <c r="K175" s="85">
        <f>IF(OR(C175="",E175&lt;=0),0,E175*J175)</f>
        <v/>
      </c>
      <c r="L175" s="74">
        <f>IF(OR(C175="",E175&lt;=0),"",IF(F175&lt;=0,"Sin precio",IF(H175&lt;0,"PÉRDIDA",IF(I175&lt;MargenMin,"Margen bajo",IF(I175&lt;MargenObjReal,"Aceptable","Rentable")))))</f>
        <v/>
      </c>
      <c r="M175" s="83" t="n"/>
      <c r="N175" s="87">
        <f>IF(ISNUMBER(W175),RANK(W175,$W$7:$W$206),"")</f>
        <v/>
      </c>
      <c r="W175" s="88">
        <f>IF(AND(C175&lt;&gt;"",E175&gt;0,F175&gt;0),H175+ROW()/1000000000,"")</f>
        <v/>
      </c>
      <c r="X175" s="88">
        <f>IF(AND(C175&lt;&gt;"",E175&gt;0,F175&gt;0,OR(CatSel="Todas",D175=CatSel)),H175+ROW()/1000000000,"")</f>
        <v/>
      </c>
    </row>
    <row r="176">
      <c r="B176" s="83" t="n"/>
      <c r="C176" s="83" t="n"/>
      <c r="D176" s="83" t="n"/>
      <c r="E176" s="84" t="n"/>
      <c r="F176" s="84" t="n"/>
      <c r="G176" s="85">
        <f>IF(OR(C176="",E176&lt;=0,DivMargen&lt;=0),0,IF(Redondeo&gt;0,CEILING(E176/DivMargen,Redondeo),E176/DivMargen))</f>
        <v/>
      </c>
      <c r="H176" s="85">
        <f>IF(OR(C176="",E176&lt;=0,F176&lt;=0),0,F176*DivBase-E176)</f>
        <v/>
      </c>
      <c r="I176" s="86">
        <f>IF(OR(C176="",E176&lt;=0,F176&lt;=0),0,H176/F176)</f>
        <v/>
      </c>
      <c r="J176" s="84" t="n"/>
      <c r="K176" s="85">
        <f>IF(OR(C176="",E176&lt;=0),0,E176*J176)</f>
        <v/>
      </c>
      <c r="L176" s="74">
        <f>IF(OR(C176="",E176&lt;=0),"",IF(F176&lt;=0,"Sin precio",IF(H176&lt;0,"PÉRDIDA",IF(I176&lt;MargenMin,"Margen bajo",IF(I176&lt;MargenObjReal,"Aceptable","Rentable")))))</f>
        <v/>
      </c>
      <c r="M176" s="83" t="n"/>
      <c r="N176" s="87">
        <f>IF(ISNUMBER(W176),RANK(W176,$W$7:$W$206),"")</f>
        <v/>
      </c>
      <c r="W176" s="88">
        <f>IF(AND(C176&lt;&gt;"",E176&gt;0,F176&gt;0),H176+ROW()/1000000000,"")</f>
        <v/>
      </c>
      <c r="X176" s="88">
        <f>IF(AND(C176&lt;&gt;"",E176&gt;0,F176&gt;0,OR(CatSel="Todas",D176=CatSel)),H176+ROW()/1000000000,"")</f>
        <v/>
      </c>
    </row>
    <row r="177">
      <c r="B177" s="83" t="n"/>
      <c r="C177" s="83" t="n"/>
      <c r="D177" s="83" t="n"/>
      <c r="E177" s="84" t="n"/>
      <c r="F177" s="84" t="n"/>
      <c r="G177" s="85">
        <f>IF(OR(C177="",E177&lt;=0,DivMargen&lt;=0),0,IF(Redondeo&gt;0,CEILING(E177/DivMargen,Redondeo),E177/DivMargen))</f>
        <v/>
      </c>
      <c r="H177" s="85">
        <f>IF(OR(C177="",E177&lt;=0,F177&lt;=0),0,F177*DivBase-E177)</f>
        <v/>
      </c>
      <c r="I177" s="86">
        <f>IF(OR(C177="",E177&lt;=0,F177&lt;=0),0,H177/F177)</f>
        <v/>
      </c>
      <c r="J177" s="84" t="n"/>
      <c r="K177" s="85">
        <f>IF(OR(C177="",E177&lt;=0),0,E177*J177)</f>
        <v/>
      </c>
      <c r="L177" s="74">
        <f>IF(OR(C177="",E177&lt;=0),"",IF(F177&lt;=0,"Sin precio",IF(H177&lt;0,"PÉRDIDA",IF(I177&lt;MargenMin,"Margen bajo",IF(I177&lt;MargenObjReal,"Aceptable","Rentable")))))</f>
        <v/>
      </c>
      <c r="M177" s="83" t="n"/>
      <c r="N177" s="87">
        <f>IF(ISNUMBER(W177),RANK(W177,$W$7:$W$206),"")</f>
        <v/>
      </c>
      <c r="W177" s="88">
        <f>IF(AND(C177&lt;&gt;"",E177&gt;0,F177&gt;0),H177+ROW()/1000000000,"")</f>
        <v/>
      </c>
      <c r="X177" s="88">
        <f>IF(AND(C177&lt;&gt;"",E177&gt;0,F177&gt;0,OR(CatSel="Todas",D177=CatSel)),H177+ROW()/1000000000,"")</f>
        <v/>
      </c>
    </row>
    <row r="178">
      <c r="B178" s="83" t="n"/>
      <c r="C178" s="83" t="n"/>
      <c r="D178" s="83" t="n"/>
      <c r="E178" s="84" t="n"/>
      <c r="F178" s="84" t="n"/>
      <c r="G178" s="85">
        <f>IF(OR(C178="",E178&lt;=0,DivMargen&lt;=0),0,IF(Redondeo&gt;0,CEILING(E178/DivMargen,Redondeo),E178/DivMargen))</f>
        <v/>
      </c>
      <c r="H178" s="85">
        <f>IF(OR(C178="",E178&lt;=0,F178&lt;=0),0,F178*DivBase-E178)</f>
        <v/>
      </c>
      <c r="I178" s="86">
        <f>IF(OR(C178="",E178&lt;=0,F178&lt;=0),0,H178/F178)</f>
        <v/>
      </c>
      <c r="J178" s="84" t="n"/>
      <c r="K178" s="85">
        <f>IF(OR(C178="",E178&lt;=0),0,E178*J178)</f>
        <v/>
      </c>
      <c r="L178" s="74">
        <f>IF(OR(C178="",E178&lt;=0),"",IF(F178&lt;=0,"Sin precio",IF(H178&lt;0,"PÉRDIDA",IF(I178&lt;MargenMin,"Margen bajo",IF(I178&lt;MargenObjReal,"Aceptable","Rentable")))))</f>
        <v/>
      </c>
      <c r="M178" s="83" t="n"/>
      <c r="N178" s="87">
        <f>IF(ISNUMBER(W178),RANK(W178,$W$7:$W$206),"")</f>
        <v/>
      </c>
      <c r="W178" s="88">
        <f>IF(AND(C178&lt;&gt;"",E178&gt;0,F178&gt;0),H178+ROW()/1000000000,"")</f>
        <v/>
      </c>
      <c r="X178" s="88">
        <f>IF(AND(C178&lt;&gt;"",E178&gt;0,F178&gt;0,OR(CatSel="Todas",D178=CatSel)),H178+ROW()/1000000000,"")</f>
        <v/>
      </c>
    </row>
    <row r="179">
      <c r="B179" s="83" t="n"/>
      <c r="C179" s="83" t="n"/>
      <c r="D179" s="83" t="n"/>
      <c r="E179" s="84" t="n"/>
      <c r="F179" s="84" t="n"/>
      <c r="G179" s="85">
        <f>IF(OR(C179="",E179&lt;=0,DivMargen&lt;=0),0,IF(Redondeo&gt;0,CEILING(E179/DivMargen,Redondeo),E179/DivMargen))</f>
        <v/>
      </c>
      <c r="H179" s="85">
        <f>IF(OR(C179="",E179&lt;=0,F179&lt;=0),0,F179*DivBase-E179)</f>
        <v/>
      </c>
      <c r="I179" s="86">
        <f>IF(OR(C179="",E179&lt;=0,F179&lt;=0),0,H179/F179)</f>
        <v/>
      </c>
      <c r="J179" s="84" t="n"/>
      <c r="K179" s="85">
        <f>IF(OR(C179="",E179&lt;=0),0,E179*J179)</f>
        <v/>
      </c>
      <c r="L179" s="74">
        <f>IF(OR(C179="",E179&lt;=0),"",IF(F179&lt;=0,"Sin precio",IF(H179&lt;0,"PÉRDIDA",IF(I179&lt;MargenMin,"Margen bajo",IF(I179&lt;MargenObjReal,"Aceptable","Rentable")))))</f>
        <v/>
      </c>
      <c r="M179" s="83" t="n"/>
      <c r="N179" s="87">
        <f>IF(ISNUMBER(W179),RANK(W179,$W$7:$W$206),"")</f>
        <v/>
      </c>
      <c r="W179" s="88">
        <f>IF(AND(C179&lt;&gt;"",E179&gt;0,F179&gt;0),H179+ROW()/1000000000,"")</f>
        <v/>
      </c>
      <c r="X179" s="88">
        <f>IF(AND(C179&lt;&gt;"",E179&gt;0,F179&gt;0,OR(CatSel="Todas",D179=CatSel)),H179+ROW()/1000000000,"")</f>
        <v/>
      </c>
    </row>
    <row r="180">
      <c r="B180" s="83" t="n"/>
      <c r="C180" s="83" t="n"/>
      <c r="D180" s="83" t="n"/>
      <c r="E180" s="84" t="n"/>
      <c r="F180" s="84" t="n"/>
      <c r="G180" s="85">
        <f>IF(OR(C180="",E180&lt;=0,DivMargen&lt;=0),0,IF(Redondeo&gt;0,CEILING(E180/DivMargen,Redondeo),E180/DivMargen))</f>
        <v/>
      </c>
      <c r="H180" s="85">
        <f>IF(OR(C180="",E180&lt;=0,F180&lt;=0),0,F180*DivBase-E180)</f>
        <v/>
      </c>
      <c r="I180" s="86">
        <f>IF(OR(C180="",E180&lt;=0,F180&lt;=0),0,H180/F180)</f>
        <v/>
      </c>
      <c r="J180" s="84" t="n"/>
      <c r="K180" s="85">
        <f>IF(OR(C180="",E180&lt;=0),0,E180*J180)</f>
        <v/>
      </c>
      <c r="L180" s="74">
        <f>IF(OR(C180="",E180&lt;=0),"",IF(F180&lt;=0,"Sin precio",IF(H180&lt;0,"PÉRDIDA",IF(I180&lt;MargenMin,"Margen bajo",IF(I180&lt;MargenObjReal,"Aceptable","Rentable")))))</f>
        <v/>
      </c>
      <c r="M180" s="83" t="n"/>
      <c r="N180" s="87">
        <f>IF(ISNUMBER(W180),RANK(W180,$W$7:$W$206),"")</f>
        <v/>
      </c>
      <c r="W180" s="88">
        <f>IF(AND(C180&lt;&gt;"",E180&gt;0,F180&gt;0),H180+ROW()/1000000000,"")</f>
        <v/>
      </c>
      <c r="X180" s="88">
        <f>IF(AND(C180&lt;&gt;"",E180&gt;0,F180&gt;0,OR(CatSel="Todas",D180=CatSel)),H180+ROW()/1000000000,"")</f>
        <v/>
      </c>
    </row>
    <row r="181">
      <c r="B181" s="83" t="n"/>
      <c r="C181" s="83" t="n"/>
      <c r="D181" s="83" t="n"/>
      <c r="E181" s="84" t="n"/>
      <c r="F181" s="84" t="n"/>
      <c r="G181" s="85">
        <f>IF(OR(C181="",E181&lt;=0,DivMargen&lt;=0),0,IF(Redondeo&gt;0,CEILING(E181/DivMargen,Redondeo),E181/DivMargen))</f>
        <v/>
      </c>
      <c r="H181" s="85">
        <f>IF(OR(C181="",E181&lt;=0,F181&lt;=0),0,F181*DivBase-E181)</f>
        <v/>
      </c>
      <c r="I181" s="86">
        <f>IF(OR(C181="",E181&lt;=0,F181&lt;=0),0,H181/F181)</f>
        <v/>
      </c>
      <c r="J181" s="84" t="n"/>
      <c r="K181" s="85">
        <f>IF(OR(C181="",E181&lt;=0),0,E181*J181)</f>
        <v/>
      </c>
      <c r="L181" s="74">
        <f>IF(OR(C181="",E181&lt;=0),"",IF(F181&lt;=0,"Sin precio",IF(H181&lt;0,"PÉRDIDA",IF(I181&lt;MargenMin,"Margen bajo",IF(I181&lt;MargenObjReal,"Aceptable","Rentable")))))</f>
        <v/>
      </c>
      <c r="M181" s="83" t="n"/>
      <c r="N181" s="87">
        <f>IF(ISNUMBER(W181),RANK(W181,$W$7:$W$206),"")</f>
        <v/>
      </c>
      <c r="W181" s="88">
        <f>IF(AND(C181&lt;&gt;"",E181&gt;0,F181&gt;0),H181+ROW()/1000000000,"")</f>
        <v/>
      </c>
      <c r="X181" s="88">
        <f>IF(AND(C181&lt;&gt;"",E181&gt;0,F181&gt;0,OR(CatSel="Todas",D181=CatSel)),H181+ROW()/1000000000,"")</f>
        <v/>
      </c>
    </row>
    <row r="182">
      <c r="B182" s="83" t="n"/>
      <c r="C182" s="83" t="n"/>
      <c r="D182" s="83" t="n"/>
      <c r="E182" s="84" t="n"/>
      <c r="F182" s="84" t="n"/>
      <c r="G182" s="85">
        <f>IF(OR(C182="",E182&lt;=0,DivMargen&lt;=0),0,IF(Redondeo&gt;0,CEILING(E182/DivMargen,Redondeo),E182/DivMargen))</f>
        <v/>
      </c>
      <c r="H182" s="85">
        <f>IF(OR(C182="",E182&lt;=0,F182&lt;=0),0,F182*DivBase-E182)</f>
        <v/>
      </c>
      <c r="I182" s="86">
        <f>IF(OR(C182="",E182&lt;=0,F182&lt;=0),0,H182/F182)</f>
        <v/>
      </c>
      <c r="J182" s="84" t="n"/>
      <c r="K182" s="85">
        <f>IF(OR(C182="",E182&lt;=0),0,E182*J182)</f>
        <v/>
      </c>
      <c r="L182" s="74">
        <f>IF(OR(C182="",E182&lt;=0),"",IF(F182&lt;=0,"Sin precio",IF(H182&lt;0,"PÉRDIDA",IF(I182&lt;MargenMin,"Margen bajo",IF(I182&lt;MargenObjReal,"Aceptable","Rentable")))))</f>
        <v/>
      </c>
      <c r="M182" s="83" t="n"/>
      <c r="N182" s="87">
        <f>IF(ISNUMBER(W182),RANK(W182,$W$7:$W$206),"")</f>
        <v/>
      </c>
      <c r="W182" s="88">
        <f>IF(AND(C182&lt;&gt;"",E182&gt;0,F182&gt;0),H182+ROW()/1000000000,"")</f>
        <v/>
      </c>
      <c r="X182" s="88">
        <f>IF(AND(C182&lt;&gt;"",E182&gt;0,F182&gt;0,OR(CatSel="Todas",D182=CatSel)),H182+ROW()/1000000000,"")</f>
        <v/>
      </c>
    </row>
    <row r="183">
      <c r="B183" s="83" t="n"/>
      <c r="C183" s="83" t="n"/>
      <c r="D183" s="83" t="n"/>
      <c r="E183" s="84" t="n"/>
      <c r="F183" s="84" t="n"/>
      <c r="G183" s="85">
        <f>IF(OR(C183="",E183&lt;=0,DivMargen&lt;=0),0,IF(Redondeo&gt;0,CEILING(E183/DivMargen,Redondeo),E183/DivMargen))</f>
        <v/>
      </c>
      <c r="H183" s="85">
        <f>IF(OR(C183="",E183&lt;=0,F183&lt;=0),0,F183*DivBase-E183)</f>
        <v/>
      </c>
      <c r="I183" s="86">
        <f>IF(OR(C183="",E183&lt;=0,F183&lt;=0),0,H183/F183)</f>
        <v/>
      </c>
      <c r="J183" s="84" t="n"/>
      <c r="K183" s="85">
        <f>IF(OR(C183="",E183&lt;=0),0,E183*J183)</f>
        <v/>
      </c>
      <c r="L183" s="74">
        <f>IF(OR(C183="",E183&lt;=0),"",IF(F183&lt;=0,"Sin precio",IF(H183&lt;0,"PÉRDIDA",IF(I183&lt;MargenMin,"Margen bajo",IF(I183&lt;MargenObjReal,"Aceptable","Rentable")))))</f>
        <v/>
      </c>
      <c r="M183" s="83" t="n"/>
      <c r="N183" s="87">
        <f>IF(ISNUMBER(W183),RANK(W183,$W$7:$W$206),"")</f>
        <v/>
      </c>
      <c r="W183" s="88">
        <f>IF(AND(C183&lt;&gt;"",E183&gt;0,F183&gt;0),H183+ROW()/1000000000,"")</f>
        <v/>
      </c>
      <c r="X183" s="88">
        <f>IF(AND(C183&lt;&gt;"",E183&gt;0,F183&gt;0,OR(CatSel="Todas",D183=CatSel)),H183+ROW()/1000000000,"")</f>
        <v/>
      </c>
    </row>
    <row r="184">
      <c r="B184" s="83" t="n"/>
      <c r="C184" s="83" t="n"/>
      <c r="D184" s="83" t="n"/>
      <c r="E184" s="84" t="n"/>
      <c r="F184" s="84" t="n"/>
      <c r="G184" s="85">
        <f>IF(OR(C184="",E184&lt;=0,DivMargen&lt;=0),0,IF(Redondeo&gt;0,CEILING(E184/DivMargen,Redondeo),E184/DivMargen))</f>
        <v/>
      </c>
      <c r="H184" s="85">
        <f>IF(OR(C184="",E184&lt;=0,F184&lt;=0),0,F184*DivBase-E184)</f>
        <v/>
      </c>
      <c r="I184" s="86">
        <f>IF(OR(C184="",E184&lt;=0,F184&lt;=0),0,H184/F184)</f>
        <v/>
      </c>
      <c r="J184" s="84" t="n"/>
      <c r="K184" s="85">
        <f>IF(OR(C184="",E184&lt;=0),0,E184*J184)</f>
        <v/>
      </c>
      <c r="L184" s="74">
        <f>IF(OR(C184="",E184&lt;=0),"",IF(F184&lt;=0,"Sin precio",IF(H184&lt;0,"PÉRDIDA",IF(I184&lt;MargenMin,"Margen bajo",IF(I184&lt;MargenObjReal,"Aceptable","Rentable")))))</f>
        <v/>
      </c>
      <c r="M184" s="83" t="n"/>
      <c r="N184" s="87">
        <f>IF(ISNUMBER(W184),RANK(W184,$W$7:$W$206),"")</f>
        <v/>
      </c>
      <c r="W184" s="88">
        <f>IF(AND(C184&lt;&gt;"",E184&gt;0,F184&gt;0),H184+ROW()/1000000000,"")</f>
        <v/>
      </c>
      <c r="X184" s="88">
        <f>IF(AND(C184&lt;&gt;"",E184&gt;0,F184&gt;0,OR(CatSel="Todas",D184=CatSel)),H184+ROW()/1000000000,"")</f>
        <v/>
      </c>
    </row>
    <row r="185">
      <c r="B185" s="83" t="n"/>
      <c r="C185" s="83" t="n"/>
      <c r="D185" s="83" t="n"/>
      <c r="E185" s="84" t="n"/>
      <c r="F185" s="84" t="n"/>
      <c r="G185" s="85">
        <f>IF(OR(C185="",E185&lt;=0,DivMargen&lt;=0),0,IF(Redondeo&gt;0,CEILING(E185/DivMargen,Redondeo),E185/DivMargen))</f>
        <v/>
      </c>
      <c r="H185" s="85">
        <f>IF(OR(C185="",E185&lt;=0,F185&lt;=0),0,F185*DivBase-E185)</f>
        <v/>
      </c>
      <c r="I185" s="86">
        <f>IF(OR(C185="",E185&lt;=0,F185&lt;=0),0,H185/F185)</f>
        <v/>
      </c>
      <c r="J185" s="84" t="n"/>
      <c r="K185" s="85">
        <f>IF(OR(C185="",E185&lt;=0),0,E185*J185)</f>
        <v/>
      </c>
      <c r="L185" s="74">
        <f>IF(OR(C185="",E185&lt;=0),"",IF(F185&lt;=0,"Sin precio",IF(H185&lt;0,"PÉRDIDA",IF(I185&lt;MargenMin,"Margen bajo",IF(I185&lt;MargenObjReal,"Aceptable","Rentable")))))</f>
        <v/>
      </c>
      <c r="M185" s="83" t="n"/>
      <c r="N185" s="87">
        <f>IF(ISNUMBER(W185),RANK(W185,$W$7:$W$206),"")</f>
        <v/>
      </c>
      <c r="W185" s="88">
        <f>IF(AND(C185&lt;&gt;"",E185&gt;0,F185&gt;0),H185+ROW()/1000000000,"")</f>
        <v/>
      </c>
      <c r="X185" s="88">
        <f>IF(AND(C185&lt;&gt;"",E185&gt;0,F185&gt;0,OR(CatSel="Todas",D185=CatSel)),H185+ROW()/1000000000,"")</f>
        <v/>
      </c>
    </row>
    <row r="186">
      <c r="B186" s="83" t="n"/>
      <c r="C186" s="83" t="n"/>
      <c r="D186" s="83" t="n"/>
      <c r="E186" s="84" t="n"/>
      <c r="F186" s="84" t="n"/>
      <c r="G186" s="85">
        <f>IF(OR(C186="",E186&lt;=0,DivMargen&lt;=0),0,IF(Redondeo&gt;0,CEILING(E186/DivMargen,Redondeo),E186/DivMargen))</f>
        <v/>
      </c>
      <c r="H186" s="85">
        <f>IF(OR(C186="",E186&lt;=0,F186&lt;=0),0,F186*DivBase-E186)</f>
        <v/>
      </c>
      <c r="I186" s="86">
        <f>IF(OR(C186="",E186&lt;=0,F186&lt;=0),0,H186/F186)</f>
        <v/>
      </c>
      <c r="J186" s="84" t="n"/>
      <c r="K186" s="85">
        <f>IF(OR(C186="",E186&lt;=0),0,E186*J186)</f>
        <v/>
      </c>
      <c r="L186" s="74">
        <f>IF(OR(C186="",E186&lt;=0),"",IF(F186&lt;=0,"Sin precio",IF(H186&lt;0,"PÉRDIDA",IF(I186&lt;MargenMin,"Margen bajo",IF(I186&lt;MargenObjReal,"Aceptable","Rentable")))))</f>
        <v/>
      </c>
      <c r="M186" s="83" t="n"/>
      <c r="N186" s="87">
        <f>IF(ISNUMBER(W186),RANK(W186,$W$7:$W$206),"")</f>
        <v/>
      </c>
      <c r="W186" s="88">
        <f>IF(AND(C186&lt;&gt;"",E186&gt;0,F186&gt;0),H186+ROW()/1000000000,"")</f>
        <v/>
      </c>
      <c r="X186" s="88">
        <f>IF(AND(C186&lt;&gt;"",E186&gt;0,F186&gt;0,OR(CatSel="Todas",D186=CatSel)),H186+ROW()/1000000000,"")</f>
        <v/>
      </c>
    </row>
    <row r="187">
      <c r="B187" s="83" t="n"/>
      <c r="C187" s="83" t="n"/>
      <c r="D187" s="83" t="n"/>
      <c r="E187" s="84" t="n"/>
      <c r="F187" s="84" t="n"/>
      <c r="G187" s="85">
        <f>IF(OR(C187="",E187&lt;=0,DivMargen&lt;=0),0,IF(Redondeo&gt;0,CEILING(E187/DivMargen,Redondeo),E187/DivMargen))</f>
        <v/>
      </c>
      <c r="H187" s="85">
        <f>IF(OR(C187="",E187&lt;=0,F187&lt;=0),0,F187*DivBase-E187)</f>
        <v/>
      </c>
      <c r="I187" s="86">
        <f>IF(OR(C187="",E187&lt;=0,F187&lt;=0),0,H187/F187)</f>
        <v/>
      </c>
      <c r="J187" s="84" t="n"/>
      <c r="K187" s="85">
        <f>IF(OR(C187="",E187&lt;=0),0,E187*J187)</f>
        <v/>
      </c>
      <c r="L187" s="74">
        <f>IF(OR(C187="",E187&lt;=0),"",IF(F187&lt;=0,"Sin precio",IF(H187&lt;0,"PÉRDIDA",IF(I187&lt;MargenMin,"Margen bajo",IF(I187&lt;MargenObjReal,"Aceptable","Rentable")))))</f>
        <v/>
      </c>
      <c r="M187" s="83" t="n"/>
      <c r="N187" s="87">
        <f>IF(ISNUMBER(W187),RANK(W187,$W$7:$W$206),"")</f>
        <v/>
      </c>
      <c r="W187" s="88">
        <f>IF(AND(C187&lt;&gt;"",E187&gt;0,F187&gt;0),H187+ROW()/1000000000,"")</f>
        <v/>
      </c>
      <c r="X187" s="88">
        <f>IF(AND(C187&lt;&gt;"",E187&gt;0,F187&gt;0,OR(CatSel="Todas",D187=CatSel)),H187+ROW()/1000000000,"")</f>
        <v/>
      </c>
    </row>
    <row r="188">
      <c r="B188" s="83" t="n"/>
      <c r="C188" s="83" t="n"/>
      <c r="D188" s="83" t="n"/>
      <c r="E188" s="84" t="n"/>
      <c r="F188" s="84" t="n"/>
      <c r="G188" s="85">
        <f>IF(OR(C188="",E188&lt;=0,DivMargen&lt;=0),0,IF(Redondeo&gt;0,CEILING(E188/DivMargen,Redondeo),E188/DivMargen))</f>
        <v/>
      </c>
      <c r="H188" s="85">
        <f>IF(OR(C188="",E188&lt;=0,F188&lt;=0),0,F188*DivBase-E188)</f>
        <v/>
      </c>
      <c r="I188" s="86">
        <f>IF(OR(C188="",E188&lt;=0,F188&lt;=0),0,H188/F188)</f>
        <v/>
      </c>
      <c r="J188" s="84" t="n"/>
      <c r="K188" s="85">
        <f>IF(OR(C188="",E188&lt;=0),0,E188*J188)</f>
        <v/>
      </c>
      <c r="L188" s="74">
        <f>IF(OR(C188="",E188&lt;=0),"",IF(F188&lt;=0,"Sin precio",IF(H188&lt;0,"PÉRDIDA",IF(I188&lt;MargenMin,"Margen bajo",IF(I188&lt;MargenObjReal,"Aceptable","Rentable")))))</f>
        <v/>
      </c>
      <c r="M188" s="83" t="n"/>
      <c r="N188" s="87">
        <f>IF(ISNUMBER(W188),RANK(W188,$W$7:$W$206),"")</f>
        <v/>
      </c>
      <c r="W188" s="88">
        <f>IF(AND(C188&lt;&gt;"",E188&gt;0,F188&gt;0),H188+ROW()/1000000000,"")</f>
        <v/>
      </c>
      <c r="X188" s="88">
        <f>IF(AND(C188&lt;&gt;"",E188&gt;0,F188&gt;0,OR(CatSel="Todas",D188=CatSel)),H188+ROW()/1000000000,"")</f>
        <v/>
      </c>
    </row>
    <row r="189">
      <c r="B189" s="83" t="n"/>
      <c r="C189" s="83" t="n"/>
      <c r="D189" s="83" t="n"/>
      <c r="E189" s="84" t="n"/>
      <c r="F189" s="84" t="n"/>
      <c r="G189" s="85">
        <f>IF(OR(C189="",E189&lt;=0,DivMargen&lt;=0),0,IF(Redondeo&gt;0,CEILING(E189/DivMargen,Redondeo),E189/DivMargen))</f>
        <v/>
      </c>
      <c r="H189" s="85">
        <f>IF(OR(C189="",E189&lt;=0,F189&lt;=0),0,F189*DivBase-E189)</f>
        <v/>
      </c>
      <c r="I189" s="86">
        <f>IF(OR(C189="",E189&lt;=0,F189&lt;=0),0,H189/F189)</f>
        <v/>
      </c>
      <c r="J189" s="84" t="n"/>
      <c r="K189" s="85">
        <f>IF(OR(C189="",E189&lt;=0),0,E189*J189)</f>
        <v/>
      </c>
      <c r="L189" s="74">
        <f>IF(OR(C189="",E189&lt;=0),"",IF(F189&lt;=0,"Sin precio",IF(H189&lt;0,"PÉRDIDA",IF(I189&lt;MargenMin,"Margen bajo",IF(I189&lt;MargenObjReal,"Aceptable","Rentable")))))</f>
        <v/>
      </c>
      <c r="M189" s="83" t="n"/>
      <c r="N189" s="87">
        <f>IF(ISNUMBER(W189),RANK(W189,$W$7:$W$206),"")</f>
        <v/>
      </c>
      <c r="W189" s="88">
        <f>IF(AND(C189&lt;&gt;"",E189&gt;0,F189&gt;0),H189+ROW()/1000000000,"")</f>
        <v/>
      </c>
      <c r="X189" s="88">
        <f>IF(AND(C189&lt;&gt;"",E189&gt;0,F189&gt;0,OR(CatSel="Todas",D189=CatSel)),H189+ROW()/1000000000,"")</f>
        <v/>
      </c>
    </row>
    <row r="190">
      <c r="B190" s="83" t="n"/>
      <c r="C190" s="83" t="n"/>
      <c r="D190" s="83" t="n"/>
      <c r="E190" s="84" t="n"/>
      <c r="F190" s="84" t="n"/>
      <c r="G190" s="85">
        <f>IF(OR(C190="",E190&lt;=0,DivMargen&lt;=0),0,IF(Redondeo&gt;0,CEILING(E190/DivMargen,Redondeo),E190/DivMargen))</f>
        <v/>
      </c>
      <c r="H190" s="85">
        <f>IF(OR(C190="",E190&lt;=0,F190&lt;=0),0,F190*DivBase-E190)</f>
        <v/>
      </c>
      <c r="I190" s="86">
        <f>IF(OR(C190="",E190&lt;=0,F190&lt;=0),0,H190/F190)</f>
        <v/>
      </c>
      <c r="J190" s="84" t="n"/>
      <c r="K190" s="85">
        <f>IF(OR(C190="",E190&lt;=0),0,E190*J190)</f>
        <v/>
      </c>
      <c r="L190" s="74">
        <f>IF(OR(C190="",E190&lt;=0),"",IF(F190&lt;=0,"Sin precio",IF(H190&lt;0,"PÉRDIDA",IF(I190&lt;MargenMin,"Margen bajo",IF(I190&lt;MargenObjReal,"Aceptable","Rentable")))))</f>
        <v/>
      </c>
      <c r="M190" s="83" t="n"/>
      <c r="N190" s="87">
        <f>IF(ISNUMBER(W190),RANK(W190,$W$7:$W$206),"")</f>
        <v/>
      </c>
      <c r="W190" s="88">
        <f>IF(AND(C190&lt;&gt;"",E190&gt;0,F190&gt;0),H190+ROW()/1000000000,"")</f>
        <v/>
      </c>
      <c r="X190" s="88">
        <f>IF(AND(C190&lt;&gt;"",E190&gt;0,F190&gt;0,OR(CatSel="Todas",D190=CatSel)),H190+ROW()/1000000000,"")</f>
        <v/>
      </c>
    </row>
    <row r="191">
      <c r="B191" s="83" t="n"/>
      <c r="C191" s="83" t="n"/>
      <c r="D191" s="83" t="n"/>
      <c r="E191" s="84" t="n"/>
      <c r="F191" s="84" t="n"/>
      <c r="G191" s="85">
        <f>IF(OR(C191="",E191&lt;=0,DivMargen&lt;=0),0,IF(Redondeo&gt;0,CEILING(E191/DivMargen,Redondeo),E191/DivMargen))</f>
        <v/>
      </c>
      <c r="H191" s="85">
        <f>IF(OR(C191="",E191&lt;=0,F191&lt;=0),0,F191*DivBase-E191)</f>
        <v/>
      </c>
      <c r="I191" s="86">
        <f>IF(OR(C191="",E191&lt;=0,F191&lt;=0),0,H191/F191)</f>
        <v/>
      </c>
      <c r="J191" s="84" t="n"/>
      <c r="K191" s="85">
        <f>IF(OR(C191="",E191&lt;=0),0,E191*J191)</f>
        <v/>
      </c>
      <c r="L191" s="74">
        <f>IF(OR(C191="",E191&lt;=0),"",IF(F191&lt;=0,"Sin precio",IF(H191&lt;0,"PÉRDIDA",IF(I191&lt;MargenMin,"Margen bajo",IF(I191&lt;MargenObjReal,"Aceptable","Rentable")))))</f>
        <v/>
      </c>
      <c r="M191" s="83" t="n"/>
      <c r="N191" s="87">
        <f>IF(ISNUMBER(W191),RANK(W191,$W$7:$W$206),"")</f>
        <v/>
      </c>
      <c r="W191" s="88">
        <f>IF(AND(C191&lt;&gt;"",E191&gt;0,F191&gt;0),H191+ROW()/1000000000,"")</f>
        <v/>
      </c>
      <c r="X191" s="88">
        <f>IF(AND(C191&lt;&gt;"",E191&gt;0,F191&gt;0,OR(CatSel="Todas",D191=CatSel)),H191+ROW()/1000000000,"")</f>
        <v/>
      </c>
    </row>
    <row r="192">
      <c r="B192" s="83" t="n"/>
      <c r="C192" s="83" t="n"/>
      <c r="D192" s="83" t="n"/>
      <c r="E192" s="84" t="n"/>
      <c r="F192" s="84" t="n"/>
      <c r="G192" s="85">
        <f>IF(OR(C192="",E192&lt;=0,DivMargen&lt;=0),0,IF(Redondeo&gt;0,CEILING(E192/DivMargen,Redondeo),E192/DivMargen))</f>
        <v/>
      </c>
      <c r="H192" s="85">
        <f>IF(OR(C192="",E192&lt;=0,F192&lt;=0),0,F192*DivBase-E192)</f>
        <v/>
      </c>
      <c r="I192" s="86">
        <f>IF(OR(C192="",E192&lt;=0,F192&lt;=0),0,H192/F192)</f>
        <v/>
      </c>
      <c r="J192" s="84" t="n"/>
      <c r="K192" s="85">
        <f>IF(OR(C192="",E192&lt;=0),0,E192*J192)</f>
        <v/>
      </c>
      <c r="L192" s="74">
        <f>IF(OR(C192="",E192&lt;=0),"",IF(F192&lt;=0,"Sin precio",IF(H192&lt;0,"PÉRDIDA",IF(I192&lt;MargenMin,"Margen bajo",IF(I192&lt;MargenObjReal,"Aceptable","Rentable")))))</f>
        <v/>
      </c>
      <c r="M192" s="83" t="n"/>
      <c r="N192" s="87">
        <f>IF(ISNUMBER(W192),RANK(W192,$W$7:$W$206),"")</f>
        <v/>
      </c>
      <c r="W192" s="88">
        <f>IF(AND(C192&lt;&gt;"",E192&gt;0,F192&gt;0),H192+ROW()/1000000000,"")</f>
        <v/>
      </c>
      <c r="X192" s="88">
        <f>IF(AND(C192&lt;&gt;"",E192&gt;0,F192&gt;0,OR(CatSel="Todas",D192=CatSel)),H192+ROW()/1000000000,"")</f>
        <v/>
      </c>
    </row>
    <row r="193">
      <c r="B193" s="83" t="n"/>
      <c r="C193" s="83" t="n"/>
      <c r="D193" s="83" t="n"/>
      <c r="E193" s="84" t="n"/>
      <c r="F193" s="84" t="n"/>
      <c r="G193" s="85">
        <f>IF(OR(C193="",E193&lt;=0,DivMargen&lt;=0),0,IF(Redondeo&gt;0,CEILING(E193/DivMargen,Redondeo),E193/DivMargen))</f>
        <v/>
      </c>
      <c r="H193" s="85">
        <f>IF(OR(C193="",E193&lt;=0,F193&lt;=0),0,F193*DivBase-E193)</f>
        <v/>
      </c>
      <c r="I193" s="86">
        <f>IF(OR(C193="",E193&lt;=0,F193&lt;=0),0,H193/F193)</f>
        <v/>
      </c>
      <c r="J193" s="84" t="n"/>
      <c r="K193" s="85">
        <f>IF(OR(C193="",E193&lt;=0),0,E193*J193)</f>
        <v/>
      </c>
      <c r="L193" s="74">
        <f>IF(OR(C193="",E193&lt;=0),"",IF(F193&lt;=0,"Sin precio",IF(H193&lt;0,"PÉRDIDA",IF(I193&lt;MargenMin,"Margen bajo",IF(I193&lt;MargenObjReal,"Aceptable","Rentable")))))</f>
        <v/>
      </c>
      <c r="M193" s="83" t="n"/>
      <c r="N193" s="87">
        <f>IF(ISNUMBER(W193),RANK(W193,$W$7:$W$206),"")</f>
        <v/>
      </c>
      <c r="W193" s="88">
        <f>IF(AND(C193&lt;&gt;"",E193&gt;0,F193&gt;0),H193+ROW()/1000000000,"")</f>
        <v/>
      </c>
      <c r="X193" s="88">
        <f>IF(AND(C193&lt;&gt;"",E193&gt;0,F193&gt;0,OR(CatSel="Todas",D193=CatSel)),H193+ROW()/1000000000,"")</f>
        <v/>
      </c>
    </row>
    <row r="194">
      <c r="B194" s="83" t="n"/>
      <c r="C194" s="83" t="n"/>
      <c r="D194" s="83" t="n"/>
      <c r="E194" s="84" t="n"/>
      <c r="F194" s="84" t="n"/>
      <c r="G194" s="85">
        <f>IF(OR(C194="",E194&lt;=0,DivMargen&lt;=0),0,IF(Redondeo&gt;0,CEILING(E194/DivMargen,Redondeo),E194/DivMargen))</f>
        <v/>
      </c>
      <c r="H194" s="85">
        <f>IF(OR(C194="",E194&lt;=0,F194&lt;=0),0,F194*DivBase-E194)</f>
        <v/>
      </c>
      <c r="I194" s="86">
        <f>IF(OR(C194="",E194&lt;=0,F194&lt;=0),0,H194/F194)</f>
        <v/>
      </c>
      <c r="J194" s="84" t="n"/>
      <c r="K194" s="85">
        <f>IF(OR(C194="",E194&lt;=0),0,E194*J194)</f>
        <v/>
      </c>
      <c r="L194" s="74">
        <f>IF(OR(C194="",E194&lt;=0),"",IF(F194&lt;=0,"Sin precio",IF(H194&lt;0,"PÉRDIDA",IF(I194&lt;MargenMin,"Margen bajo",IF(I194&lt;MargenObjReal,"Aceptable","Rentable")))))</f>
        <v/>
      </c>
      <c r="M194" s="83" t="n"/>
      <c r="N194" s="87">
        <f>IF(ISNUMBER(W194),RANK(W194,$W$7:$W$206),"")</f>
        <v/>
      </c>
      <c r="W194" s="88">
        <f>IF(AND(C194&lt;&gt;"",E194&gt;0,F194&gt;0),H194+ROW()/1000000000,"")</f>
        <v/>
      </c>
      <c r="X194" s="88">
        <f>IF(AND(C194&lt;&gt;"",E194&gt;0,F194&gt;0,OR(CatSel="Todas",D194=CatSel)),H194+ROW()/1000000000,"")</f>
        <v/>
      </c>
    </row>
    <row r="195">
      <c r="B195" s="83" t="n"/>
      <c r="C195" s="83" t="n"/>
      <c r="D195" s="83" t="n"/>
      <c r="E195" s="84" t="n"/>
      <c r="F195" s="84" t="n"/>
      <c r="G195" s="85">
        <f>IF(OR(C195="",E195&lt;=0,DivMargen&lt;=0),0,IF(Redondeo&gt;0,CEILING(E195/DivMargen,Redondeo),E195/DivMargen))</f>
        <v/>
      </c>
      <c r="H195" s="85">
        <f>IF(OR(C195="",E195&lt;=0,F195&lt;=0),0,F195*DivBase-E195)</f>
        <v/>
      </c>
      <c r="I195" s="86">
        <f>IF(OR(C195="",E195&lt;=0,F195&lt;=0),0,H195/F195)</f>
        <v/>
      </c>
      <c r="J195" s="84" t="n"/>
      <c r="K195" s="85">
        <f>IF(OR(C195="",E195&lt;=0),0,E195*J195)</f>
        <v/>
      </c>
      <c r="L195" s="74">
        <f>IF(OR(C195="",E195&lt;=0),"",IF(F195&lt;=0,"Sin precio",IF(H195&lt;0,"PÉRDIDA",IF(I195&lt;MargenMin,"Margen bajo",IF(I195&lt;MargenObjReal,"Aceptable","Rentable")))))</f>
        <v/>
      </c>
      <c r="M195" s="83" t="n"/>
      <c r="N195" s="87">
        <f>IF(ISNUMBER(W195),RANK(W195,$W$7:$W$206),"")</f>
        <v/>
      </c>
      <c r="W195" s="88">
        <f>IF(AND(C195&lt;&gt;"",E195&gt;0,F195&gt;0),H195+ROW()/1000000000,"")</f>
        <v/>
      </c>
      <c r="X195" s="88">
        <f>IF(AND(C195&lt;&gt;"",E195&gt;0,F195&gt;0,OR(CatSel="Todas",D195=CatSel)),H195+ROW()/1000000000,"")</f>
        <v/>
      </c>
    </row>
    <row r="196">
      <c r="B196" s="83" t="n"/>
      <c r="C196" s="83" t="n"/>
      <c r="D196" s="83" t="n"/>
      <c r="E196" s="84" t="n"/>
      <c r="F196" s="84" t="n"/>
      <c r="G196" s="85">
        <f>IF(OR(C196="",E196&lt;=0,DivMargen&lt;=0),0,IF(Redondeo&gt;0,CEILING(E196/DivMargen,Redondeo),E196/DivMargen))</f>
        <v/>
      </c>
      <c r="H196" s="85">
        <f>IF(OR(C196="",E196&lt;=0,F196&lt;=0),0,F196*DivBase-E196)</f>
        <v/>
      </c>
      <c r="I196" s="86">
        <f>IF(OR(C196="",E196&lt;=0,F196&lt;=0),0,H196/F196)</f>
        <v/>
      </c>
      <c r="J196" s="84" t="n"/>
      <c r="K196" s="85">
        <f>IF(OR(C196="",E196&lt;=0),0,E196*J196)</f>
        <v/>
      </c>
      <c r="L196" s="74">
        <f>IF(OR(C196="",E196&lt;=0),"",IF(F196&lt;=0,"Sin precio",IF(H196&lt;0,"PÉRDIDA",IF(I196&lt;MargenMin,"Margen bajo",IF(I196&lt;MargenObjReal,"Aceptable","Rentable")))))</f>
        <v/>
      </c>
      <c r="M196" s="83" t="n"/>
      <c r="N196" s="87">
        <f>IF(ISNUMBER(W196),RANK(W196,$W$7:$W$206),"")</f>
        <v/>
      </c>
      <c r="W196" s="88">
        <f>IF(AND(C196&lt;&gt;"",E196&gt;0,F196&gt;0),H196+ROW()/1000000000,"")</f>
        <v/>
      </c>
      <c r="X196" s="88">
        <f>IF(AND(C196&lt;&gt;"",E196&gt;0,F196&gt;0,OR(CatSel="Todas",D196=CatSel)),H196+ROW()/1000000000,"")</f>
        <v/>
      </c>
    </row>
    <row r="197">
      <c r="B197" s="83" t="n"/>
      <c r="C197" s="83" t="n"/>
      <c r="D197" s="83" t="n"/>
      <c r="E197" s="84" t="n"/>
      <c r="F197" s="84" t="n"/>
      <c r="G197" s="85">
        <f>IF(OR(C197="",E197&lt;=0,DivMargen&lt;=0),0,IF(Redondeo&gt;0,CEILING(E197/DivMargen,Redondeo),E197/DivMargen))</f>
        <v/>
      </c>
      <c r="H197" s="85">
        <f>IF(OR(C197="",E197&lt;=0,F197&lt;=0),0,F197*DivBase-E197)</f>
        <v/>
      </c>
      <c r="I197" s="86">
        <f>IF(OR(C197="",E197&lt;=0,F197&lt;=0),0,H197/F197)</f>
        <v/>
      </c>
      <c r="J197" s="84" t="n"/>
      <c r="K197" s="85">
        <f>IF(OR(C197="",E197&lt;=0),0,E197*J197)</f>
        <v/>
      </c>
      <c r="L197" s="74">
        <f>IF(OR(C197="",E197&lt;=0),"",IF(F197&lt;=0,"Sin precio",IF(H197&lt;0,"PÉRDIDA",IF(I197&lt;MargenMin,"Margen bajo",IF(I197&lt;MargenObjReal,"Aceptable","Rentable")))))</f>
        <v/>
      </c>
      <c r="M197" s="83" t="n"/>
      <c r="N197" s="87">
        <f>IF(ISNUMBER(W197),RANK(W197,$W$7:$W$206),"")</f>
        <v/>
      </c>
      <c r="W197" s="88">
        <f>IF(AND(C197&lt;&gt;"",E197&gt;0,F197&gt;0),H197+ROW()/1000000000,"")</f>
        <v/>
      </c>
      <c r="X197" s="88">
        <f>IF(AND(C197&lt;&gt;"",E197&gt;0,F197&gt;0,OR(CatSel="Todas",D197=CatSel)),H197+ROW()/1000000000,"")</f>
        <v/>
      </c>
    </row>
    <row r="198">
      <c r="B198" s="83" t="n"/>
      <c r="C198" s="83" t="n"/>
      <c r="D198" s="83" t="n"/>
      <c r="E198" s="84" t="n"/>
      <c r="F198" s="84" t="n"/>
      <c r="G198" s="85">
        <f>IF(OR(C198="",E198&lt;=0,DivMargen&lt;=0),0,IF(Redondeo&gt;0,CEILING(E198/DivMargen,Redondeo),E198/DivMargen))</f>
        <v/>
      </c>
      <c r="H198" s="85">
        <f>IF(OR(C198="",E198&lt;=0,F198&lt;=0),0,F198*DivBase-E198)</f>
        <v/>
      </c>
      <c r="I198" s="86">
        <f>IF(OR(C198="",E198&lt;=0,F198&lt;=0),0,H198/F198)</f>
        <v/>
      </c>
      <c r="J198" s="84" t="n"/>
      <c r="K198" s="85">
        <f>IF(OR(C198="",E198&lt;=0),0,E198*J198)</f>
        <v/>
      </c>
      <c r="L198" s="74">
        <f>IF(OR(C198="",E198&lt;=0),"",IF(F198&lt;=0,"Sin precio",IF(H198&lt;0,"PÉRDIDA",IF(I198&lt;MargenMin,"Margen bajo",IF(I198&lt;MargenObjReal,"Aceptable","Rentable")))))</f>
        <v/>
      </c>
      <c r="M198" s="83" t="n"/>
      <c r="N198" s="87">
        <f>IF(ISNUMBER(W198),RANK(W198,$W$7:$W$206),"")</f>
        <v/>
      </c>
      <c r="W198" s="88">
        <f>IF(AND(C198&lt;&gt;"",E198&gt;0,F198&gt;0),H198+ROW()/1000000000,"")</f>
        <v/>
      </c>
      <c r="X198" s="88">
        <f>IF(AND(C198&lt;&gt;"",E198&gt;0,F198&gt;0,OR(CatSel="Todas",D198=CatSel)),H198+ROW()/1000000000,"")</f>
        <v/>
      </c>
    </row>
    <row r="199">
      <c r="B199" s="83" t="n"/>
      <c r="C199" s="83" t="n"/>
      <c r="D199" s="83" t="n"/>
      <c r="E199" s="84" t="n"/>
      <c r="F199" s="84" t="n"/>
      <c r="G199" s="85">
        <f>IF(OR(C199="",E199&lt;=0,DivMargen&lt;=0),0,IF(Redondeo&gt;0,CEILING(E199/DivMargen,Redondeo),E199/DivMargen))</f>
        <v/>
      </c>
      <c r="H199" s="85">
        <f>IF(OR(C199="",E199&lt;=0,F199&lt;=0),0,F199*DivBase-E199)</f>
        <v/>
      </c>
      <c r="I199" s="86">
        <f>IF(OR(C199="",E199&lt;=0,F199&lt;=0),0,H199/F199)</f>
        <v/>
      </c>
      <c r="J199" s="84" t="n"/>
      <c r="K199" s="85">
        <f>IF(OR(C199="",E199&lt;=0),0,E199*J199)</f>
        <v/>
      </c>
      <c r="L199" s="74">
        <f>IF(OR(C199="",E199&lt;=0),"",IF(F199&lt;=0,"Sin precio",IF(H199&lt;0,"PÉRDIDA",IF(I199&lt;MargenMin,"Margen bajo",IF(I199&lt;MargenObjReal,"Aceptable","Rentable")))))</f>
        <v/>
      </c>
      <c r="M199" s="83" t="n"/>
      <c r="N199" s="87">
        <f>IF(ISNUMBER(W199),RANK(W199,$W$7:$W$206),"")</f>
        <v/>
      </c>
      <c r="W199" s="88">
        <f>IF(AND(C199&lt;&gt;"",E199&gt;0,F199&gt;0),H199+ROW()/1000000000,"")</f>
        <v/>
      </c>
      <c r="X199" s="88">
        <f>IF(AND(C199&lt;&gt;"",E199&gt;0,F199&gt;0,OR(CatSel="Todas",D199=CatSel)),H199+ROW()/1000000000,"")</f>
        <v/>
      </c>
    </row>
    <row r="200">
      <c r="B200" s="83" t="n"/>
      <c r="C200" s="83" t="n"/>
      <c r="D200" s="83" t="n"/>
      <c r="E200" s="84" t="n"/>
      <c r="F200" s="84" t="n"/>
      <c r="G200" s="85">
        <f>IF(OR(C200="",E200&lt;=0,DivMargen&lt;=0),0,IF(Redondeo&gt;0,CEILING(E200/DivMargen,Redondeo),E200/DivMargen))</f>
        <v/>
      </c>
      <c r="H200" s="85">
        <f>IF(OR(C200="",E200&lt;=0,F200&lt;=0),0,F200*DivBase-E200)</f>
        <v/>
      </c>
      <c r="I200" s="86">
        <f>IF(OR(C200="",E200&lt;=0,F200&lt;=0),0,H200/F200)</f>
        <v/>
      </c>
      <c r="J200" s="84" t="n"/>
      <c r="K200" s="85">
        <f>IF(OR(C200="",E200&lt;=0),0,E200*J200)</f>
        <v/>
      </c>
      <c r="L200" s="74">
        <f>IF(OR(C200="",E200&lt;=0),"",IF(F200&lt;=0,"Sin precio",IF(H200&lt;0,"PÉRDIDA",IF(I200&lt;MargenMin,"Margen bajo",IF(I200&lt;MargenObjReal,"Aceptable","Rentable")))))</f>
        <v/>
      </c>
      <c r="M200" s="83" t="n"/>
      <c r="N200" s="87">
        <f>IF(ISNUMBER(W200),RANK(W200,$W$7:$W$206),"")</f>
        <v/>
      </c>
      <c r="W200" s="88">
        <f>IF(AND(C200&lt;&gt;"",E200&gt;0,F200&gt;0),H200+ROW()/1000000000,"")</f>
        <v/>
      </c>
      <c r="X200" s="88">
        <f>IF(AND(C200&lt;&gt;"",E200&gt;0,F200&gt;0,OR(CatSel="Todas",D200=CatSel)),H200+ROW()/1000000000,"")</f>
        <v/>
      </c>
    </row>
    <row r="201">
      <c r="B201" s="83" t="n"/>
      <c r="C201" s="83" t="n"/>
      <c r="D201" s="83" t="n"/>
      <c r="E201" s="84" t="n"/>
      <c r="F201" s="84" t="n"/>
      <c r="G201" s="85">
        <f>IF(OR(C201="",E201&lt;=0,DivMargen&lt;=0),0,IF(Redondeo&gt;0,CEILING(E201/DivMargen,Redondeo),E201/DivMargen))</f>
        <v/>
      </c>
      <c r="H201" s="85">
        <f>IF(OR(C201="",E201&lt;=0,F201&lt;=0),0,F201*DivBase-E201)</f>
        <v/>
      </c>
      <c r="I201" s="86">
        <f>IF(OR(C201="",E201&lt;=0,F201&lt;=0),0,H201/F201)</f>
        <v/>
      </c>
      <c r="J201" s="84" t="n"/>
      <c r="K201" s="85">
        <f>IF(OR(C201="",E201&lt;=0),0,E201*J201)</f>
        <v/>
      </c>
      <c r="L201" s="74">
        <f>IF(OR(C201="",E201&lt;=0),"",IF(F201&lt;=0,"Sin precio",IF(H201&lt;0,"PÉRDIDA",IF(I201&lt;MargenMin,"Margen bajo",IF(I201&lt;MargenObjReal,"Aceptable","Rentable")))))</f>
        <v/>
      </c>
      <c r="M201" s="83" t="n"/>
      <c r="N201" s="87">
        <f>IF(ISNUMBER(W201),RANK(W201,$W$7:$W$206),"")</f>
        <v/>
      </c>
      <c r="W201" s="88">
        <f>IF(AND(C201&lt;&gt;"",E201&gt;0,F201&gt;0),H201+ROW()/1000000000,"")</f>
        <v/>
      </c>
      <c r="X201" s="88">
        <f>IF(AND(C201&lt;&gt;"",E201&gt;0,F201&gt;0,OR(CatSel="Todas",D201=CatSel)),H201+ROW()/1000000000,"")</f>
        <v/>
      </c>
    </row>
    <row r="202">
      <c r="B202" s="83" t="n"/>
      <c r="C202" s="83" t="n"/>
      <c r="D202" s="83" t="n"/>
      <c r="E202" s="84" t="n"/>
      <c r="F202" s="84" t="n"/>
      <c r="G202" s="85">
        <f>IF(OR(C202="",E202&lt;=0,DivMargen&lt;=0),0,IF(Redondeo&gt;0,CEILING(E202/DivMargen,Redondeo),E202/DivMargen))</f>
        <v/>
      </c>
      <c r="H202" s="85">
        <f>IF(OR(C202="",E202&lt;=0,F202&lt;=0),0,F202*DivBase-E202)</f>
        <v/>
      </c>
      <c r="I202" s="86">
        <f>IF(OR(C202="",E202&lt;=0,F202&lt;=0),0,H202/F202)</f>
        <v/>
      </c>
      <c r="J202" s="84" t="n"/>
      <c r="K202" s="85">
        <f>IF(OR(C202="",E202&lt;=0),0,E202*J202)</f>
        <v/>
      </c>
      <c r="L202" s="74">
        <f>IF(OR(C202="",E202&lt;=0),"",IF(F202&lt;=0,"Sin precio",IF(H202&lt;0,"PÉRDIDA",IF(I202&lt;MargenMin,"Margen bajo",IF(I202&lt;MargenObjReal,"Aceptable","Rentable")))))</f>
        <v/>
      </c>
      <c r="M202" s="83" t="n"/>
      <c r="N202" s="87">
        <f>IF(ISNUMBER(W202),RANK(W202,$W$7:$W$206),"")</f>
        <v/>
      </c>
      <c r="W202" s="88">
        <f>IF(AND(C202&lt;&gt;"",E202&gt;0,F202&gt;0),H202+ROW()/1000000000,"")</f>
        <v/>
      </c>
      <c r="X202" s="88">
        <f>IF(AND(C202&lt;&gt;"",E202&gt;0,F202&gt;0,OR(CatSel="Todas",D202=CatSel)),H202+ROW()/1000000000,"")</f>
        <v/>
      </c>
    </row>
    <row r="203">
      <c r="B203" s="83" t="n"/>
      <c r="C203" s="83" t="n"/>
      <c r="D203" s="83" t="n"/>
      <c r="E203" s="84" t="n"/>
      <c r="F203" s="84" t="n"/>
      <c r="G203" s="85">
        <f>IF(OR(C203="",E203&lt;=0,DivMargen&lt;=0),0,IF(Redondeo&gt;0,CEILING(E203/DivMargen,Redondeo),E203/DivMargen))</f>
        <v/>
      </c>
      <c r="H203" s="85">
        <f>IF(OR(C203="",E203&lt;=0,F203&lt;=0),0,F203*DivBase-E203)</f>
        <v/>
      </c>
      <c r="I203" s="86">
        <f>IF(OR(C203="",E203&lt;=0,F203&lt;=0),0,H203/F203)</f>
        <v/>
      </c>
      <c r="J203" s="84" t="n"/>
      <c r="K203" s="85">
        <f>IF(OR(C203="",E203&lt;=0),0,E203*J203)</f>
        <v/>
      </c>
      <c r="L203" s="74">
        <f>IF(OR(C203="",E203&lt;=0),"",IF(F203&lt;=0,"Sin precio",IF(H203&lt;0,"PÉRDIDA",IF(I203&lt;MargenMin,"Margen bajo",IF(I203&lt;MargenObjReal,"Aceptable","Rentable")))))</f>
        <v/>
      </c>
      <c r="M203" s="83" t="n"/>
      <c r="N203" s="87">
        <f>IF(ISNUMBER(W203),RANK(W203,$W$7:$W$206),"")</f>
        <v/>
      </c>
      <c r="W203" s="88">
        <f>IF(AND(C203&lt;&gt;"",E203&gt;0,F203&gt;0),H203+ROW()/1000000000,"")</f>
        <v/>
      </c>
      <c r="X203" s="88">
        <f>IF(AND(C203&lt;&gt;"",E203&gt;0,F203&gt;0,OR(CatSel="Todas",D203=CatSel)),H203+ROW()/1000000000,"")</f>
        <v/>
      </c>
    </row>
    <row r="204">
      <c r="B204" s="83" t="n"/>
      <c r="C204" s="83" t="n"/>
      <c r="D204" s="83" t="n"/>
      <c r="E204" s="84" t="n"/>
      <c r="F204" s="84" t="n"/>
      <c r="G204" s="85">
        <f>IF(OR(C204="",E204&lt;=0,DivMargen&lt;=0),0,IF(Redondeo&gt;0,CEILING(E204/DivMargen,Redondeo),E204/DivMargen))</f>
        <v/>
      </c>
      <c r="H204" s="85">
        <f>IF(OR(C204="",E204&lt;=0,F204&lt;=0),0,F204*DivBase-E204)</f>
        <v/>
      </c>
      <c r="I204" s="86">
        <f>IF(OR(C204="",E204&lt;=0,F204&lt;=0),0,H204/F204)</f>
        <v/>
      </c>
      <c r="J204" s="84" t="n"/>
      <c r="K204" s="85">
        <f>IF(OR(C204="",E204&lt;=0),0,E204*J204)</f>
        <v/>
      </c>
      <c r="L204" s="74">
        <f>IF(OR(C204="",E204&lt;=0),"",IF(F204&lt;=0,"Sin precio",IF(H204&lt;0,"PÉRDIDA",IF(I204&lt;MargenMin,"Margen bajo",IF(I204&lt;MargenObjReal,"Aceptable","Rentable")))))</f>
        <v/>
      </c>
      <c r="M204" s="83" t="n"/>
      <c r="N204" s="87">
        <f>IF(ISNUMBER(W204),RANK(W204,$W$7:$W$206),"")</f>
        <v/>
      </c>
      <c r="W204" s="88">
        <f>IF(AND(C204&lt;&gt;"",E204&gt;0,F204&gt;0),H204+ROW()/1000000000,"")</f>
        <v/>
      </c>
      <c r="X204" s="88">
        <f>IF(AND(C204&lt;&gt;"",E204&gt;0,F204&gt;0,OR(CatSel="Todas",D204=CatSel)),H204+ROW()/1000000000,"")</f>
        <v/>
      </c>
    </row>
    <row r="205">
      <c r="B205" s="83" t="n"/>
      <c r="C205" s="83" t="n"/>
      <c r="D205" s="83" t="n"/>
      <c r="E205" s="84" t="n"/>
      <c r="F205" s="84" t="n"/>
      <c r="G205" s="85">
        <f>IF(OR(C205="",E205&lt;=0,DivMargen&lt;=0),0,IF(Redondeo&gt;0,CEILING(E205/DivMargen,Redondeo),E205/DivMargen))</f>
        <v/>
      </c>
      <c r="H205" s="85">
        <f>IF(OR(C205="",E205&lt;=0,F205&lt;=0),0,F205*DivBase-E205)</f>
        <v/>
      </c>
      <c r="I205" s="86">
        <f>IF(OR(C205="",E205&lt;=0,F205&lt;=0),0,H205/F205)</f>
        <v/>
      </c>
      <c r="J205" s="84" t="n"/>
      <c r="K205" s="85">
        <f>IF(OR(C205="",E205&lt;=0),0,E205*J205)</f>
        <v/>
      </c>
      <c r="L205" s="74">
        <f>IF(OR(C205="",E205&lt;=0),"",IF(F205&lt;=0,"Sin precio",IF(H205&lt;0,"PÉRDIDA",IF(I205&lt;MargenMin,"Margen bajo",IF(I205&lt;MargenObjReal,"Aceptable","Rentable")))))</f>
        <v/>
      </c>
      <c r="M205" s="83" t="n"/>
      <c r="N205" s="87">
        <f>IF(ISNUMBER(W205),RANK(W205,$W$7:$W$206),"")</f>
        <v/>
      </c>
      <c r="W205" s="88">
        <f>IF(AND(C205&lt;&gt;"",E205&gt;0,F205&gt;0),H205+ROW()/1000000000,"")</f>
        <v/>
      </c>
      <c r="X205" s="88">
        <f>IF(AND(C205&lt;&gt;"",E205&gt;0,F205&gt;0,OR(CatSel="Todas",D205=CatSel)),H205+ROW()/1000000000,"")</f>
        <v/>
      </c>
    </row>
    <row r="206">
      <c r="B206" s="83" t="n"/>
      <c r="C206" s="83" t="n"/>
      <c r="D206" s="83" t="n"/>
      <c r="E206" s="84" t="n"/>
      <c r="F206" s="84" t="n"/>
      <c r="G206" s="85">
        <f>IF(OR(C206="",E206&lt;=0,DivMargen&lt;=0),0,IF(Redondeo&gt;0,CEILING(E206/DivMargen,Redondeo),E206/DivMargen))</f>
        <v/>
      </c>
      <c r="H206" s="85">
        <f>IF(OR(C206="",E206&lt;=0,F206&lt;=0),0,F206*DivBase-E206)</f>
        <v/>
      </c>
      <c r="I206" s="86">
        <f>IF(OR(C206="",E206&lt;=0,F206&lt;=0),0,H206/F206)</f>
        <v/>
      </c>
      <c r="J206" s="84" t="n"/>
      <c r="K206" s="85">
        <f>IF(OR(C206="",E206&lt;=0),0,E206*J206)</f>
        <v/>
      </c>
      <c r="L206" s="74">
        <f>IF(OR(C206="",E206&lt;=0),"",IF(F206&lt;=0,"Sin precio",IF(H206&lt;0,"PÉRDIDA",IF(I206&lt;MargenMin,"Margen bajo",IF(I206&lt;MargenObjReal,"Aceptable","Rentable")))))</f>
        <v/>
      </c>
      <c r="M206" s="83" t="n"/>
      <c r="N206" s="87">
        <f>IF(ISNUMBER(W206),RANK(W206,$W$7:$W$206),"")</f>
        <v/>
      </c>
      <c r="W206" s="88">
        <f>IF(AND(C206&lt;&gt;"",E206&gt;0,F206&gt;0),H206+ROW()/1000000000,"")</f>
        <v/>
      </c>
      <c r="X206" s="88">
        <f>IF(AND(C206&lt;&gt;"",E206&gt;0,F206&gt;0,OR(CatSel="Todas",D206=CatSel)),H206+ROW()/1000000000,"")</f>
        <v/>
      </c>
    </row>
    <row r="208" ht="8" customHeight="1">
      <c r="B208" s="34" t="n"/>
    </row>
    <row r="209" ht="16" customHeight="1">
      <c r="B209" s="35" t="inlineStr">
        <is>
          <t>MIX SHOP DIGITAL  ·  Herramientas inteligentes que simplifican tu vida.</t>
        </is>
      </c>
    </row>
    <row r="210" ht="16" customHeight="1">
      <c r="B210" s="36" t="inlineStr">
        <is>
          <t>Versión gratuita  ·  Para gestionar todo tu negocio en un solo lugar, conocé Mi Negocio PY  →  mixshopdigital.com.py</t>
        </is>
      </c>
    </row>
  </sheetData>
  <sheetProtection selectLockedCells="0" selectUnlockedCells="0" sheet="1" objects="1" insertRows="1" insertHyperlinks="1" autoFilter="0" scenarios="1" formatColumns="1" deleteColumns="1" insertColumns="1" pivotTables="1" deleteRows="1" formatCells="1" formatRows="1" sort="1" password="C527"/>
  <autoFilter ref="B6:N206"/>
  <mergeCells count="9">
    <mergeCell ref="C4:N4"/>
    <mergeCell ref="B5:N5"/>
    <mergeCell ref="B208:N208"/>
    <mergeCell ref="B1:D1"/>
    <mergeCell ref="B2:D2"/>
    <mergeCell ref="B210:N210"/>
    <mergeCell ref="B209:N209"/>
    <mergeCell ref="E2:N2"/>
    <mergeCell ref="E1:N1"/>
  </mergeCells>
  <conditionalFormatting sqref="L7:L206">
    <cfRule type="expression" priority="1" dxfId="0">
      <formula>L7="PÉRDIDA"</formula>
    </cfRule>
    <cfRule type="expression" priority="2" dxfId="1">
      <formula>L7="Margen bajo"</formula>
    </cfRule>
    <cfRule type="expression" priority="3" dxfId="6">
      <formula>L7="Aceptable"</formula>
    </cfRule>
    <cfRule type="expression" priority="4" dxfId="2">
      <formula>L7="Rentable"</formula>
    </cfRule>
  </conditionalFormatting>
  <conditionalFormatting sqref="H7:I206">
    <cfRule type="expression" priority="5" dxfId="3">
      <formula>AND($L7&lt;&gt;"",$L7&lt;&gt;"Sin precio",$H7&lt;0)</formula>
    </cfRule>
  </conditionalFormatting>
  <conditionalFormatting sqref="F7:F206">
    <cfRule type="expression" priority="6" dxfId="0">
      <formula>AND($F7&gt;0,$E7&gt;0,$F7&lt;$E7)</formula>
    </cfRule>
  </conditionalFormatting>
  <conditionalFormatting sqref="N7:N206">
    <cfRule type="expression" priority="7" dxfId="2">
      <formula>AND(ISNUMBER($N7),$N7&lt;=3)</formula>
    </cfRule>
  </conditionalFormatting>
  <dataValidations count="3">
    <dataValidation sqref="D7:D206" showDropDown="0" showInputMessage="1" showErrorMessage="1" allowBlank="1" errorTitle="Valor no válido" error="Elegí un valor de la lista desplegable." promptTitle="Categoría" prompt="Elegí una categoría (se editan en CONFIGURACIÓN)." type="list" errorStyle="stop">
      <formula1>Categorias</formula1>
    </dataValidation>
    <dataValidation sqref="E7:F206" showDropDown="0" showInputMessage="1" showErrorMessage="1" allowBlank="1" errorTitle="Dato no válido" error="Ingresá un número válido. No se aceptan valores negativos ni texto." promptTitle="Monto" prompt="Solo números mayores o iguales a 0." type="decimal" operator="greaterThanOrEqual">
      <formula1>0</formula1>
    </dataValidation>
    <dataValidation sqref="J7:J206" showDropDown="0" showInputMessage="1" showErrorMessage="1" allowBlank="1" errorTitle="Dato no válido" error="Ingresá un número válido. No se aceptan valores negativos ni texto." promptTitle="Stock" prompt="Unidades disponibles. Solo números mayores o iguales a 0." type="decimal" operator="greaterThanOrEqual">
      <formula1>0</formula1>
    </dataValidation>
  </dataValidations>
  <hyperlinks>
    <hyperlink ref="B4" location="'INICIO'!A1" display="← INICIO"/>
    <hyperlink xmlns:r="http://schemas.openxmlformats.org/officeDocument/2006/relationships" ref="B210" r:id="rId1"/>
  </hyperlinks>
  <printOptions horizontalCentered="1"/>
  <pageMargins left="0.75" right="0.75" top="1" bottom="1" header="0.5" footer="0.5"/>
  <pageSetup orientation="landscape" paperSize="9" fitToHeight="0" fitToWidth="1"/>
  <headerFooter>
    <oddHeader>&amp;C&amp;"Arial,Bold"&amp;14 &amp;K0B2A7AMIX SHOP DIGITAL</oddHeader>
    <oddFooter>&amp;L&amp;8 MIX SHOP DIGITAL — Herramientas inteligentes que simplifican tu vida.&amp;C&amp;8 Versión gratuita · mixshopdigital.com.py&amp;R&amp;8 Pág. &amp;P de &amp;N</oddFooter>
    <evenHeader/>
    <evenFooter/>
    <firstHeader/>
    <firstFooter/>
  </headerFooter>
  <drawing xmlns:r="http://schemas.openxmlformats.org/officeDocument/2006/relationships" r:id="rId2"/>
</worksheet>
</file>

<file path=xl/worksheets/sheet5.xml><?xml version="1.0" encoding="utf-8"?>
<worksheet xmlns="http://schemas.openxmlformats.org/spreadsheetml/2006/main">
  <sheetPr>
    <tabColor rgb="000A52C4"/>
    <outlinePr summaryBelow="1" summaryRight="1"/>
    <pageSetUpPr fitToPage="1"/>
  </sheetPr>
  <dimension ref="B1:I46"/>
  <sheetViews>
    <sheetView showGridLines="0" workbookViewId="0">
      <pane xSplit="1" ySplit="12" topLeftCell="B13" activePane="bottomRight" state="frozen"/>
      <selection pane="topRight"/>
      <selection pane="bottomLeft"/>
      <selection pane="bottomRight" activeCell="A1" sqref="A1"/>
    </sheetView>
  </sheetViews>
  <sheetFormatPr baseColWidth="8" defaultRowHeight="15"/>
  <cols>
    <col width="2" customWidth="1" min="1" max="1"/>
    <col width="34" customWidth="1" min="2" max="2"/>
    <col width="15" customWidth="1" min="3" max="3"/>
    <col width="17" customWidth="1" min="4" max="4"/>
    <col width="17" customWidth="1" min="5" max="5"/>
    <col width="16" customWidth="1" min="6" max="6"/>
    <col width="18" customWidth="1" min="7" max="7"/>
    <col width="22" customWidth="1" min="8" max="8"/>
    <col width="34" customWidth="1" min="9" max="9"/>
  </cols>
  <sheetData>
    <row r="1" ht="38" customHeight="1">
      <c r="B1" s="1" t="n"/>
      <c r="C1" s="2" t="n"/>
      <c r="D1" s="2" t="n"/>
      <c r="E1" s="3" t="inlineStr">
        <is>
          <t>COSTOS Y GASTOS</t>
        </is>
      </c>
      <c r="F1" s="2" t="n"/>
      <c r="G1" s="2" t="n"/>
      <c r="H1" s="2" t="n"/>
      <c r="I1" s="2" t="n"/>
    </row>
    <row r="2" ht="18" customHeight="1">
      <c r="B2" s="4" t="inlineStr">
        <is>
          <t>Herramientas inteligentes que simplifican tu vida.</t>
        </is>
      </c>
      <c r="E2" s="5" t="inlineStr">
        <is>
          <t>Los gastos que casi todos olvidan</t>
        </is>
      </c>
    </row>
    <row r="3" ht="5" customHeight="1">
      <c r="B3" s="6" t="n"/>
      <c r="C3" s="7" t="n"/>
      <c r="D3" s="8" t="n"/>
      <c r="E3" s="8" t="n"/>
      <c r="F3" s="9" t="n"/>
      <c r="G3" s="10" t="n"/>
      <c r="H3" s="10" t="n"/>
      <c r="I3" s="11" t="n"/>
    </row>
    <row r="4" ht="20" customHeight="1">
      <c r="B4" s="37" t="inlineStr">
        <is>
          <t>← INICIO</t>
        </is>
      </c>
      <c r="C4" s="12" t="inlineStr">
        <is>
          <t>Completá solamente las celdas resaltadas. Cargá cada gasto y elegí cómo se reparte entre tus unidades vendidas.</t>
        </is>
      </c>
    </row>
    <row r="5" ht="16" customHeight="1">
      <c r="B5" s="50" t="inlineStr">
        <is>
          <t>TOTAL DE GASTOS (EQUIVALENTE MENSUAL)</t>
        </is>
      </c>
      <c r="D5" s="50" t="inlineStr">
        <is>
          <t>COSTOS FIJOS</t>
        </is>
      </c>
      <c r="F5" s="50" t="inlineStr">
        <is>
          <t>COSTOS VARIABLES</t>
        </is>
      </c>
      <c r="H5" s="50" t="inlineStr">
        <is>
          <t>COSTO FIJO ASIGNADO POR UNIDAD</t>
        </is>
      </c>
    </row>
    <row r="6" ht="30" customHeight="1">
      <c r="B6" s="52">
        <f>SUM(G13:G42)</f>
        <v/>
      </c>
      <c r="D6" s="52">
        <f>SUMIFS(G13:G42,D13:D42,"Fijo")</f>
        <v/>
      </c>
      <c r="F6" s="52">
        <f>SUMIFS(G13:G42,D13:D42,"Variable")</f>
        <v/>
      </c>
      <c r="H6" s="89">
        <f>IF(N(C9)&gt;0,SUMIFS(G13:G42,D13:D42,"Fijo",H13:H42,"Por unidad vendida")/C9,0)</f>
        <v/>
      </c>
    </row>
    <row r="7" ht="15" customHeight="1">
      <c r="B7" s="55">
        <f>"por mes · "&amp;Moneda</f>
        <v/>
      </c>
      <c r="D7" s="55" t="inlineStr">
        <is>
          <t>no cambian con las ventas</t>
        </is>
      </c>
      <c r="F7" s="55" t="inlineStr">
        <is>
          <t>cambian con las ventas</t>
        </is>
      </c>
      <c r="H7" s="55" t="inlineStr">
        <is>
          <t>se suma en la CALCULADORA si elegís «Sí»</t>
        </is>
      </c>
    </row>
    <row r="8">
      <c r="B8" s="12">
        <f>"Directos: "&amp;FIXED(SUMIFS(G13:G42,C13:C42,"Directo"),0)&amp;"   ·   Indirectos: "&amp;FIXED(SUMIFS(G13:G42,C13:C42,"Indirecto"),0)&amp;" "&amp;Moneda</f>
        <v/>
      </c>
    </row>
    <row r="9">
      <c r="B9" s="38" t="inlineStr">
        <is>
          <t>Unidades estimadas a vender por mes</t>
        </is>
      </c>
      <c r="C9" s="43" t="n"/>
      <c r="D9" s="12" t="inlineStr">
        <is>
          <t>← Sirve para repartir los costos fijos. Solo se reparten los fijos marcados «Por unidad vendida».</t>
        </is>
      </c>
    </row>
    <row r="10">
      <c r="B10" s="12" t="inlineStr">
        <is>
          <t>Nota: los costos variables por unidad (envío, empaque, comisiones) se cargan directamente en la CALCULADORA.</t>
        </is>
      </c>
    </row>
    <row r="11">
      <c r="B11" s="41" t="inlineStr">
        <is>
          <t>REGISTRO DE GASTOS</t>
        </is>
      </c>
    </row>
    <row r="12" ht="28" customHeight="1">
      <c r="B12" s="81" t="inlineStr">
        <is>
          <t>Concepto del gasto</t>
        </is>
      </c>
      <c r="C12" s="81" t="inlineStr">
        <is>
          <t>Tipo</t>
        </is>
      </c>
      <c r="D12" s="81" t="inlineStr">
        <is>
          <t>Comportamiento</t>
        </is>
      </c>
      <c r="E12" s="81" t="inlineStr">
        <is>
          <t>Monto</t>
        </is>
      </c>
      <c r="F12" s="81" t="inlineStr">
        <is>
          <t>Periodicidad</t>
        </is>
      </c>
      <c r="G12" s="82" t="inlineStr">
        <is>
          <t>Equivalente mensual</t>
        </is>
      </c>
      <c r="H12" s="81" t="inlineStr">
        <is>
          <t>Criterio de asignación</t>
        </is>
      </c>
      <c r="I12" s="81" t="inlineStr">
        <is>
          <t>Observaciones</t>
        </is>
      </c>
    </row>
    <row r="13">
      <c r="B13" s="83" t="inlineStr">
        <is>
          <t>Transporte de compra</t>
        </is>
      </c>
      <c r="C13" s="90" t="n"/>
      <c r="D13" s="90" t="n"/>
      <c r="E13" s="84" t="n"/>
      <c r="F13" s="90" t="n"/>
      <c r="G13" s="85">
        <f>IF(N(E13)&lt;=0,0,IF(F13="",E13,IFERROR(E13*CHOOSE(MATCH(F13,{"Diaria","Semanal","Mensual","Trimestral","Semestral","Anual"},0),30,52/12,1,1/3,1/6,1/12),E13)))</f>
        <v/>
      </c>
      <c r="H13" s="90" t="n"/>
      <c r="I13" s="83" t="n"/>
    </row>
    <row r="14">
      <c r="B14" s="83" t="inlineStr">
        <is>
          <t>Importación</t>
        </is>
      </c>
      <c r="C14" s="90" t="n"/>
      <c r="D14" s="90" t="n"/>
      <c r="E14" s="84" t="n"/>
      <c r="F14" s="90" t="n"/>
      <c r="G14" s="85">
        <f>IF(N(E14)&lt;=0,0,IF(F14="",E14,IFERROR(E14*CHOOSE(MATCH(F14,{"Diaria","Semanal","Mensual","Trimestral","Semestral","Anual"},0),30,52/12,1,1/3,1/6,1/12),E14)))</f>
        <v/>
      </c>
      <c r="H14" s="90" t="n"/>
      <c r="I14" s="83" t="n"/>
    </row>
    <row r="15">
      <c r="B15" s="83" t="inlineStr">
        <is>
          <t>Flete</t>
        </is>
      </c>
      <c r="C15" s="90" t="n"/>
      <c r="D15" s="90" t="n"/>
      <c r="E15" s="84" t="n"/>
      <c r="F15" s="90" t="n"/>
      <c r="G15" s="85">
        <f>IF(N(E15)&lt;=0,0,IF(F15="",E15,IFERROR(E15*CHOOSE(MATCH(F15,{"Diaria","Semanal","Mensual","Trimestral","Semestral","Anual"},0),30,52/12,1,1/3,1/6,1/12),E15)))</f>
        <v/>
      </c>
      <c r="H15" s="90" t="n"/>
      <c r="I15" s="83" t="n"/>
    </row>
    <row r="16">
      <c r="B16" s="83" t="inlineStr">
        <is>
          <t>Embalaje</t>
        </is>
      </c>
      <c r="C16" s="90" t="n"/>
      <c r="D16" s="90" t="n"/>
      <c r="E16" s="84" t="n"/>
      <c r="F16" s="90" t="n"/>
      <c r="G16" s="85">
        <f>IF(N(E16)&lt;=0,0,IF(F16="",E16,IFERROR(E16*CHOOSE(MATCH(F16,{"Diaria","Semanal","Mensual","Trimestral","Semestral","Anual"},0),30,52/12,1,1/3,1/6,1/12),E16)))</f>
        <v/>
      </c>
      <c r="H16" s="90" t="n"/>
      <c r="I16" s="83" t="n"/>
    </row>
    <row r="17">
      <c r="B17" s="83" t="inlineStr">
        <is>
          <t>Publicidad</t>
        </is>
      </c>
      <c r="C17" s="90" t="n"/>
      <c r="D17" s="90" t="n"/>
      <c r="E17" s="84" t="n"/>
      <c r="F17" s="90" t="n"/>
      <c r="G17" s="85">
        <f>IF(N(E17)&lt;=0,0,IF(F17="",E17,IFERROR(E17*CHOOSE(MATCH(F17,{"Diaria","Semanal","Mensual","Trimestral","Semestral","Anual"},0),30,52/12,1,1/3,1/6,1/12),E17)))</f>
        <v/>
      </c>
      <c r="H17" s="90" t="n"/>
      <c r="I17" s="83" t="n"/>
    </row>
    <row r="18">
      <c r="B18" s="83" t="inlineStr">
        <is>
          <t>Comisiones</t>
        </is>
      </c>
      <c r="C18" s="90" t="n"/>
      <c r="D18" s="90" t="n"/>
      <c r="E18" s="84" t="n"/>
      <c r="F18" s="90" t="n"/>
      <c r="G18" s="85">
        <f>IF(N(E18)&lt;=0,0,IF(F18="",E18,IFERROR(E18*CHOOSE(MATCH(F18,{"Diaria","Semanal","Mensual","Trimestral","Semestral","Anual"},0),30,52/12,1,1/3,1/6,1/12),E18)))</f>
        <v/>
      </c>
      <c r="H18" s="90" t="n"/>
      <c r="I18" s="83" t="n"/>
    </row>
    <row r="19">
      <c r="B19" s="83" t="inlineStr">
        <is>
          <t>Medios de pago</t>
        </is>
      </c>
      <c r="C19" s="90" t="n"/>
      <c r="D19" s="90" t="n"/>
      <c r="E19" s="84" t="n"/>
      <c r="F19" s="90" t="n"/>
      <c r="G19" s="85">
        <f>IF(N(E19)&lt;=0,0,IF(F19="",E19,IFERROR(E19*CHOOSE(MATCH(F19,{"Diaria","Semanal","Mensual","Trimestral","Semestral","Anual"},0),30,52/12,1,1/3,1/6,1/12),E19)))</f>
        <v/>
      </c>
      <c r="H19" s="90" t="n"/>
      <c r="I19" s="83" t="n"/>
    </row>
    <row r="20">
      <c r="B20" s="83" t="inlineStr">
        <is>
          <t>Alquiler</t>
        </is>
      </c>
      <c r="C20" s="90" t="n"/>
      <c r="D20" s="90" t="n"/>
      <c r="E20" s="84" t="n"/>
      <c r="F20" s="90" t="n"/>
      <c r="G20" s="85">
        <f>IF(N(E20)&lt;=0,0,IF(F20="",E20,IFERROR(E20*CHOOSE(MATCH(F20,{"Diaria","Semanal","Mensual","Trimestral","Semestral","Anual"},0),30,52/12,1,1/3,1/6,1/12),E20)))</f>
        <v/>
      </c>
      <c r="H20" s="90" t="n"/>
      <c r="I20" s="83" t="n"/>
    </row>
    <row r="21">
      <c r="B21" s="83" t="inlineStr">
        <is>
          <t>Servicios (luz, agua, internet)</t>
        </is>
      </c>
      <c r="C21" s="90" t="n"/>
      <c r="D21" s="90" t="n"/>
      <c r="E21" s="84" t="n"/>
      <c r="F21" s="90" t="n"/>
      <c r="G21" s="85">
        <f>IF(N(E21)&lt;=0,0,IF(F21="",E21,IFERROR(E21*CHOOSE(MATCH(F21,{"Diaria","Semanal","Mensual","Trimestral","Semestral","Anual"},0),30,52/12,1,1/3,1/6,1/12),E21)))</f>
        <v/>
      </c>
      <c r="H21" s="90" t="n"/>
      <c r="I21" s="83" t="n"/>
    </row>
    <row r="22">
      <c r="B22" s="83" t="inlineStr">
        <is>
          <t>Mano de obra</t>
        </is>
      </c>
      <c r="C22" s="90" t="n"/>
      <c r="D22" s="90" t="n"/>
      <c r="E22" s="84" t="n"/>
      <c r="F22" s="90" t="n"/>
      <c r="G22" s="85">
        <f>IF(N(E22)&lt;=0,0,IF(F22="",E22,IFERROR(E22*CHOOSE(MATCH(F22,{"Diaria","Semanal","Mensual","Trimestral","Semestral","Anual"},0),30,52/12,1,1/3,1/6,1/12),E22)))</f>
        <v/>
      </c>
      <c r="H22" s="90" t="n"/>
      <c r="I22" s="83" t="n"/>
    </row>
    <row r="23">
      <c r="B23" s="83" t="inlineStr">
        <is>
          <t>Otros gastos operativos</t>
        </is>
      </c>
      <c r="C23" s="90" t="n"/>
      <c r="D23" s="90" t="n"/>
      <c r="E23" s="84" t="n"/>
      <c r="F23" s="90" t="n"/>
      <c r="G23" s="85">
        <f>IF(N(E23)&lt;=0,0,IF(F23="",E23,IFERROR(E23*CHOOSE(MATCH(F23,{"Diaria","Semanal","Mensual","Trimestral","Semestral","Anual"},0),30,52/12,1,1/3,1/6,1/12),E23)))</f>
        <v/>
      </c>
      <c r="H23" s="90" t="n"/>
      <c r="I23" s="83" t="n"/>
    </row>
    <row r="24">
      <c r="B24" s="83" t="n"/>
      <c r="C24" s="90" t="n"/>
      <c r="D24" s="90" t="n"/>
      <c r="E24" s="84" t="n"/>
      <c r="F24" s="90" t="n"/>
      <c r="G24" s="85">
        <f>IF(N(E24)&lt;=0,0,IF(F24="",E24,IFERROR(E24*CHOOSE(MATCH(F24,{"Diaria","Semanal","Mensual","Trimestral","Semestral","Anual"},0),30,52/12,1,1/3,1/6,1/12),E24)))</f>
        <v/>
      </c>
      <c r="H24" s="90" t="n"/>
      <c r="I24" s="83" t="n"/>
    </row>
    <row r="25">
      <c r="B25" s="83" t="n"/>
      <c r="C25" s="90" t="n"/>
      <c r="D25" s="90" t="n"/>
      <c r="E25" s="84" t="n"/>
      <c r="F25" s="90" t="n"/>
      <c r="G25" s="85">
        <f>IF(N(E25)&lt;=0,0,IF(F25="",E25,IFERROR(E25*CHOOSE(MATCH(F25,{"Diaria","Semanal","Mensual","Trimestral","Semestral","Anual"},0),30,52/12,1,1/3,1/6,1/12),E25)))</f>
        <v/>
      </c>
      <c r="H25" s="90" t="n"/>
      <c r="I25" s="83" t="n"/>
    </row>
    <row r="26">
      <c r="B26" s="83" t="n"/>
      <c r="C26" s="90" t="n"/>
      <c r="D26" s="90" t="n"/>
      <c r="E26" s="84" t="n"/>
      <c r="F26" s="90" t="n"/>
      <c r="G26" s="85">
        <f>IF(N(E26)&lt;=0,0,IF(F26="",E26,IFERROR(E26*CHOOSE(MATCH(F26,{"Diaria","Semanal","Mensual","Trimestral","Semestral","Anual"},0),30,52/12,1,1/3,1/6,1/12),E26)))</f>
        <v/>
      </c>
      <c r="H26" s="90" t="n"/>
      <c r="I26" s="83" t="n"/>
    </row>
    <row r="27">
      <c r="B27" s="83" t="n"/>
      <c r="C27" s="90" t="n"/>
      <c r="D27" s="90" t="n"/>
      <c r="E27" s="84" t="n"/>
      <c r="F27" s="90" t="n"/>
      <c r="G27" s="85">
        <f>IF(N(E27)&lt;=0,0,IF(F27="",E27,IFERROR(E27*CHOOSE(MATCH(F27,{"Diaria","Semanal","Mensual","Trimestral","Semestral","Anual"},0),30,52/12,1,1/3,1/6,1/12),E27)))</f>
        <v/>
      </c>
      <c r="H27" s="90" t="n"/>
      <c r="I27" s="83" t="n"/>
    </row>
    <row r="28">
      <c r="B28" s="83" t="n"/>
      <c r="C28" s="90" t="n"/>
      <c r="D28" s="90" t="n"/>
      <c r="E28" s="84" t="n"/>
      <c r="F28" s="90" t="n"/>
      <c r="G28" s="85">
        <f>IF(N(E28)&lt;=0,0,IF(F28="",E28,IFERROR(E28*CHOOSE(MATCH(F28,{"Diaria","Semanal","Mensual","Trimestral","Semestral","Anual"},0),30,52/12,1,1/3,1/6,1/12),E28)))</f>
        <v/>
      </c>
      <c r="H28" s="90" t="n"/>
      <c r="I28" s="83" t="n"/>
    </row>
    <row r="29">
      <c r="B29" s="83" t="n"/>
      <c r="C29" s="90" t="n"/>
      <c r="D29" s="90" t="n"/>
      <c r="E29" s="84" t="n"/>
      <c r="F29" s="90" t="n"/>
      <c r="G29" s="85">
        <f>IF(N(E29)&lt;=0,0,IF(F29="",E29,IFERROR(E29*CHOOSE(MATCH(F29,{"Diaria","Semanal","Mensual","Trimestral","Semestral","Anual"},0),30,52/12,1,1/3,1/6,1/12),E29)))</f>
        <v/>
      </c>
      <c r="H29" s="90" t="n"/>
      <c r="I29" s="83" t="n"/>
    </row>
    <row r="30">
      <c r="B30" s="83" t="n"/>
      <c r="C30" s="90" t="n"/>
      <c r="D30" s="90" t="n"/>
      <c r="E30" s="84" t="n"/>
      <c r="F30" s="90" t="n"/>
      <c r="G30" s="85">
        <f>IF(N(E30)&lt;=0,0,IF(F30="",E30,IFERROR(E30*CHOOSE(MATCH(F30,{"Diaria","Semanal","Mensual","Trimestral","Semestral","Anual"},0),30,52/12,1,1/3,1/6,1/12),E30)))</f>
        <v/>
      </c>
      <c r="H30" s="90" t="n"/>
      <c r="I30" s="83" t="n"/>
    </row>
    <row r="31">
      <c r="B31" s="83" t="n"/>
      <c r="C31" s="90" t="n"/>
      <c r="D31" s="90" t="n"/>
      <c r="E31" s="84" t="n"/>
      <c r="F31" s="90" t="n"/>
      <c r="G31" s="85">
        <f>IF(N(E31)&lt;=0,0,IF(F31="",E31,IFERROR(E31*CHOOSE(MATCH(F31,{"Diaria","Semanal","Mensual","Trimestral","Semestral","Anual"},0),30,52/12,1,1/3,1/6,1/12),E31)))</f>
        <v/>
      </c>
      <c r="H31" s="90" t="n"/>
      <c r="I31" s="83" t="n"/>
    </row>
    <row r="32">
      <c r="B32" s="83" t="n"/>
      <c r="C32" s="90" t="n"/>
      <c r="D32" s="90" t="n"/>
      <c r="E32" s="84" t="n"/>
      <c r="F32" s="90" t="n"/>
      <c r="G32" s="85">
        <f>IF(N(E32)&lt;=0,0,IF(F32="",E32,IFERROR(E32*CHOOSE(MATCH(F32,{"Diaria","Semanal","Mensual","Trimestral","Semestral","Anual"},0),30,52/12,1,1/3,1/6,1/12),E32)))</f>
        <v/>
      </c>
      <c r="H32" s="90" t="n"/>
      <c r="I32" s="83" t="n"/>
    </row>
    <row r="33">
      <c r="B33" s="83" t="n"/>
      <c r="C33" s="90" t="n"/>
      <c r="D33" s="90" t="n"/>
      <c r="E33" s="84" t="n"/>
      <c r="F33" s="90" t="n"/>
      <c r="G33" s="85">
        <f>IF(N(E33)&lt;=0,0,IF(F33="",E33,IFERROR(E33*CHOOSE(MATCH(F33,{"Diaria","Semanal","Mensual","Trimestral","Semestral","Anual"},0),30,52/12,1,1/3,1/6,1/12),E33)))</f>
        <v/>
      </c>
      <c r="H33" s="90" t="n"/>
      <c r="I33" s="83" t="n"/>
    </row>
    <row r="34">
      <c r="B34" s="83" t="n"/>
      <c r="C34" s="90" t="n"/>
      <c r="D34" s="90" t="n"/>
      <c r="E34" s="84" t="n"/>
      <c r="F34" s="90" t="n"/>
      <c r="G34" s="85">
        <f>IF(N(E34)&lt;=0,0,IF(F34="",E34,IFERROR(E34*CHOOSE(MATCH(F34,{"Diaria","Semanal","Mensual","Trimestral","Semestral","Anual"},0),30,52/12,1,1/3,1/6,1/12),E34)))</f>
        <v/>
      </c>
      <c r="H34" s="90" t="n"/>
      <c r="I34" s="83" t="n"/>
    </row>
    <row r="35">
      <c r="B35" s="83" t="n"/>
      <c r="C35" s="90" t="n"/>
      <c r="D35" s="90" t="n"/>
      <c r="E35" s="84" t="n"/>
      <c r="F35" s="90" t="n"/>
      <c r="G35" s="85">
        <f>IF(N(E35)&lt;=0,0,IF(F35="",E35,IFERROR(E35*CHOOSE(MATCH(F35,{"Diaria","Semanal","Mensual","Trimestral","Semestral","Anual"},0),30,52/12,1,1/3,1/6,1/12),E35)))</f>
        <v/>
      </c>
      <c r="H35" s="90" t="n"/>
      <c r="I35" s="83" t="n"/>
    </row>
    <row r="36">
      <c r="B36" s="83" t="n"/>
      <c r="C36" s="90" t="n"/>
      <c r="D36" s="90" t="n"/>
      <c r="E36" s="84" t="n"/>
      <c r="F36" s="90" t="n"/>
      <c r="G36" s="85">
        <f>IF(N(E36)&lt;=0,0,IF(F36="",E36,IFERROR(E36*CHOOSE(MATCH(F36,{"Diaria","Semanal","Mensual","Trimestral","Semestral","Anual"},0),30,52/12,1,1/3,1/6,1/12),E36)))</f>
        <v/>
      </c>
      <c r="H36" s="90" t="n"/>
      <c r="I36" s="83" t="n"/>
    </row>
    <row r="37">
      <c r="B37" s="83" t="n"/>
      <c r="C37" s="90" t="n"/>
      <c r="D37" s="90" t="n"/>
      <c r="E37" s="84" t="n"/>
      <c r="F37" s="90" t="n"/>
      <c r="G37" s="85">
        <f>IF(N(E37)&lt;=0,0,IF(F37="",E37,IFERROR(E37*CHOOSE(MATCH(F37,{"Diaria","Semanal","Mensual","Trimestral","Semestral","Anual"},0),30,52/12,1,1/3,1/6,1/12),E37)))</f>
        <v/>
      </c>
      <c r="H37" s="90" t="n"/>
      <c r="I37" s="83" t="n"/>
    </row>
    <row r="38">
      <c r="B38" s="83" t="n"/>
      <c r="C38" s="90" t="n"/>
      <c r="D38" s="90" t="n"/>
      <c r="E38" s="84" t="n"/>
      <c r="F38" s="90" t="n"/>
      <c r="G38" s="85">
        <f>IF(N(E38)&lt;=0,0,IF(F38="",E38,IFERROR(E38*CHOOSE(MATCH(F38,{"Diaria","Semanal","Mensual","Trimestral","Semestral","Anual"},0),30,52/12,1,1/3,1/6,1/12),E38)))</f>
        <v/>
      </c>
      <c r="H38" s="90" t="n"/>
      <c r="I38" s="83" t="n"/>
    </row>
    <row r="39">
      <c r="B39" s="83" t="n"/>
      <c r="C39" s="90" t="n"/>
      <c r="D39" s="90" t="n"/>
      <c r="E39" s="84" t="n"/>
      <c r="F39" s="90" t="n"/>
      <c r="G39" s="85">
        <f>IF(N(E39)&lt;=0,0,IF(F39="",E39,IFERROR(E39*CHOOSE(MATCH(F39,{"Diaria","Semanal","Mensual","Trimestral","Semestral","Anual"},0),30,52/12,1,1/3,1/6,1/12),E39)))</f>
        <v/>
      </c>
      <c r="H39" s="90" t="n"/>
      <c r="I39" s="83" t="n"/>
    </row>
    <row r="40">
      <c r="B40" s="83" t="n"/>
      <c r="C40" s="90" t="n"/>
      <c r="D40" s="90" t="n"/>
      <c r="E40" s="84" t="n"/>
      <c r="F40" s="90" t="n"/>
      <c r="G40" s="85">
        <f>IF(N(E40)&lt;=0,0,IF(F40="",E40,IFERROR(E40*CHOOSE(MATCH(F40,{"Diaria","Semanal","Mensual","Trimestral","Semestral","Anual"},0),30,52/12,1,1/3,1/6,1/12),E40)))</f>
        <v/>
      </c>
      <c r="H40" s="90" t="n"/>
      <c r="I40" s="83" t="n"/>
    </row>
    <row r="41">
      <c r="B41" s="83" t="n"/>
      <c r="C41" s="90" t="n"/>
      <c r="D41" s="90" t="n"/>
      <c r="E41" s="84" t="n"/>
      <c r="F41" s="90" t="n"/>
      <c r="G41" s="85">
        <f>IF(N(E41)&lt;=0,0,IF(F41="",E41,IFERROR(E41*CHOOSE(MATCH(F41,{"Diaria","Semanal","Mensual","Trimestral","Semestral","Anual"},0),30,52/12,1,1/3,1/6,1/12),E41)))</f>
        <v/>
      </c>
      <c r="H41" s="90" t="n"/>
      <c r="I41" s="83" t="n"/>
    </row>
    <row r="42">
      <c r="B42" s="83" t="n"/>
      <c r="C42" s="90" t="n"/>
      <c r="D42" s="90" t="n"/>
      <c r="E42" s="84" t="n"/>
      <c r="F42" s="90" t="n"/>
      <c r="G42" s="85">
        <f>IF(N(E42)&lt;=0,0,IF(F42="",E42,IFERROR(E42*CHOOSE(MATCH(F42,{"Diaria","Semanal","Mensual","Trimestral","Semestral","Anual"},0),30,52/12,1,1/3,1/6,1/12),E42)))</f>
        <v/>
      </c>
      <c r="H42" s="90" t="n"/>
      <c r="I42" s="83" t="n"/>
    </row>
    <row r="44" ht="8" customHeight="1">
      <c r="B44" s="34" t="n"/>
    </row>
    <row r="45" ht="16" customHeight="1">
      <c r="B45" s="35" t="inlineStr">
        <is>
          <t>MIX SHOP DIGITAL  ·  Herramientas inteligentes que simplifican tu vida.</t>
        </is>
      </c>
    </row>
    <row r="46" ht="16" customHeight="1">
      <c r="B46" s="36" t="inlineStr">
        <is>
          <t>Versión gratuita  ·  Para gestionar todo tu negocio en un solo lugar, conocé Mi Negocio PY  →  mixshopdigital.com.py</t>
        </is>
      </c>
    </row>
  </sheetData>
  <sheetProtection selectLockedCells="0" selectUnlockedCells="0" sheet="1" objects="1" insertRows="1" insertHyperlinks="1" autoFilter="0" scenarios="1" formatColumns="1" deleteColumns="1" insertColumns="1" pivotTables="1" deleteRows="1" formatCells="1" formatRows="1" sort="1" password="C527"/>
  <mergeCells count="21">
    <mergeCell ref="B7:C7"/>
    <mergeCell ref="B1:D1"/>
    <mergeCell ref="F6:G6"/>
    <mergeCell ref="B46:I46"/>
    <mergeCell ref="F7:G7"/>
    <mergeCell ref="D6:E6"/>
    <mergeCell ref="H6:I6"/>
    <mergeCell ref="B11:I11"/>
    <mergeCell ref="F5:G5"/>
    <mergeCell ref="E1:I1"/>
    <mergeCell ref="B44:I44"/>
    <mergeCell ref="D7:E7"/>
    <mergeCell ref="H7:I7"/>
    <mergeCell ref="E2:I2"/>
    <mergeCell ref="C4:I4"/>
    <mergeCell ref="B6:C6"/>
    <mergeCell ref="B5:C5"/>
    <mergeCell ref="D5:E5"/>
    <mergeCell ref="H5:I5"/>
    <mergeCell ref="B45:I45"/>
    <mergeCell ref="B2:D2"/>
  </mergeCells>
  <dataValidations count="6">
    <dataValidation sqref="C9" showDropDown="0" showInputMessage="1" showErrorMessage="1" allowBlank="1" errorTitle="Dato no válido" error="Ingresá un número válido. No se aceptan valores negativos ni texto." promptTitle="Unidades por mes" prompt="Estimá cuántas unidades vendés en un mes típico." type="decimal" operator="greaterThanOrEqual">
      <formula1>0</formula1>
    </dataValidation>
    <dataValidation sqref="C13:C42" showDropDown="0" showInputMessage="1" showErrorMessage="1" allowBlank="1" errorTitle="Valor no válido" error="Elegí un valor de la lista desplegable." promptTitle="Tipo de costo" prompt="Directo: se vincula a un producto. Indirecto: del negocio en general." type="list" errorStyle="stop">
      <formula1>"Directo,Indirecto"</formula1>
    </dataValidation>
    <dataValidation sqref="D13:D42" showDropDown="0" showInputMessage="1" showErrorMessage="1" allowBlank="1" errorTitle="Valor no válido" error="Elegí un valor de la lista desplegable." promptTitle="Comportamiento" prompt="Fijo: no cambia con las ventas. Variable: cambia con las ventas." type="list" errorStyle="stop">
      <formula1>"Fijo,Variable"</formula1>
    </dataValidation>
    <dataValidation sqref="F13:F42" showDropDown="0" showInputMessage="1" showErrorMessage="1" allowBlank="1" errorTitle="Valor no válido" error="Elegí un valor de la lista desplegable." promptTitle="Periodicidad" prompt="Cada cuánto pagás este gasto. Si lo dejás vacío se toma como mensual." type="list" errorStyle="stop">
      <formula1>"Diaria,Semanal,Mensual,Trimestral,Semestral,Anual"</formula1>
    </dataValidation>
    <dataValidation sqref="H13:H42" showDropDown="0" showInputMessage="1" showErrorMessage="1" allowBlank="1" errorTitle="Valor no válido" error="Elegí un valor de la lista desplegable." promptTitle="Criterio de asignación" prompt="«Por unidad vendida»: se reparte el gasto fijo entre las unidades estimadas por mes. «No asignar»: queda solo como información." type="list" errorStyle="stop">
      <formula1>"Por unidad vendida,No asignar"</formula1>
    </dataValidation>
    <dataValidation sqref="E13:E42" showDropDown="0" showInputMessage="1" showErrorMessage="1" allowBlank="1" errorTitle="Dato no válido" error="Ingresá un número válido. No se aceptan valores negativos ni texto." promptTitle="Monto del gasto" prompt="Monto en la moneda elegida, sin negativos." type="decimal" operator="greaterThanOrEqual">
      <formula1>0</formula1>
    </dataValidation>
  </dataValidations>
  <hyperlinks>
    <hyperlink ref="B4" location="'INICIO'!A1" display="← INICIO"/>
    <hyperlink xmlns:r="http://schemas.openxmlformats.org/officeDocument/2006/relationships" ref="B46" r:id="rId1"/>
  </hyperlinks>
  <printOptions horizontalCentered="1"/>
  <pageMargins left="0.75" right="0.75" top="1" bottom="1" header="0.5" footer="0.5"/>
  <pageSetup orientation="landscape" paperSize="9" fitToHeight="1" fitToWidth="1"/>
  <headerFooter>
    <oddHeader>&amp;C&amp;"Arial,Bold"&amp;14 &amp;K0B2A7AMIX SHOP DIGITAL</oddHeader>
    <oddFooter>&amp;L&amp;8 MIX SHOP DIGITAL — Herramientas inteligentes que simplifican tu vida.&amp;C&amp;8 Versión gratuita · mixshopdigital.com.py&amp;R&amp;8 Pág. &amp;P de &amp;N</oddFooter>
    <evenHeader/>
    <evenFooter/>
    <firstHeader/>
    <firstFooter/>
  </headerFooter>
  <drawing xmlns:r="http://schemas.openxmlformats.org/officeDocument/2006/relationships" r:id="rId2"/>
</worksheet>
</file>

<file path=xl/worksheets/sheet6.xml><?xml version="1.0" encoding="utf-8"?>
<worksheet xmlns="http://schemas.openxmlformats.org/spreadsheetml/2006/main">
  <sheetPr>
    <tabColor rgb="000A52C4"/>
    <outlinePr summaryBelow="1" summaryRight="1"/>
    <pageSetUpPr fitToPage="1"/>
  </sheetPr>
  <dimension ref="B1:J52"/>
  <sheetViews>
    <sheetView showGridLines="0" workbookViewId="0">
      <selection activeCell="A1" sqref="A1"/>
    </sheetView>
  </sheetViews>
  <sheetFormatPr baseColWidth="8" defaultRowHeight="15"/>
  <cols>
    <col width="2" customWidth="1" min="1" max="1"/>
    <col width="34" customWidth="1" min="2" max="2"/>
    <col width="16" customWidth="1" min="3" max="3"/>
    <col width="16" customWidth="1" min="4" max="4"/>
    <col width="18" customWidth="1" min="5" max="5"/>
    <col width="36" customWidth="1" min="6" max="6"/>
    <col width="18" customWidth="1" min="7" max="7"/>
    <col width="18" customWidth="1" min="8" max="8"/>
    <col width="18" customWidth="1" min="9" max="9"/>
    <col width="26" customWidth="1" min="10" max="10"/>
  </cols>
  <sheetData>
    <row r="1" ht="38" customHeight="1">
      <c r="B1" s="1" t="n"/>
      <c r="C1" s="2" t="n"/>
      <c r="D1" s="2" t="n"/>
      <c r="E1" s="3" t="inlineStr">
        <is>
          <t>SIMULADOR DE PRECIOS</t>
        </is>
      </c>
      <c r="F1" s="2" t="n"/>
      <c r="G1" s="2" t="n"/>
      <c r="H1" s="2" t="n"/>
      <c r="I1" s="2" t="n"/>
      <c r="J1" s="2" t="n"/>
    </row>
    <row r="2" ht="18" customHeight="1">
      <c r="B2" s="4" t="inlineStr">
        <is>
          <t>Herramientas inteligentes que simplifican tu vida.</t>
        </is>
      </c>
      <c r="E2" s="5" t="inlineStr">
        <is>
          <t>Probá escenarios y promociones antes de aplicarlos</t>
        </is>
      </c>
    </row>
    <row r="3" ht="5" customHeight="1">
      <c r="B3" s="6" t="n"/>
      <c r="C3" s="7" t="n"/>
      <c r="D3" s="8" t="n"/>
      <c r="E3" s="8" t="n"/>
      <c r="F3" s="9" t="n"/>
      <c r="G3" s="9" t="n"/>
      <c r="H3" s="10" t="n"/>
      <c r="I3" s="10" t="n"/>
      <c r="J3" s="11" t="n"/>
    </row>
    <row r="4" ht="20" customHeight="1">
      <c r="B4" s="37" t="inlineStr">
        <is>
          <t>← INICIO</t>
        </is>
      </c>
      <c r="C4" s="12" t="inlineStr">
        <is>
          <t>Completá solamente las celdas resaltadas. Los resultados se actualizan al instante.</t>
        </is>
      </c>
    </row>
    <row r="6">
      <c r="B6" s="18" t="inlineStr">
        <is>
          <t>DATOS A SIMULAR</t>
        </is>
      </c>
      <c r="C6" s="91" t="inlineStr">
        <is>
          <t>Tu dato</t>
        </is>
      </c>
      <c r="D6" s="91" t="inlineStr">
        <is>
          <t>Se usa</t>
        </is>
      </c>
      <c r="F6" s="56" t="inlineStr">
        <is>
          <t>RESULTADO DE LA SIMULACIÓN</t>
        </is>
      </c>
    </row>
    <row r="7" ht="21" customHeight="1">
      <c r="B7" s="45" t="inlineStr">
        <is>
          <t>Costo del producto (por unidad)</t>
        </is>
      </c>
      <c r="C7" s="43" t="n"/>
      <c r="D7" s="78">
        <f>N(C7)</f>
        <v/>
      </c>
      <c r="F7" s="45" t="inlineStr">
        <is>
          <t>Precio final (con descuento)</t>
        </is>
      </c>
      <c r="G7" s="59">
        <f>D8*(1-D9)</f>
        <v/>
      </c>
    </row>
    <row r="8" ht="21" customHeight="1">
      <c r="B8" s="45" t="inlineStr">
        <is>
          <t>Precio de venta</t>
        </is>
      </c>
      <c r="C8" s="43" t="n"/>
      <c r="D8" s="78">
        <f>N(C8)</f>
        <v/>
      </c>
      <c r="F8" s="38" t="inlineStr">
        <is>
          <t>Ganancia neta por unidad</t>
        </is>
      </c>
      <c r="G8" s="66">
        <f>G7*(1-D10-D11)-D7</f>
        <v/>
      </c>
      <c r="H8" s="92">
        <f>IF(D7&lt;=0,"",IF(G8&lt;0,"✖ Pérdida","✔ Ganancia"))</f>
        <v/>
      </c>
    </row>
    <row r="9" ht="21" customHeight="1">
      <c r="B9" s="45" t="inlineStr">
        <is>
          <t>Descuento a aplicar (%)</t>
        </is>
      </c>
      <c r="C9" s="42" t="n"/>
      <c r="D9" s="76">
        <f>IF(C9="",0,C9)</f>
        <v/>
      </c>
      <c r="F9" s="38" t="inlineStr">
        <is>
          <t>Margen real sobre la venta</t>
        </is>
      </c>
      <c r="G9" s="69">
        <f>IF(G7=0,0,G8/G7)</f>
        <v/>
      </c>
      <c r="H9" s="92">
        <f>IF(D7&lt;=0,"",IF(G9&lt;0,"✖ Pérdida",IF(G9&lt;MargenMin,"⚠ Margen insuficiente","✔ Saludable")))</f>
        <v/>
      </c>
    </row>
    <row r="10" ht="21" customHeight="1">
      <c r="B10" s="45" t="inlineStr">
        <is>
          <t>Comisión (%)</t>
        </is>
      </c>
      <c r="C10" s="42" t="n"/>
      <c r="D10" s="76">
        <f>IF(C10="",Comision,C10)</f>
        <v/>
      </c>
      <c r="F10" s="45" t="inlineStr">
        <is>
          <t>Rentabilidad sobre el costo</t>
        </is>
      </c>
      <c r="G10" s="70">
        <f>IF(D7=0,0,G8/D7)</f>
        <v/>
      </c>
    </row>
    <row r="11" ht="21" customHeight="1">
      <c r="B11" s="45" t="inlineStr">
        <is>
          <t>Impuestos o retenciones (%)</t>
        </is>
      </c>
      <c r="C11" s="42" t="n"/>
      <c r="D11" s="76">
        <f>IF(C11="",Impuesto,C11)</f>
        <v/>
      </c>
      <c r="F11" s="45" t="inlineStr">
        <is>
          <t>Precio mínimo (sin pérdida)</t>
        </is>
      </c>
      <c r="G11" s="59">
        <f>IF(OR(D7&lt;=0,1-D10-D11&lt;=0),0,D7/(1-D10-D11))</f>
        <v/>
      </c>
    </row>
    <row r="12" ht="21" customHeight="1">
      <c r="B12" s="45" t="inlineStr">
        <is>
          <t>Margen deseado (%)</t>
        </is>
      </c>
      <c r="C12" s="42" t="n"/>
      <c r="D12" s="76">
        <f>IF(C12="",MargenObj,C12)</f>
        <v/>
      </c>
      <c r="F12" s="45" t="inlineStr">
        <is>
          <t>Precio para tu margen deseado</t>
        </is>
      </c>
      <c r="G12" s="59">
        <f>IF(D7&lt;=0,0,IF(Metodo="Margen sobre venta",IF(1-D10-D11-D12&lt;=0,0,D7/(1-D10-D11-D12)),IF(1-D10-D11&lt;=0,0,D7*(1+D12)/(1-D10-D11))))</f>
        <v/>
      </c>
    </row>
    <row r="13" ht="21" customHeight="1">
      <c r="B13" s="45" t="inlineStr">
        <is>
          <t>Unidades a vender</t>
        </is>
      </c>
      <c r="C13" s="43" t="n"/>
      <c r="D13" s="78">
        <f>IF(C13="",0,C13)</f>
        <v/>
      </c>
      <c r="F13" s="38" t="inlineStr">
        <is>
          <t>Ganancia total según unidades</t>
        </is>
      </c>
      <c r="G13" s="66">
        <f>G8*D13</f>
        <v/>
      </c>
    </row>
    <row r="14">
      <c r="B14" s="49" t="inlineStr">
        <is>
          <t>Si dejás vacíos comisión, impuestos o margen, se usan los valores de CONFIGURACIÓN.</t>
        </is>
      </c>
    </row>
    <row r="15">
      <c r="B15" s="49">
        <f>"Método activo: "&amp;Metodo</f>
        <v/>
      </c>
    </row>
    <row r="17">
      <c r="B17" s="41" t="inlineStr">
        <is>
          <t>ESCENARIOS: CONSERVADOR · RECOMENDADO · OPTIMISTA</t>
        </is>
      </c>
    </row>
    <row r="18" ht="30" customHeight="1">
      <c r="B18" s="82" t="inlineStr">
        <is>
          <t>Escenario</t>
        </is>
      </c>
      <c r="C18" s="81" t="inlineStr">
        <is>
          <t>Ajuste de margen (puntos)</t>
        </is>
      </c>
      <c r="D18" s="81" t="inlineStr">
        <is>
          <t>Unidades estimadas</t>
        </is>
      </c>
      <c r="E18" s="82" t="inlineStr">
        <is>
          <t>Margen aplicado</t>
        </is>
      </c>
      <c r="F18" s="82" t="inlineStr">
        <is>
          <t>Precio de venta</t>
        </is>
      </c>
      <c r="G18" s="82" t="inlineStr">
        <is>
          <t>Ganancia neta por unidad</t>
        </is>
      </c>
      <c r="H18" s="82" t="inlineStr">
        <is>
          <t>Ganancia total</t>
        </is>
      </c>
      <c r="I18" s="82" t="inlineStr">
        <is>
          <t>Margen real</t>
        </is>
      </c>
      <c r="J18" s="82" t="inlineStr">
        <is>
          <t>Estado</t>
        </is>
      </c>
    </row>
    <row r="19" ht="21" customHeight="1">
      <c r="B19" s="38" t="inlineStr">
        <is>
          <t>Conservador</t>
        </is>
      </c>
      <c r="C19" s="93" t="n">
        <v>-0.1</v>
      </c>
      <c r="D19" s="43" t="n">
        <v>60</v>
      </c>
      <c r="E19" s="47">
        <f>MAX(0.005,$D$12+C19)</f>
        <v/>
      </c>
      <c r="F19" s="59">
        <f>IF($D$7&lt;=0,0,IF(Metodo="Margen sobre venta",IF(1-$D$10-$D$11-E19&lt;=0,0,$D$7/(1-$D$10-$D$11-E19)),IF(1-$D$10-$D$11&lt;=0,0,$D$7*(1+E19)/(1-$D$10-$D$11))))</f>
        <v/>
      </c>
      <c r="G19" s="59">
        <f>IF(F19=0,0,F19*(1-$D$10-$D$11)-$D$7)</f>
        <v/>
      </c>
      <c r="H19" s="66">
        <f>G19*D19</f>
        <v/>
      </c>
      <c r="I19" s="70">
        <f>IF(F19=0,0,G19/F19)</f>
        <v/>
      </c>
      <c r="J19" s="92">
        <f>IF(F19=0,"",IF(G19&lt;0,"✖ Pérdida",IF(I19&lt;MargenMin,"⚠ Margen bajo","✔ Rentable")))</f>
        <v/>
      </c>
    </row>
    <row r="20" ht="21" customHeight="1">
      <c r="B20" s="38" t="inlineStr">
        <is>
          <t>Recomendado</t>
        </is>
      </c>
      <c r="C20" s="93" t="n">
        <v>0</v>
      </c>
      <c r="D20" s="43" t="n">
        <v>100</v>
      </c>
      <c r="E20" s="47">
        <f>MAX(0.005,$D$12+C20)</f>
        <v/>
      </c>
      <c r="F20" s="59">
        <f>IF($D$7&lt;=0,0,IF(Metodo="Margen sobre venta",IF(1-$D$10-$D$11-E20&lt;=0,0,$D$7/(1-$D$10-$D$11-E20)),IF(1-$D$10-$D$11&lt;=0,0,$D$7*(1+E20)/(1-$D$10-$D$11))))</f>
        <v/>
      </c>
      <c r="G20" s="59">
        <f>IF(F20=0,0,F20*(1-$D$10-$D$11)-$D$7)</f>
        <v/>
      </c>
      <c r="H20" s="66">
        <f>G20*D20</f>
        <v/>
      </c>
      <c r="I20" s="70">
        <f>IF(F20=0,0,G20/F20)</f>
        <v/>
      </c>
      <c r="J20" s="92">
        <f>IF(F20=0,"",IF(G20&lt;0,"✖ Pérdida",IF(I20&lt;MargenMin,"⚠ Margen bajo","✔ Rentable")))</f>
        <v/>
      </c>
    </row>
    <row r="21" ht="21" customHeight="1">
      <c r="B21" s="38" t="inlineStr">
        <is>
          <t>Optimista</t>
        </is>
      </c>
      <c r="C21" s="93" t="n">
        <v>0.1</v>
      </c>
      <c r="D21" s="43" t="n">
        <v>140</v>
      </c>
      <c r="E21" s="47">
        <f>MAX(0.005,$D$12+C21)</f>
        <v/>
      </c>
      <c r="F21" s="59">
        <f>IF($D$7&lt;=0,0,IF(Metodo="Margen sobre venta",IF(1-$D$10-$D$11-E21&lt;=0,0,$D$7/(1-$D$10-$D$11-E21)),IF(1-$D$10-$D$11&lt;=0,0,$D$7*(1+E21)/(1-$D$10-$D$11))))</f>
        <v/>
      </c>
      <c r="G21" s="59">
        <f>IF(F21=0,0,F21*(1-$D$10-$D$11)-$D$7)</f>
        <v/>
      </c>
      <c r="H21" s="66">
        <f>G21*D21</f>
        <v/>
      </c>
      <c r="I21" s="70">
        <f>IF(F21=0,0,G21/F21)</f>
        <v/>
      </c>
      <c r="J21" s="92">
        <f>IF(F21=0,"",IF(G21&lt;0,"✖ Pérdida",IF(I21&lt;MargenMin,"⚠ Margen bajo","✔ Rentable")))</f>
        <v/>
      </c>
    </row>
    <row r="39">
      <c r="B39" s="56" t="inlineStr">
        <is>
          <t>SIMULADOR DE PROMOCIONES (sobre el precio de venta y costo de arriba)</t>
        </is>
      </c>
    </row>
    <row r="40" ht="32" customHeight="1">
      <c r="B40" s="82" t="inlineStr">
        <is>
          <t>Promoción</t>
        </is>
      </c>
      <c r="C40" s="82" t="inlineStr">
        <is>
          <t>Dato 1</t>
        </is>
      </c>
      <c r="D40" s="82" t="inlineStr">
        <is>
          <t>Dato 2</t>
        </is>
      </c>
      <c r="E40" s="82" t="inlineStr">
        <is>
          <t>Unidades que recibe el cliente</t>
        </is>
      </c>
      <c r="F40" s="82" t="inlineStr">
        <is>
          <t>Qué representa cada dato</t>
        </is>
      </c>
      <c r="G40" s="82" t="inlineStr">
        <is>
          <t>Ingreso por compra</t>
        </is>
      </c>
      <c r="H40" s="82" t="inlineStr">
        <is>
          <t>Costo por compra</t>
        </is>
      </c>
      <c r="I40" s="82" t="inlineStr">
        <is>
          <t>Ganancia neta por compra</t>
        </is>
      </c>
      <c r="J40" s="82" t="inlineStr">
        <is>
          <t>¿Sigue siendo rentable?</t>
        </is>
      </c>
    </row>
    <row r="41" ht="21" customHeight="1">
      <c r="B41" s="38" t="inlineStr">
        <is>
          <t>Sin promoción (precio de lista)</t>
        </is>
      </c>
      <c r="C41" s="64" t="inlineStr">
        <is>
          <t>—</t>
        </is>
      </c>
      <c r="D41" s="64" t="inlineStr">
        <is>
          <t>—</t>
        </is>
      </c>
      <c r="E41" s="71">
        <f>1</f>
        <v/>
      </c>
      <c r="F41" s="60" t="inlineStr">
        <is>
          <t>—</t>
        </is>
      </c>
      <c r="G41" s="59">
        <f>D8</f>
        <v/>
      </c>
      <c r="H41" s="59">
        <f>$D$7*E41</f>
        <v/>
      </c>
      <c r="I41" s="66">
        <f>G41*(1-$D$10-$D$11)-H41</f>
        <v/>
      </c>
      <c r="J41" s="92">
        <f>IF(OR($D$7&lt;=0,$D$8&lt;=0),"",IF(G41=0,"Completá los datos",IF(I41&lt;0,"✖ NO conviene: pérdida",IF(I41/G41&lt;MargenMin,"⚠ Poco rentable","✔ Rentable"))))</f>
        <v/>
      </c>
    </row>
    <row r="42" ht="21" customHeight="1">
      <c r="B42" s="38" t="inlineStr">
        <is>
          <t>Descuento A</t>
        </is>
      </c>
      <c r="C42" s="42" t="n">
        <v>0.1</v>
      </c>
      <c r="D42" s="64" t="inlineStr">
        <is>
          <t>—</t>
        </is>
      </c>
      <c r="E42" s="71">
        <f>1</f>
        <v/>
      </c>
      <c r="F42" s="60" t="inlineStr">
        <is>
          <t>Dato 1 = % de descuento</t>
        </is>
      </c>
      <c r="G42" s="59">
        <f>IF(C42="",0,D8*(1-C42))</f>
        <v/>
      </c>
      <c r="H42" s="59">
        <f>$D$7*E42</f>
        <v/>
      </c>
      <c r="I42" s="66">
        <f>G42*(1-$D$10-$D$11)-H42</f>
        <v/>
      </c>
      <c r="J42" s="92">
        <f>IF(OR($D$7&lt;=0,$D$8&lt;=0),"",IF(G42=0,"Completá los datos",IF(I42&lt;0,"✖ NO conviene: pérdida",IF(I42/G42&lt;MargenMin,"⚠ Poco rentable","✔ Rentable"))))</f>
        <v/>
      </c>
    </row>
    <row r="43" ht="21" customHeight="1">
      <c r="B43" s="38" t="inlineStr">
        <is>
          <t>Descuento B</t>
        </is>
      </c>
      <c r="C43" s="42" t="n">
        <v>0.15</v>
      </c>
      <c r="D43" s="64" t="inlineStr">
        <is>
          <t>—</t>
        </is>
      </c>
      <c r="E43" s="71">
        <f>1</f>
        <v/>
      </c>
      <c r="F43" s="60" t="inlineStr">
        <is>
          <t>Dato 1 = % de descuento</t>
        </is>
      </c>
      <c r="G43" s="59">
        <f>IF(C43="",0,D8*(1-C43))</f>
        <v/>
      </c>
      <c r="H43" s="59">
        <f>$D$7*E43</f>
        <v/>
      </c>
      <c r="I43" s="66">
        <f>G43*(1-$D$10-$D$11)-H43</f>
        <v/>
      </c>
      <c r="J43" s="92">
        <f>IF(OR($D$7&lt;=0,$D$8&lt;=0),"",IF(G43=0,"Completá los datos",IF(I43&lt;0,"✖ NO conviene: pérdida",IF(I43/G43&lt;MargenMin,"⚠ Poco rentable","✔ Rentable"))))</f>
        <v/>
      </c>
    </row>
    <row r="44" ht="21" customHeight="1">
      <c r="B44" s="38" t="inlineStr">
        <is>
          <t>Descuento C</t>
        </is>
      </c>
      <c r="C44" s="42" t="n">
        <v>0.2</v>
      </c>
      <c r="D44" s="64" t="inlineStr">
        <is>
          <t>—</t>
        </is>
      </c>
      <c r="E44" s="71">
        <f>1</f>
        <v/>
      </c>
      <c r="F44" s="60" t="inlineStr">
        <is>
          <t>Dato 1 = % de descuento</t>
        </is>
      </c>
      <c r="G44" s="59">
        <f>IF(C44="",0,D8*(1-C44))</f>
        <v/>
      </c>
      <c r="H44" s="59">
        <f>$D$7*E44</f>
        <v/>
      </c>
      <c r="I44" s="66">
        <f>G44*(1-$D$10-$D$11)-H44</f>
        <v/>
      </c>
      <c r="J44" s="92">
        <f>IF(OR($D$7&lt;=0,$D$8&lt;=0),"",IF(G44=0,"Completá los datos",IF(I44&lt;0,"✖ NO conviene: pérdida",IF(I44/G44&lt;MargenMin,"⚠ Poco rentable","✔ Rentable"))))</f>
        <v/>
      </c>
    </row>
    <row r="45" ht="21" customHeight="1">
      <c r="B45" s="38" t="inlineStr">
        <is>
          <t>2x1 (llevás 2, pagás 1)</t>
        </is>
      </c>
      <c r="C45" s="64" t="inlineStr">
        <is>
          <t>—</t>
        </is>
      </c>
      <c r="D45" s="64" t="inlineStr">
        <is>
          <t>—</t>
        </is>
      </c>
      <c r="E45" s="71">
        <f>2</f>
        <v/>
      </c>
      <c r="F45" s="60" t="inlineStr">
        <is>
          <t>Se cobra el precio de una unidad</t>
        </is>
      </c>
      <c r="G45" s="59">
        <f>D8</f>
        <v/>
      </c>
      <c r="H45" s="59">
        <f>$D$7*E45</f>
        <v/>
      </c>
      <c r="I45" s="66">
        <f>G45*(1-$D$10-$D$11)-H45</f>
        <v/>
      </c>
      <c r="J45" s="92">
        <f>IF(OR($D$7&lt;=0,$D$8&lt;=0),"",IF(G45=0,"Completá los datos",IF(I45&lt;0,"✖ NO conviene: pérdida",IF(I45/G45&lt;MargenMin,"⚠ Poco rentable","✔ Rentable"))))</f>
        <v/>
      </c>
    </row>
    <row r="46" ht="21" customHeight="1">
      <c r="B46" s="38" t="inlineStr">
        <is>
          <t>Combo</t>
        </is>
      </c>
      <c r="C46" s="43" t="n">
        <v>3</v>
      </c>
      <c r="D46" s="43" t="n"/>
      <c r="E46" s="71">
        <f>IF(C46="",0,C46)</f>
        <v/>
      </c>
      <c r="F46" s="60" t="inlineStr">
        <is>
          <t>Dato 1 = unidades · Dato 2 = precio del combo</t>
        </is>
      </c>
      <c r="G46" s="59">
        <f>IF(D46="",0,D46)</f>
        <v/>
      </c>
      <c r="H46" s="59">
        <f>$D$7*E46</f>
        <v/>
      </c>
      <c r="I46" s="66">
        <f>G46*(1-$D$10-$D$11)-H46</f>
        <v/>
      </c>
      <c r="J46" s="92">
        <f>IF(OR($D$7&lt;=0,$D$8&lt;=0),"",IF(G46=0,"Completá los datos",IF(I46&lt;0,"✖ NO conviene: pérdida",IF(I46/G46&lt;MargenMin,"⚠ Poco rentable","✔ Rentable"))))</f>
        <v/>
      </c>
    </row>
    <row r="47" ht="21" customHeight="1">
      <c r="B47" s="38" t="inlineStr">
        <is>
          <t>Precio especial por cantidad</t>
        </is>
      </c>
      <c r="C47" s="43" t="n">
        <v>6</v>
      </c>
      <c r="D47" s="43" t="n"/>
      <c r="E47" s="71">
        <f>IF(C47="",0,C47)</f>
        <v/>
      </c>
      <c r="F47" s="60" t="inlineStr">
        <is>
          <t>Dato 1 = unidades · Dato 2 = precio por unidad</t>
        </is>
      </c>
      <c r="G47" s="59">
        <f>IF(OR(C47="",D47=""),0,C47*D47)</f>
        <v/>
      </c>
      <c r="H47" s="59">
        <f>$D$7*E47</f>
        <v/>
      </c>
      <c r="I47" s="66">
        <f>G47*(1-$D$10-$D$11)-H47</f>
        <v/>
      </c>
      <c r="J47" s="92">
        <f>IF(OR($D$7&lt;=0,$D$8&lt;=0),"",IF(G47=0,"Completá los datos",IF(I47&lt;0,"✖ NO conviene: pérdida",IF(I47/G47&lt;MargenMin,"⚠ Poco rentable","✔ Rentable"))))</f>
        <v/>
      </c>
    </row>
    <row r="48">
      <c r="B48" s="49" t="inlineStr">
        <is>
          <t>El 2x1, el combo y el precio por cantidad se evalúan sobre el total de la compra: ingreso − costo de todas las unidades − comisión e impuestos.</t>
        </is>
      </c>
    </row>
    <row r="50" ht="8" customHeight="1">
      <c r="B50" s="34" t="n"/>
    </row>
    <row r="51" ht="16" customHeight="1">
      <c r="B51" s="35" t="inlineStr">
        <is>
          <t>MIX SHOP DIGITAL  ·  Herramientas inteligentes que simplifican tu vida.</t>
        </is>
      </c>
    </row>
    <row r="52" ht="16" customHeight="1">
      <c r="B52" s="36" t="inlineStr">
        <is>
          <t>Versión gratuita  ·  Para gestionar todo tu negocio en un solo lugar, conocé Mi Negocio PY  →  mixshopdigital.com.py</t>
        </is>
      </c>
    </row>
  </sheetData>
  <sheetProtection selectLockedCells="0" selectUnlockedCells="0" sheet="1" objects="1" insertRows="1" insertHyperlinks="1" autoFilter="0" scenarios="1" formatColumns="1" deleteColumns="1" insertColumns="1" pivotTables="1" deleteRows="1" formatCells="1" formatRows="1" sort="1" password="C527"/>
  <mergeCells count="11">
    <mergeCell ref="C4:J4"/>
    <mergeCell ref="E1:J1"/>
    <mergeCell ref="F6:H6"/>
    <mergeCell ref="B51:J51"/>
    <mergeCell ref="E2:J2"/>
    <mergeCell ref="B1:D1"/>
    <mergeCell ref="B50:J50"/>
    <mergeCell ref="B17:J17"/>
    <mergeCell ref="B39:J39"/>
    <mergeCell ref="B52:J52"/>
    <mergeCell ref="B2:D2"/>
  </mergeCells>
  <conditionalFormatting sqref="H8:H9">
    <cfRule type="expression" priority="1" dxfId="0" stopIfTrue="1">
      <formula>ISNUMBER(SEARCH("érdida",$H8))+ISNUMBER(SEARCH("NO conviene",$H8))+ISNUMBER(SEARCH("por debajo",$H8))&gt;0</formula>
    </cfRule>
    <cfRule type="expression" priority="2" dxfId="1" stopIfTrue="1">
      <formula>LEFT($H8,1)="⚠"</formula>
    </cfRule>
    <cfRule type="expression" priority="3" dxfId="2">
      <formula>LEFT($H8,1)="✔"</formula>
    </cfRule>
  </conditionalFormatting>
  <conditionalFormatting sqref="G8">
    <cfRule type="cellIs" priority="4" operator="lessThan" dxfId="0">
      <formula>0</formula>
    </cfRule>
  </conditionalFormatting>
  <conditionalFormatting sqref="G13">
    <cfRule type="cellIs" priority="5" operator="lessThan" dxfId="0">
      <formula>0</formula>
    </cfRule>
  </conditionalFormatting>
  <conditionalFormatting sqref="J19:J21">
    <cfRule type="expression" priority="6" dxfId="0" stopIfTrue="1">
      <formula>ISNUMBER(SEARCH("érdida",$J19))+ISNUMBER(SEARCH("NO conviene",$J19))+ISNUMBER(SEARCH("por debajo",$J19))&gt;0</formula>
    </cfRule>
    <cfRule type="expression" priority="7" dxfId="1" stopIfTrue="1">
      <formula>LEFT($J19,1)="⚠"</formula>
    </cfRule>
    <cfRule type="expression" priority="8" dxfId="2">
      <formula>LEFT($J19,1)="✔"</formula>
    </cfRule>
  </conditionalFormatting>
  <conditionalFormatting sqref="J41:J47">
    <cfRule type="expression" priority="9" dxfId="0" stopIfTrue="1">
      <formula>ISNUMBER(SEARCH("érdida",$J41))+ISNUMBER(SEARCH("NO conviene",$J41))+ISNUMBER(SEARCH("por debajo",$J41))&gt;0</formula>
    </cfRule>
    <cfRule type="expression" priority="10" dxfId="1" stopIfTrue="1">
      <formula>LEFT($J41,1)="⚠"</formula>
    </cfRule>
    <cfRule type="expression" priority="11" dxfId="2">
      <formula>LEFT($J41,1)="✔"</formula>
    </cfRule>
  </conditionalFormatting>
  <conditionalFormatting sqref="I41:I47">
    <cfRule type="cellIs" priority="12" operator="lessThan" dxfId="3">
      <formula>0</formula>
    </cfRule>
  </conditionalFormatting>
  <dataValidations count="16">
    <dataValidation sqref="C7" showDropDown="0" showInputMessage="1" showErrorMessage="1" allowBlank="1" errorTitle="Dato no válido" error="Ingresá un número válido. No se aceptan valores negativos ni texto." promptTitle="Ingresá un número" prompt="Solo números mayores o iguales a 0." type="decimal" operator="greaterThanOrEqual">
      <formula1>0</formula1>
    </dataValidation>
    <dataValidation sqref="C8" showDropDown="0" showInputMessage="1" showErrorMessage="1" allowBlank="1" errorTitle="Dato no válido" error="Ingresá un número válido. No se aceptan valores negativos ni texto." promptTitle="Ingresá un número" prompt="Solo números mayores o iguales a 0." type="decimal" operator="greaterThanOrEqual">
      <formula1>0</formula1>
    </dataValidation>
    <dataValidation sqref="C9" showDropDown="0" showInputMessage="1" showErrorMessage="1" allowBlank="1" errorTitle="Dato no válido" error="El porcentaje debe estar entre 0 % y 95 %." promptTitle="Porcentaje" prompt="Escribí un porcentaje entre 0 % y 95 %. Ej.: 30 %" type="decimal" operator="between">
      <formula1>0</formula1>
      <formula2>0.95</formula2>
    </dataValidation>
    <dataValidation sqref="C10" showDropDown="0" showInputMessage="1" showErrorMessage="1" allowBlank="1" errorTitle="Dato no válido" error="El porcentaje debe estar entre 0 % y 95 %." promptTitle="Porcentaje" prompt="Escribí un porcentaje entre 0 % y 95 %. Ej.: 30 %" type="decimal" operator="between">
      <formula1>0</formula1>
      <formula2>0.95</formula2>
    </dataValidation>
    <dataValidation sqref="C11" showDropDown="0" showInputMessage="1" showErrorMessage="1" allowBlank="1" errorTitle="Dato no válido" error="El porcentaje debe estar entre 0 % y 95 %." promptTitle="Porcentaje" prompt="Escribí un porcentaje entre 0 % y 95 %. Ej.: 30 %" type="decimal" operator="between">
      <formula1>0</formula1>
      <formula2>0.95</formula2>
    </dataValidation>
    <dataValidation sqref="C12" showDropDown="0" showInputMessage="1" showErrorMessage="1" allowBlank="1" errorTitle="Dato no válido" error="El porcentaje debe estar entre 0 % y 95 %." promptTitle="Porcentaje" prompt="Escribí un porcentaje entre 0 % y 95 %. Ej.: 30 %" type="decimal" operator="between">
      <formula1>0</formula1>
      <formula2>0.95</formula2>
    </dataValidation>
    <dataValidation sqref="C13" showDropDown="0" showInputMessage="1" showErrorMessage="1" allowBlank="1" errorTitle="Dato no válido" error="Ingresá un número válido. No se aceptan valores negativos ni texto." promptTitle="Ingresá un número" prompt="Solo números mayores o iguales a 0." type="decimal" operator="greaterThanOrEqual">
      <formula1>0</formula1>
    </dataValidation>
    <dataValidation sqref="C19:C21" showDropDown="0" showInputMessage="1" showErrorMessage="1" allowBlank="1" errorTitle="Dato no válido" error="Ingresá un valor entre -50 % y +50 %." promptTitle="Ajuste de margen" prompt="Puntos que se suman o restan al margen deseado. Ej.: -10 % o +10 %." type="decimal" operator="between">
      <formula1>-0.5</formula1>
      <formula2>0.5</formula2>
    </dataValidation>
    <dataValidation sqref="D19:D21" showDropDown="0" showInputMessage="1" showErrorMessage="1" allowBlank="1" errorTitle="Dato no válido" error="Ingresá un número válido. No se aceptan valores negativos ni texto." promptTitle="Unidades" prompt="Unidades que estimás vender en este escenario." type="decimal" operator="greaterThanOrEqual">
      <formula1>0</formula1>
    </dataValidation>
    <dataValidation sqref="C42" showDropDown="0" showInputMessage="1" showErrorMessage="1" allowBlank="1" errorTitle="Dato no válido" error="El porcentaje debe estar entre 0 % y 95 %." promptTitle="Porcentaje" prompt="Escribí un porcentaje entre 0 % y 95 %. Ej.: 30 %" type="decimal" operator="between">
      <formula1>0</formula1>
      <formula2>0.95</formula2>
    </dataValidation>
    <dataValidation sqref="C43" showDropDown="0" showInputMessage="1" showErrorMessage="1" allowBlank="1" errorTitle="Dato no válido" error="El porcentaje debe estar entre 0 % y 95 %." promptTitle="Porcentaje" prompt="Escribí un porcentaje entre 0 % y 95 %. Ej.: 30 %" type="decimal" operator="between">
      <formula1>0</formula1>
      <formula2>0.95</formula2>
    </dataValidation>
    <dataValidation sqref="C44" showDropDown="0" showInputMessage="1" showErrorMessage="1" allowBlank="1" errorTitle="Dato no válido" error="El porcentaje debe estar entre 0 % y 95 %." promptTitle="Porcentaje" prompt="Escribí un porcentaje entre 0 % y 95 %. Ej.: 30 %" type="decimal" operator="between">
      <formula1>0</formula1>
      <formula2>0.95</formula2>
    </dataValidation>
    <dataValidation sqref="C46" showDropDown="0" showInputMessage="1" showErrorMessage="1" allowBlank="1" errorTitle="Dato no válido" error="Ingresá un número válido. No se aceptan valores negativos ni texto." promptTitle="Unidades" prompt="Cuántas unidades incluye la promoción." type="decimal" operator="greaterThanOrEqual">
      <formula1>1</formula1>
    </dataValidation>
    <dataValidation sqref="D46" showDropDown="0" showInputMessage="1" showErrorMessage="1" allowBlank="1" errorTitle="Dato no válido" error="Ingresá un número válido. No se aceptan valores negativos ni texto." promptTitle="Precio" prompt="Precio en la moneda elegida." type="decimal" operator="greaterThanOrEqual">
      <formula1>0</formula1>
    </dataValidation>
    <dataValidation sqref="C47" showDropDown="0" showInputMessage="1" showErrorMessage="1" allowBlank="1" errorTitle="Dato no válido" error="Ingresá un número válido. No se aceptan valores negativos ni texto." promptTitle="Unidades" prompt="Cuántas unidades incluye la promoción." type="decimal" operator="greaterThanOrEqual">
      <formula1>1</formula1>
    </dataValidation>
    <dataValidation sqref="D47" showDropDown="0" showInputMessage="1" showErrorMessage="1" allowBlank="1" errorTitle="Dato no válido" error="Ingresá un número válido. No se aceptan valores negativos ni texto." promptTitle="Precio" prompt="Precio en la moneda elegida." type="decimal" operator="greaterThanOrEqual">
      <formula1>0</formula1>
    </dataValidation>
  </dataValidations>
  <hyperlinks>
    <hyperlink ref="B4" location="'INICIO'!A1" display="← INICIO"/>
    <hyperlink xmlns:r="http://schemas.openxmlformats.org/officeDocument/2006/relationships" ref="B52" r:id="rId1"/>
  </hyperlinks>
  <printOptions horizontalCentered="1"/>
  <pageMargins left="0.75" right="0.75" top="1" bottom="1" header="0.5" footer="0.5"/>
  <pageSetup orientation="landscape" paperSize="9" fitToHeight="0" fitToWidth="1"/>
  <headerFooter>
    <oddHeader>&amp;C&amp;"Arial,Bold"&amp;14 &amp;K0B2A7AMIX SHOP DIGITAL</oddHeader>
    <oddFooter>&amp;L&amp;8 MIX SHOP DIGITAL — Herramientas inteligentes que simplifican tu vida.&amp;C&amp;8 Versión gratuita · mixshopdigital.com.py&amp;R&amp;8 Pág. &amp;P de &amp;N</oddFooter>
    <evenHeader/>
    <evenFooter/>
    <firstHeader/>
    <firstFooter/>
  </headerFooter>
  <drawing xmlns:r="http://schemas.openxmlformats.org/officeDocument/2006/relationships" r:id="rId2"/>
</worksheet>
</file>

<file path=xl/worksheets/sheet7.xml><?xml version="1.0" encoding="utf-8"?>
<worksheet xmlns="http://schemas.openxmlformats.org/spreadsheetml/2006/main">
  <sheetPr>
    <tabColor rgb="000A52C4"/>
    <outlinePr summaryBelow="1" summaryRight="1"/>
    <pageSetUpPr fitToPage="1"/>
  </sheetPr>
  <dimension ref="B1:M80"/>
  <sheetViews>
    <sheetView showGridLines="0" workbookViewId="0">
      <selection activeCell="A1" sqref="A1"/>
    </sheetView>
  </sheetViews>
  <sheetFormatPr baseColWidth="8" defaultRowHeight="15"/>
  <cols>
    <col width="2" customWidth="1" min="1" max="1"/>
    <col width="7" customWidth="1" min="2" max="2"/>
    <col width="26" customWidth="1" min="3" max="3"/>
    <col width="14" customWidth="1" min="4" max="4"/>
    <col width="14" customWidth="1" min="5" max="5"/>
    <col width="14" customWidth="1" min="6" max="6"/>
    <col width="14" customWidth="1" min="7" max="7"/>
    <col width="16" customWidth="1" min="8" max="8"/>
    <col width="14" customWidth="1" min="9" max="9"/>
    <col width="14" customWidth="1" min="10" max="10"/>
    <col width="14" customWidth="1" min="11" max="11"/>
    <col width="14" customWidth="1" min="12" max="12"/>
    <col width="14" customWidth="1" min="13" max="13"/>
  </cols>
  <sheetData>
    <row r="1" ht="38" customHeight="1">
      <c r="B1" s="1" t="n"/>
      <c r="C1" s="2" t="n"/>
      <c r="D1" s="2" t="n"/>
      <c r="E1" s="2" t="n"/>
      <c r="F1" s="3" t="inlineStr">
        <is>
          <t>DASHBOARD</t>
        </is>
      </c>
      <c r="G1" s="2" t="n"/>
      <c r="H1" s="2" t="n"/>
      <c r="I1" s="2" t="n"/>
      <c r="J1" s="2" t="n"/>
      <c r="K1" s="2" t="n"/>
      <c r="L1" s="2" t="n"/>
      <c r="M1" s="2" t="n"/>
    </row>
    <row r="2" ht="18" customHeight="1">
      <c r="B2" s="4" t="inlineStr">
        <is>
          <t>Herramientas inteligentes que simplifican tu vida.</t>
        </is>
      </c>
      <c r="F2" s="5" t="inlineStr">
        <is>
          <t>Panel de control de tu negocio</t>
        </is>
      </c>
    </row>
    <row r="3" ht="5" customHeight="1">
      <c r="B3" s="6" t="n"/>
      <c r="C3" s="7" t="n"/>
      <c r="D3" s="7" t="n"/>
      <c r="E3" s="8" t="n"/>
      <c r="F3" s="8" t="n"/>
      <c r="G3" s="9" t="n"/>
      <c r="H3" s="9" t="n"/>
      <c r="I3" s="9" t="n"/>
      <c r="J3" s="10" t="n"/>
      <c r="K3" s="10" t="n"/>
      <c r="L3" s="11" t="n"/>
      <c r="M3" s="11" t="n"/>
    </row>
    <row r="4" ht="20" customHeight="1">
      <c r="B4" s="37" t="inlineStr">
        <is>
          <t>← INICIO</t>
        </is>
      </c>
      <c r="C4" s="12" t="inlineStr">
        <is>
          <t>Se actualiza automáticamente con lo que cargás en el COMPARADOR, la CALCULADORA y el SIMULADOR. No hace falta escribir nada acá, salvo el filtro.</t>
        </is>
      </c>
    </row>
    <row r="6">
      <c r="B6" s="25" t="inlineStr">
        <is>
          <t>Filtrar por categoría:</t>
        </is>
      </c>
      <c r="D6" s="68" t="inlineStr">
        <is>
          <t>Todas</t>
        </is>
      </c>
      <c r="F6" s="49" t="inlineStr">
        <is>
          <t>← los indicadores y el ranking se filtran. (El filtro por período no aplica: la planilla no registra fechas.)</t>
        </is>
      </c>
    </row>
    <row r="8" ht="16" customHeight="1">
      <c r="B8" s="50" t="inlineStr">
        <is>
          <t>PRODUCTOS REGISTRADOS</t>
        </is>
      </c>
      <c r="E8" s="50" t="inlineStr">
        <is>
          <t>INVERSIÓN TOTAL EN PRODUCTOS</t>
        </is>
      </c>
      <c r="H8" s="50" t="inlineStr">
        <is>
          <t>VALOR DEL INVENTARIO</t>
        </is>
      </c>
      <c r="K8" s="50" t="inlineStr">
        <is>
          <t>GANANCIA POTENCIAL</t>
        </is>
      </c>
    </row>
    <row r="9" ht="30" customHeight="1">
      <c r="B9" s="94">
        <f>SUMPRODUCT(((('COMPARADOR DE PRODUCTOS'!$D$7:$D$206=CatSel)+(CatSel="Todas"))&gt;0)*('COMPARADOR DE PRODUCTOS'!$C$7:$C$206&lt;&gt;"")*('COMPARADOR DE PRODUCTOS'!$E$7:$E$206&gt;0))</f>
        <v/>
      </c>
      <c r="E9" s="52">
        <f>SUMPRODUCT(((('COMPARADOR DE PRODUCTOS'!$D$7:$D$206=CatSel)+(CatSel="Todas"))&gt;0)*('COMPARADOR DE PRODUCTOS'!$C$7:$C$206&lt;&gt;"")*('COMPARADOR DE PRODUCTOS'!$E$7:$E$206&gt;0)*'COMPARADOR DE PRODUCTOS'!$E$7:$E$206*'COMPARADOR DE PRODUCTOS'!$J$7:$J$206)</f>
        <v/>
      </c>
      <c r="H9" s="52">
        <f>SUMPRODUCT(((('COMPARADOR DE PRODUCTOS'!$D$7:$D$206=CatSel)+(CatSel="Todas"))&gt;0)*('COMPARADOR DE PRODUCTOS'!$C$7:$C$206&lt;&gt;"")*('COMPARADOR DE PRODUCTOS'!$E$7:$E$206&gt;0)*'COMPARADOR DE PRODUCTOS'!$F$7:$F$206*'COMPARADOR DE PRODUCTOS'!$J$7:$J$206)</f>
        <v/>
      </c>
      <c r="K9" s="89">
        <f>SUMPRODUCT(((('COMPARADOR DE PRODUCTOS'!$D$7:$D$206=CatSel)+(CatSel="Todas"))&gt;0)*('COMPARADOR DE PRODUCTOS'!$C$7:$C$206&lt;&gt;"")*('COMPARADOR DE PRODUCTOS'!$E$7:$E$206&gt;0)*'COMPARADOR DE PRODUCTOS'!$H$7:$H$206*'COMPARADOR DE PRODUCTOS'!$J$7:$J$206)</f>
        <v/>
      </c>
    </row>
    <row r="10" ht="15" customHeight="1">
      <c r="B10" s="55" t="inlineStr">
        <is>
          <t>en el comparador</t>
        </is>
      </c>
      <c r="E10" s="55">
        <f>"costo × stock · "&amp;Moneda</f>
        <v/>
      </c>
      <c r="H10" s="55">
        <f>"a precio de venta · "&amp;Moneda</f>
        <v/>
      </c>
      <c r="K10" s="55">
        <f>"neta, si vendés todo el stock · "&amp;Moneda</f>
        <v/>
      </c>
    </row>
    <row r="12" ht="16" customHeight="1">
      <c r="B12" s="50" t="inlineStr">
        <is>
          <t>MARGEN PROMEDIO</t>
        </is>
      </c>
      <c r="E12" s="50" t="inlineStr">
        <is>
          <t>PRODUCTOS RENTABLES</t>
        </is>
      </c>
      <c r="H12" s="50" t="inlineStr">
        <is>
          <t>PRODUCTOS CON MARGEN BAJO</t>
        </is>
      </c>
      <c r="K12" s="50" t="inlineStr">
        <is>
          <t>PRODUCTOS CON PÉRDIDA</t>
        </is>
      </c>
    </row>
    <row r="13" ht="30" customHeight="1">
      <c r="B13" s="53">
        <f>IFERROR(SUMPRODUCT(((('COMPARADOR DE PRODUCTOS'!$D$7:$D$206=CatSel)+(CatSel="Todas"))&gt;0)*('COMPARADOR DE PRODUCTOS'!$C$7:$C$206&lt;&gt;"")*('COMPARADOR DE PRODUCTOS'!$E$7:$E$206&gt;0)*('COMPARADOR DE PRODUCTOS'!$F$7:$F$206&gt;0)*'COMPARADOR DE PRODUCTOS'!$I$7:$I$206)/SUMPRODUCT(((('COMPARADOR DE PRODUCTOS'!$D$7:$D$206=CatSel)+(CatSel="Todas"))&gt;0)*('COMPARADOR DE PRODUCTOS'!$C$7:$C$206&lt;&gt;"")*('COMPARADOR DE PRODUCTOS'!$E$7:$E$206&gt;0)*('COMPARADOR DE PRODUCTOS'!$F$7:$F$206&gt;0)),0)</f>
        <v/>
      </c>
      <c r="E13" s="95">
        <f>SUMPRODUCT(((('COMPARADOR DE PRODUCTOS'!$D$7:$D$206=CatSel)+(CatSel="Todas"))&gt;0)*('COMPARADOR DE PRODUCTOS'!$C$7:$C$206&lt;&gt;"")*('COMPARADOR DE PRODUCTOS'!$E$7:$E$206&gt;0)*(('COMPARADOR DE PRODUCTOS'!$L$7:$L$206="Rentable")+('COMPARADOR DE PRODUCTOS'!$L$7:$L$206="Aceptable")))</f>
        <v/>
      </c>
      <c r="H13" s="96">
        <f>SUMPRODUCT(((('COMPARADOR DE PRODUCTOS'!$D$7:$D$206=CatSel)+(CatSel="Todas"))&gt;0)*('COMPARADOR DE PRODUCTOS'!$C$7:$C$206&lt;&gt;"")*('COMPARADOR DE PRODUCTOS'!$E$7:$E$206&gt;0)*('COMPARADOR DE PRODUCTOS'!$L$7:$L$206="Margen bajo"))</f>
        <v/>
      </c>
      <c r="K13" s="97">
        <f>SUMPRODUCT(((('COMPARADOR DE PRODUCTOS'!$D$7:$D$206=CatSel)+(CatSel="Todas"))&gt;0)*('COMPARADOR DE PRODUCTOS'!$C$7:$C$206&lt;&gt;"")*('COMPARADOR DE PRODUCTOS'!$E$7:$E$206&gt;0)*('COMPARADOR DE PRODUCTOS'!$L$7:$L$206="PÉRDIDA"))</f>
        <v/>
      </c>
    </row>
    <row r="14" ht="15" customHeight="1">
      <c r="B14" s="55" t="inlineStr">
        <is>
          <t>sobre precio de venta</t>
        </is>
      </c>
      <c r="E14" s="55" t="inlineStr">
        <is>
          <t>margen igual o mayor al mínimo</t>
        </is>
      </c>
      <c r="H14" s="55" t="inlineStr">
        <is>
          <t>ganan, pero menos del mínimo</t>
        </is>
      </c>
      <c r="K14" s="55" t="inlineStr">
        <is>
          <t>se venden por debajo del costo</t>
        </is>
      </c>
    </row>
    <row r="16">
      <c r="B16" s="41" t="inlineStr">
        <is>
          <t>RANKING: LOS 10 PRODUCTOS CON MAYOR GANANCIA POR UNIDAD</t>
        </is>
      </c>
    </row>
    <row r="17" ht="28" customHeight="1">
      <c r="B17" s="82" t="inlineStr">
        <is>
          <t>#</t>
        </is>
      </c>
      <c r="C17" s="82" t="inlineStr">
        <is>
          <t>Producto</t>
        </is>
      </c>
      <c r="D17" s="82" t="inlineStr">
        <is>
          <t>Costo</t>
        </is>
      </c>
      <c r="E17" s="82" t="inlineStr">
        <is>
          <t>Precio</t>
        </is>
      </c>
      <c r="F17" s="82" t="inlineStr">
        <is>
          <t>Ganancia por unidad</t>
        </is>
      </c>
      <c r="G17" s="82" t="inlineStr">
        <is>
          <t>Margen</t>
        </is>
      </c>
      <c r="H17" s="82" t="inlineStr">
        <is>
          <t>Estado</t>
        </is>
      </c>
    </row>
    <row r="18">
      <c r="B18" s="98">
        <f>IF(ISNUMBER(F18),1,"")</f>
        <v/>
      </c>
      <c r="C18" s="99">
        <f>IFERROR(INDEX('COMPARADOR DE PRODUCTOS'!$C$7:$C$206,MATCH(LARGE('COMPARADOR DE PRODUCTOS'!$X$7:$X$206,1),'COMPARADOR DE PRODUCTOS'!$X$7:$X$206,0)),"")</f>
        <v/>
      </c>
      <c r="D18" s="59">
        <f>IFERROR(INDEX('COMPARADOR DE PRODUCTOS'!$E$7:$E$206,MATCH(LARGE('COMPARADOR DE PRODUCTOS'!$X$7:$X$206,1),'COMPARADOR DE PRODUCTOS'!$X$7:$X$206,0)),"")</f>
        <v/>
      </c>
      <c r="E18" s="59">
        <f>IFERROR(INDEX('COMPARADOR DE PRODUCTOS'!$F$7:$F$206,MATCH(LARGE('COMPARADOR DE PRODUCTOS'!$X$7:$X$206,1),'COMPARADOR DE PRODUCTOS'!$X$7:$X$206,0)),"")</f>
        <v/>
      </c>
      <c r="F18" s="66">
        <f>IFERROR(INDEX('COMPARADOR DE PRODUCTOS'!$H$7:$H$206,MATCH(LARGE('COMPARADOR DE PRODUCTOS'!$X$7:$X$206,1),'COMPARADOR DE PRODUCTOS'!$X$7:$X$206,0)),"")</f>
        <v/>
      </c>
      <c r="G18" s="70">
        <f>IFERROR(INDEX('COMPARADOR DE PRODUCTOS'!$I$7:$I$206,MATCH(LARGE('COMPARADOR DE PRODUCTOS'!$X$7:$X$206,1),'COMPARADOR DE PRODUCTOS'!$X$7:$X$206,0)),"")</f>
        <v/>
      </c>
      <c r="H18" s="74">
        <f>IFERROR(INDEX('COMPARADOR DE PRODUCTOS'!$L$7:$L$206,MATCH(LARGE('COMPARADOR DE PRODUCTOS'!$X$7:$X$206,1),'COMPARADOR DE PRODUCTOS'!$X$7:$X$206,0)),"")</f>
        <v/>
      </c>
      <c r="J18" s="80" t="inlineStr">
        <is>
          <t>Cómo leer el ranking:</t>
        </is>
      </c>
    </row>
    <row r="19">
      <c r="B19" s="98">
        <f>IF(ISNUMBER(F19),2,"")</f>
        <v/>
      </c>
      <c r="C19" s="99">
        <f>IFERROR(INDEX('COMPARADOR DE PRODUCTOS'!$C$7:$C$206,MATCH(LARGE('COMPARADOR DE PRODUCTOS'!$X$7:$X$206,2),'COMPARADOR DE PRODUCTOS'!$X$7:$X$206,0)),"")</f>
        <v/>
      </c>
      <c r="D19" s="59">
        <f>IFERROR(INDEX('COMPARADOR DE PRODUCTOS'!$E$7:$E$206,MATCH(LARGE('COMPARADOR DE PRODUCTOS'!$X$7:$X$206,2),'COMPARADOR DE PRODUCTOS'!$X$7:$X$206,0)),"")</f>
        <v/>
      </c>
      <c r="E19" s="59">
        <f>IFERROR(INDEX('COMPARADOR DE PRODUCTOS'!$F$7:$F$206,MATCH(LARGE('COMPARADOR DE PRODUCTOS'!$X$7:$X$206,2),'COMPARADOR DE PRODUCTOS'!$X$7:$X$206,0)),"")</f>
        <v/>
      </c>
      <c r="F19" s="66">
        <f>IFERROR(INDEX('COMPARADOR DE PRODUCTOS'!$H$7:$H$206,MATCH(LARGE('COMPARADOR DE PRODUCTOS'!$X$7:$X$206,2),'COMPARADOR DE PRODUCTOS'!$X$7:$X$206,0)),"")</f>
        <v/>
      </c>
      <c r="G19" s="70">
        <f>IFERROR(INDEX('COMPARADOR DE PRODUCTOS'!$I$7:$I$206,MATCH(LARGE('COMPARADOR DE PRODUCTOS'!$X$7:$X$206,2),'COMPARADOR DE PRODUCTOS'!$X$7:$X$206,0)),"")</f>
        <v/>
      </c>
      <c r="H19" s="74">
        <f>IFERROR(INDEX('COMPARADOR DE PRODUCTOS'!$L$7:$L$206,MATCH(LARGE('COMPARADOR DE PRODUCTOS'!$X$7:$X$206,2),'COMPARADOR DE PRODUCTOS'!$X$7:$X$206,0)),"")</f>
        <v/>
      </c>
      <c r="J19" s="100" t="inlineStr">
        <is>
          <t>Los productos de arriba son los que más dinero te dejan por cada unidad vendida. Revisá los de abajo: si están cerca del costo, conviene subir el precio o bajar el costo.</t>
        </is>
      </c>
    </row>
    <row r="20">
      <c r="B20" s="98">
        <f>IF(ISNUMBER(F20),3,"")</f>
        <v/>
      </c>
      <c r="C20" s="99">
        <f>IFERROR(INDEX('COMPARADOR DE PRODUCTOS'!$C$7:$C$206,MATCH(LARGE('COMPARADOR DE PRODUCTOS'!$X$7:$X$206,3),'COMPARADOR DE PRODUCTOS'!$X$7:$X$206,0)),"")</f>
        <v/>
      </c>
      <c r="D20" s="59">
        <f>IFERROR(INDEX('COMPARADOR DE PRODUCTOS'!$E$7:$E$206,MATCH(LARGE('COMPARADOR DE PRODUCTOS'!$X$7:$X$206,3),'COMPARADOR DE PRODUCTOS'!$X$7:$X$206,0)),"")</f>
        <v/>
      </c>
      <c r="E20" s="59">
        <f>IFERROR(INDEX('COMPARADOR DE PRODUCTOS'!$F$7:$F$206,MATCH(LARGE('COMPARADOR DE PRODUCTOS'!$X$7:$X$206,3),'COMPARADOR DE PRODUCTOS'!$X$7:$X$206,0)),"")</f>
        <v/>
      </c>
      <c r="F20" s="66">
        <f>IFERROR(INDEX('COMPARADOR DE PRODUCTOS'!$H$7:$H$206,MATCH(LARGE('COMPARADOR DE PRODUCTOS'!$X$7:$X$206,3),'COMPARADOR DE PRODUCTOS'!$X$7:$X$206,0)),"")</f>
        <v/>
      </c>
      <c r="G20" s="70">
        <f>IFERROR(INDEX('COMPARADOR DE PRODUCTOS'!$I$7:$I$206,MATCH(LARGE('COMPARADOR DE PRODUCTOS'!$X$7:$X$206,3),'COMPARADOR DE PRODUCTOS'!$X$7:$X$206,0)),"")</f>
        <v/>
      </c>
      <c r="H20" s="74">
        <f>IFERROR(INDEX('COMPARADOR DE PRODUCTOS'!$L$7:$L$206,MATCH(LARGE('COMPARADOR DE PRODUCTOS'!$X$7:$X$206,3),'COMPARADOR DE PRODUCTOS'!$X$7:$X$206,0)),"")</f>
        <v/>
      </c>
    </row>
    <row r="21">
      <c r="B21" s="98">
        <f>IF(ISNUMBER(F21),4,"")</f>
        <v/>
      </c>
      <c r="C21" s="99">
        <f>IFERROR(INDEX('COMPARADOR DE PRODUCTOS'!$C$7:$C$206,MATCH(LARGE('COMPARADOR DE PRODUCTOS'!$X$7:$X$206,4),'COMPARADOR DE PRODUCTOS'!$X$7:$X$206,0)),"")</f>
        <v/>
      </c>
      <c r="D21" s="59">
        <f>IFERROR(INDEX('COMPARADOR DE PRODUCTOS'!$E$7:$E$206,MATCH(LARGE('COMPARADOR DE PRODUCTOS'!$X$7:$X$206,4),'COMPARADOR DE PRODUCTOS'!$X$7:$X$206,0)),"")</f>
        <v/>
      </c>
      <c r="E21" s="59">
        <f>IFERROR(INDEX('COMPARADOR DE PRODUCTOS'!$F$7:$F$206,MATCH(LARGE('COMPARADOR DE PRODUCTOS'!$X$7:$X$206,4),'COMPARADOR DE PRODUCTOS'!$X$7:$X$206,0)),"")</f>
        <v/>
      </c>
      <c r="F21" s="66">
        <f>IFERROR(INDEX('COMPARADOR DE PRODUCTOS'!$H$7:$H$206,MATCH(LARGE('COMPARADOR DE PRODUCTOS'!$X$7:$X$206,4),'COMPARADOR DE PRODUCTOS'!$X$7:$X$206,0)),"")</f>
        <v/>
      </c>
      <c r="G21" s="70">
        <f>IFERROR(INDEX('COMPARADOR DE PRODUCTOS'!$I$7:$I$206,MATCH(LARGE('COMPARADOR DE PRODUCTOS'!$X$7:$X$206,4),'COMPARADOR DE PRODUCTOS'!$X$7:$X$206,0)),"")</f>
        <v/>
      </c>
      <c r="H21" s="74">
        <f>IFERROR(INDEX('COMPARADOR DE PRODUCTOS'!$L$7:$L$206,MATCH(LARGE('COMPARADOR DE PRODUCTOS'!$X$7:$X$206,4),'COMPARADOR DE PRODUCTOS'!$X$7:$X$206,0)),"")</f>
        <v/>
      </c>
    </row>
    <row r="22">
      <c r="B22" s="98">
        <f>IF(ISNUMBER(F22),5,"")</f>
        <v/>
      </c>
      <c r="C22" s="99">
        <f>IFERROR(INDEX('COMPARADOR DE PRODUCTOS'!$C$7:$C$206,MATCH(LARGE('COMPARADOR DE PRODUCTOS'!$X$7:$X$206,5),'COMPARADOR DE PRODUCTOS'!$X$7:$X$206,0)),"")</f>
        <v/>
      </c>
      <c r="D22" s="59">
        <f>IFERROR(INDEX('COMPARADOR DE PRODUCTOS'!$E$7:$E$206,MATCH(LARGE('COMPARADOR DE PRODUCTOS'!$X$7:$X$206,5),'COMPARADOR DE PRODUCTOS'!$X$7:$X$206,0)),"")</f>
        <v/>
      </c>
      <c r="E22" s="59">
        <f>IFERROR(INDEX('COMPARADOR DE PRODUCTOS'!$F$7:$F$206,MATCH(LARGE('COMPARADOR DE PRODUCTOS'!$X$7:$X$206,5),'COMPARADOR DE PRODUCTOS'!$X$7:$X$206,0)),"")</f>
        <v/>
      </c>
      <c r="F22" s="66">
        <f>IFERROR(INDEX('COMPARADOR DE PRODUCTOS'!$H$7:$H$206,MATCH(LARGE('COMPARADOR DE PRODUCTOS'!$X$7:$X$206,5),'COMPARADOR DE PRODUCTOS'!$X$7:$X$206,0)),"")</f>
        <v/>
      </c>
      <c r="G22" s="70">
        <f>IFERROR(INDEX('COMPARADOR DE PRODUCTOS'!$I$7:$I$206,MATCH(LARGE('COMPARADOR DE PRODUCTOS'!$X$7:$X$206,5),'COMPARADOR DE PRODUCTOS'!$X$7:$X$206,0)),"")</f>
        <v/>
      </c>
      <c r="H22" s="74">
        <f>IFERROR(INDEX('COMPARADOR DE PRODUCTOS'!$L$7:$L$206,MATCH(LARGE('COMPARADOR DE PRODUCTOS'!$X$7:$X$206,5),'COMPARADOR DE PRODUCTOS'!$X$7:$X$206,0)),"")</f>
        <v/>
      </c>
    </row>
    <row r="23">
      <c r="B23" s="98">
        <f>IF(ISNUMBER(F23),6,"")</f>
        <v/>
      </c>
      <c r="C23" s="99">
        <f>IFERROR(INDEX('COMPARADOR DE PRODUCTOS'!$C$7:$C$206,MATCH(LARGE('COMPARADOR DE PRODUCTOS'!$X$7:$X$206,6),'COMPARADOR DE PRODUCTOS'!$X$7:$X$206,0)),"")</f>
        <v/>
      </c>
      <c r="D23" s="59">
        <f>IFERROR(INDEX('COMPARADOR DE PRODUCTOS'!$E$7:$E$206,MATCH(LARGE('COMPARADOR DE PRODUCTOS'!$X$7:$X$206,6),'COMPARADOR DE PRODUCTOS'!$X$7:$X$206,0)),"")</f>
        <v/>
      </c>
      <c r="E23" s="59">
        <f>IFERROR(INDEX('COMPARADOR DE PRODUCTOS'!$F$7:$F$206,MATCH(LARGE('COMPARADOR DE PRODUCTOS'!$X$7:$X$206,6),'COMPARADOR DE PRODUCTOS'!$X$7:$X$206,0)),"")</f>
        <v/>
      </c>
      <c r="F23" s="66">
        <f>IFERROR(INDEX('COMPARADOR DE PRODUCTOS'!$H$7:$H$206,MATCH(LARGE('COMPARADOR DE PRODUCTOS'!$X$7:$X$206,6),'COMPARADOR DE PRODUCTOS'!$X$7:$X$206,0)),"")</f>
        <v/>
      </c>
      <c r="G23" s="70">
        <f>IFERROR(INDEX('COMPARADOR DE PRODUCTOS'!$I$7:$I$206,MATCH(LARGE('COMPARADOR DE PRODUCTOS'!$X$7:$X$206,6),'COMPARADOR DE PRODUCTOS'!$X$7:$X$206,0)),"")</f>
        <v/>
      </c>
      <c r="H23" s="74">
        <f>IFERROR(INDEX('COMPARADOR DE PRODUCTOS'!$L$7:$L$206,MATCH(LARGE('COMPARADOR DE PRODUCTOS'!$X$7:$X$206,6),'COMPARADOR DE PRODUCTOS'!$X$7:$X$206,0)),"")</f>
        <v/>
      </c>
    </row>
    <row r="24">
      <c r="B24" s="98">
        <f>IF(ISNUMBER(F24),7,"")</f>
        <v/>
      </c>
      <c r="C24" s="99">
        <f>IFERROR(INDEX('COMPARADOR DE PRODUCTOS'!$C$7:$C$206,MATCH(LARGE('COMPARADOR DE PRODUCTOS'!$X$7:$X$206,7),'COMPARADOR DE PRODUCTOS'!$X$7:$X$206,0)),"")</f>
        <v/>
      </c>
      <c r="D24" s="59">
        <f>IFERROR(INDEX('COMPARADOR DE PRODUCTOS'!$E$7:$E$206,MATCH(LARGE('COMPARADOR DE PRODUCTOS'!$X$7:$X$206,7),'COMPARADOR DE PRODUCTOS'!$X$7:$X$206,0)),"")</f>
        <v/>
      </c>
      <c r="E24" s="59">
        <f>IFERROR(INDEX('COMPARADOR DE PRODUCTOS'!$F$7:$F$206,MATCH(LARGE('COMPARADOR DE PRODUCTOS'!$X$7:$X$206,7),'COMPARADOR DE PRODUCTOS'!$X$7:$X$206,0)),"")</f>
        <v/>
      </c>
      <c r="F24" s="66">
        <f>IFERROR(INDEX('COMPARADOR DE PRODUCTOS'!$H$7:$H$206,MATCH(LARGE('COMPARADOR DE PRODUCTOS'!$X$7:$X$206,7),'COMPARADOR DE PRODUCTOS'!$X$7:$X$206,0)),"")</f>
        <v/>
      </c>
      <c r="G24" s="70">
        <f>IFERROR(INDEX('COMPARADOR DE PRODUCTOS'!$I$7:$I$206,MATCH(LARGE('COMPARADOR DE PRODUCTOS'!$X$7:$X$206,7),'COMPARADOR DE PRODUCTOS'!$X$7:$X$206,0)),"")</f>
        <v/>
      </c>
      <c r="H24" s="74">
        <f>IFERROR(INDEX('COMPARADOR DE PRODUCTOS'!$L$7:$L$206,MATCH(LARGE('COMPARADOR DE PRODUCTOS'!$X$7:$X$206,7),'COMPARADOR DE PRODUCTOS'!$X$7:$X$206,0)),"")</f>
        <v/>
      </c>
    </row>
    <row r="25">
      <c r="B25" s="98">
        <f>IF(ISNUMBER(F25),8,"")</f>
        <v/>
      </c>
      <c r="C25" s="99">
        <f>IFERROR(INDEX('COMPARADOR DE PRODUCTOS'!$C$7:$C$206,MATCH(LARGE('COMPARADOR DE PRODUCTOS'!$X$7:$X$206,8),'COMPARADOR DE PRODUCTOS'!$X$7:$X$206,0)),"")</f>
        <v/>
      </c>
      <c r="D25" s="59">
        <f>IFERROR(INDEX('COMPARADOR DE PRODUCTOS'!$E$7:$E$206,MATCH(LARGE('COMPARADOR DE PRODUCTOS'!$X$7:$X$206,8),'COMPARADOR DE PRODUCTOS'!$X$7:$X$206,0)),"")</f>
        <v/>
      </c>
      <c r="E25" s="59">
        <f>IFERROR(INDEX('COMPARADOR DE PRODUCTOS'!$F$7:$F$206,MATCH(LARGE('COMPARADOR DE PRODUCTOS'!$X$7:$X$206,8),'COMPARADOR DE PRODUCTOS'!$X$7:$X$206,0)),"")</f>
        <v/>
      </c>
      <c r="F25" s="66">
        <f>IFERROR(INDEX('COMPARADOR DE PRODUCTOS'!$H$7:$H$206,MATCH(LARGE('COMPARADOR DE PRODUCTOS'!$X$7:$X$206,8),'COMPARADOR DE PRODUCTOS'!$X$7:$X$206,0)),"")</f>
        <v/>
      </c>
      <c r="G25" s="70">
        <f>IFERROR(INDEX('COMPARADOR DE PRODUCTOS'!$I$7:$I$206,MATCH(LARGE('COMPARADOR DE PRODUCTOS'!$X$7:$X$206,8),'COMPARADOR DE PRODUCTOS'!$X$7:$X$206,0)),"")</f>
        <v/>
      </c>
      <c r="H25" s="74">
        <f>IFERROR(INDEX('COMPARADOR DE PRODUCTOS'!$L$7:$L$206,MATCH(LARGE('COMPARADOR DE PRODUCTOS'!$X$7:$X$206,8),'COMPARADOR DE PRODUCTOS'!$X$7:$X$206,0)),"")</f>
        <v/>
      </c>
    </row>
    <row r="26">
      <c r="B26" s="98">
        <f>IF(ISNUMBER(F26),9,"")</f>
        <v/>
      </c>
      <c r="C26" s="99">
        <f>IFERROR(INDEX('COMPARADOR DE PRODUCTOS'!$C$7:$C$206,MATCH(LARGE('COMPARADOR DE PRODUCTOS'!$X$7:$X$206,9),'COMPARADOR DE PRODUCTOS'!$X$7:$X$206,0)),"")</f>
        <v/>
      </c>
      <c r="D26" s="59">
        <f>IFERROR(INDEX('COMPARADOR DE PRODUCTOS'!$E$7:$E$206,MATCH(LARGE('COMPARADOR DE PRODUCTOS'!$X$7:$X$206,9),'COMPARADOR DE PRODUCTOS'!$X$7:$X$206,0)),"")</f>
        <v/>
      </c>
      <c r="E26" s="59">
        <f>IFERROR(INDEX('COMPARADOR DE PRODUCTOS'!$F$7:$F$206,MATCH(LARGE('COMPARADOR DE PRODUCTOS'!$X$7:$X$206,9),'COMPARADOR DE PRODUCTOS'!$X$7:$X$206,0)),"")</f>
        <v/>
      </c>
      <c r="F26" s="66">
        <f>IFERROR(INDEX('COMPARADOR DE PRODUCTOS'!$H$7:$H$206,MATCH(LARGE('COMPARADOR DE PRODUCTOS'!$X$7:$X$206,9),'COMPARADOR DE PRODUCTOS'!$X$7:$X$206,0)),"")</f>
        <v/>
      </c>
      <c r="G26" s="70">
        <f>IFERROR(INDEX('COMPARADOR DE PRODUCTOS'!$I$7:$I$206,MATCH(LARGE('COMPARADOR DE PRODUCTOS'!$X$7:$X$206,9),'COMPARADOR DE PRODUCTOS'!$X$7:$X$206,0)),"")</f>
        <v/>
      </c>
      <c r="H26" s="74">
        <f>IFERROR(INDEX('COMPARADOR DE PRODUCTOS'!$L$7:$L$206,MATCH(LARGE('COMPARADOR DE PRODUCTOS'!$X$7:$X$206,9),'COMPARADOR DE PRODUCTOS'!$X$7:$X$206,0)),"")</f>
        <v/>
      </c>
    </row>
    <row r="27">
      <c r="B27" s="98">
        <f>IF(ISNUMBER(F27),10,"")</f>
        <v/>
      </c>
      <c r="C27" s="99">
        <f>IFERROR(INDEX('COMPARADOR DE PRODUCTOS'!$C$7:$C$206,MATCH(LARGE('COMPARADOR DE PRODUCTOS'!$X$7:$X$206,10),'COMPARADOR DE PRODUCTOS'!$X$7:$X$206,0)),"")</f>
        <v/>
      </c>
      <c r="D27" s="59">
        <f>IFERROR(INDEX('COMPARADOR DE PRODUCTOS'!$E$7:$E$206,MATCH(LARGE('COMPARADOR DE PRODUCTOS'!$X$7:$X$206,10),'COMPARADOR DE PRODUCTOS'!$X$7:$X$206,0)),"")</f>
        <v/>
      </c>
      <c r="E27" s="59">
        <f>IFERROR(INDEX('COMPARADOR DE PRODUCTOS'!$F$7:$F$206,MATCH(LARGE('COMPARADOR DE PRODUCTOS'!$X$7:$X$206,10),'COMPARADOR DE PRODUCTOS'!$X$7:$X$206,0)),"")</f>
        <v/>
      </c>
      <c r="F27" s="66">
        <f>IFERROR(INDEX('COMPARADOR DE PRODUCTOS'!$H$7:$H$206,MATCH(LARGE('COMPARADOR DE PRODUCTOS'!$X$7:$X$206,10),'COMPARADOR DE PRODUCTOS'!$X$7:$X$206,0)),"")</f>
        <v/>
      </c>
      <c r="G27" s="70">
        <f>IFERROR(INDEX('COMPARADOR DE PRODUCTOS'!$I$7:$I$206,MATCH(LARGE('COMPARADOR DE PRODUCTOS'!$X$7:$X$206,10),'COMPARADOR DE PRODUCTOS'!$X$7:$X$206,0)),"")</f>
        <v/>
      </c>
      <c r="H27" s="74">
        <f>IFERROR(INDEX('COMPARADOR DE PRODUCTOS'!$L$7:$L$206,MATCH(LARGE('COMPARADOR DE PRODUCTOS'!$X$7:$X$206,10),'COMPARADOR DE PRODUCTOS'!$X$7:$X$206,0)),"")</f>
        <v/>
      </c>
    </row>
    <row r="29">
      <c r="B29" s="56" t="inlineStr">
        <is>
          <t>GRÁFICOS PARA DECIDIR</t>
        </is>
      </c>
    </row>
    <row r="62">
      <c r="H62" s="12" t="inlineStr">
        <is>
          <t>6. Ranking de productos más rentables: tabla de arriba (se actualiza sola).</t>
        </is>
      </c>
    </row>
    <row r="64">
      <c r="H64" s="100">
        <f>"El gráfico 5 usa los escenarios del SIMULADOR DE PRECIOS. El gráfico 4 muestra de qué se compone el costo del producto que estás analizando en la CALCULADORA."</f>
        <v/>
      </c>
    </row>
    <row r="65"/>
    <row r="66"/>
    <row r="67"/>
    <row r="68"/>
    <row r="69"/>
    <row r="70"/>
    <row r="78" ht="8" customHeight="1">
      <c r="B78" s="34" t="n"/>
    </row>
    <row r="79" ht="16" customHeight="1">
      <c r="B79" s="35" t="inlineStr">
        <is>
          <t>MIX SHOP DIGITAL  ·  Herramientas inteligentes que simplifican tu vida.</t>
        </is>
      </c>
    </row>
    <row r="80" ht="16" customHeight="1">
      <c r="B80" s="36" t="inlineStr">
        <is>
          <t>Versión gratuita  ·  Para gestionar todo tu negocio en un solo lugar, conocé Mi Negocio PY  →  mixshopdigital.com.py</t>
        </is>
      </c>
    </row>
  </sheetData>
  <sheetProtection selectLockedCells="0" selectUnlockedCells="0" sheet="1" objects="1" insertRows="1" insertHyperlinks="1" autoFilter="0" scenarios="1" formatColumns="1" deleteColumns="1" insertColumns="1" pivotTables="1" deleteRows="1" formatCells="1" formatRows="1" sort="1" password="C527"/>
  <mergeCells count="37">
    <mergeCell ref="E10:G10"/>
    <mergeCell ref="B14:D14"/>
    <mergeCell ref="E13:G13"/>
    <mergeCell ref="B8:D8"/>
    <mergeCell ref="B13:D13"/>
    <mergeCell ref="E9:G9"/>
    <mergeCell ref="J19:M22"/>
    <mergeCell ref="K12:M12"/>
    <mergeCell ref="B29:M29"/>
    <mergeCell ref="B10:D10"/>
    <mergeCell ref="D6:E6"/>
    <mergeCell ref="K8:M8"/>
    <mergeCell ref="H64:M70"/>
    <mergeCell ref="C4:M4"/>
    <mergeCell ref="B78:M78"/>
    <mergeCell ref="H13:J13"/>
    <mergeCell ref="K14:M14"/>
    <mergeCell ref="B9:D9"/>
    <mergeCell ref="H12:J12"/>
    <mergeCell ref="F2:M2"/>
    <mergeCell ref="K10:M10"/>
    <mergeCell ref="H14:J14"/>
    <mergeCell ref="B80:M80"/>
    <mergeCell ref="K13:M13"/>
    <mergeCell ref="H8:J8"/>
    <mergeCell ref="E12:G12"/>
    <mergeCell ref="B2:E2"/>
    <mergeCell ref="B79:M79"/>
    <mergeCell ref="B16:M16"/>
    <mergeCell ref="B1:E1"/>
    <mergeCell ref="H10:J10"/>
    <mergeCell ref="E14:G14"/>
    <mergeCell ref="K9:M9"/>
    <mergeCell ref="E8:G8"/>
    <mergeCell ref="H9:J9"/>
    <mergeCell ref="B12:D12"/>
    <mergeCell ref="F1:M1"/>
  </mergeCells>
  <conditionalFormatting sqref="H18:H27">
    <cfRule type="expression" priority="1" dxfId="0">
      <formula>H18="PÉRDIDA"</formula>
    </cfRule>
    <cfRule type="expression" priority="2" dxfId="1">
      <formula>H18="Margen bajo"</formula>
    </cfRule>
    <cfRule type="expression" priority="3" dxfId="2">
      <formula>H18="Rentable"</formula>
    </cfRule>
    <cfRule type="expression" priority="4" dxfId="6">
      <formula>H18="Aceptable"</formula>
    </cfRule>
  </conditionalFormatting>
  <dataValidations count="1">
    <dataValidation sqref="D6" showDropDown="0" showInputMessage="1" showErrorMessage="1" allowBlank="0" errorTitle="Valor no válido" error="Elegí un valor de la lista desplegable." promptTitle="Filtro de categoría" prompt="Elegí «Todas» o una categoría para ver sus resultados." type="list" errorStyle="stop">
      <formula1>ListaCats</formula1>
    </dataValidation>
  </dataValidations>
  <hyperlinks>
    <hyperlink ref="B4" location="'INICIO'!A1" display="← INICIO"/>
    <hyperlink xmlns:r="http://schemas.openxmlformats.org/officeDocument/2006/relationships" ref="B80" r:id="rId1"/>
  </hyperlinks>
  <printOptions horizontalCentered="1"/>
  <pageMargins left="0.75" right="0.75" top="1" bottom="1" header="0.5" footer="0.5"/>
  <pageSetup orientation="landscape" paperSize="9" fitToHeight="0" fitToWidth="1"/>
  <headerFooter>
    <oddHeader>&amp;C&amp;"Arial,Bold"&amp;14 &amp;K0B2A7AMIX SHOP DIGITAL</oddHeader>
    <oddFooter>&amp;L&amp;8 MIX SHOP DIGITAL — Herramientas inteligentes que simplifican tu vida.&amp;C&amp;8 Versión gratuita · mixshopdigital.com.py&amp;R&amp;8 Pág. &amp;P de &amp;N</oddFooter>
    <evenHeader/>
    <evenFooter/>
    <firstHeader/>
    <firstFooter/>
  </headerFooter>
  <drawing xmlns:r="http://schemas.openxmlformats.org/officeDocument/2006/relationships" r:id="rId2"/>
</worksheet>
</file>

<file path=xl/worksheets/sheet8.xml><?xml version="1.0" encoding="utf-8"?>
<worksheet xmlns="http://schemas.openxmlformats.org/spreadsheetml/2006/main">
  <sheetPr>
    <tabColor rgb="000A52C4"/>
    <outlinePr summaryBelow="1" summaryRight="1"/>
    <pageSetUpPr fitToPage="1"/>
  </sheetPr>
  <dimension ref="B1:J51"/>
  <sheetViews>
    <sheetView showGridLines="0" workbookViewId="0">
      <selection activeCell="A1" sqref="A1"/>
    </sheetView>
  </sheetViews>
  <sheetFormatPr baseColWidth="8" defaultRowHeight="15"/>
  <cols>
    <col width="2" customWidth="1" min="1" max="1"/>
    <col width="24"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s>
  <sheetData>
    <row r="1" ht="38" customHeight="1">
      <c r="B1" s="1" t="n"/>
      <c r="C1" s="2" t="n"/>
      <c r="D1" s="2" t="n"/>
      <c r="E1" s="3" t="inlineStr">
        <is>
          <t>GUÍA DE USO</t>
        </is>
      </c>
      <c r="F1" s="2" t="n"/>
      <c r="G1" s="2" t="n"/>
      <c r="H1" s="2" t="n"/>
      <c r="I1" s="2" t="n"/>
      <c r="J1" s="2" t="n"/>
    </row>
    <row r="2" ht="18" customHeight="1">
      <c r="B2" s="4" t="inlineStr">
        <is>
          <t>Herramientas inteligentes que simplifican tu vida.</t>
        </is>
      </c>
      <c r="E2" s="5" t="inlineStr">
        <is>
          <t>Aprendé a usarla en 5 minutos</t>
        </is>
      </c>
    </row>
    <row r="3" ht="5" customHeight="1">
      <c r="B3" s="6" t="n"/>
      <c r="C3" s="7" t="n"/>
      <c r="D3" s="8" t="n"/>
      <c r="E3" s="8" t="n"/>
      <c r="F3" s="9" t="n"/>
      <c r="G3" s="9" t="n"/>
      <c r="H3" s="10" t="n"/>
      <c r="I3" s="10" t="n"/>
      <c r="J3" s="11" t="n"/>
    </row>
    <row r="4" ht="20" customHeight="1">
      <c r="B4" s="37" t="inlineStr">
        <is>
          <t>← INICIO</t>
        </is>
      </c>
      <c r="C4" s="12" t="inlineStr">
        <is>
          <t>Leé esta hoja una vez. Después ya no la vas a necesitar.</t>
        </is>
      </c>
    </row>
    <row r="6">
      <c r="B6" s="41" t="inlineStr">
        <is>
          <t>¿PARA QUÉ SIRVE?</t>
        </is>
      </c>
    </row>
    <row r="7" ht="33" customHeight="1">
      <c r="B7" s="101" t="inlineStr">
        <is>
          <t>Esta herramienta te dice cuánto te cuesta realmente vender un producto, cuál es el precio mínimo para no perder dinero, qué precio te conviene poner y cuánto ganás por unidad. Funciona sin Internet y no necesitás saber Excel.</t>
        </is>
      </c>
    </row>
    <row r="9">
      <c r="B9" s="18" t="inlineStr">
        <is>
          <t>EMPEZÁ EN 3 PASOS</t>
        </is>
      </c>
    </row>
    <row r="10" ht="18.5" customHeight="1">
      <c r="B10" s="101" t="inlineStr">
        <is>
          <t>1) En CONFIGURACIÓN, completá los datos de tu negocio y tus porcentajes habituales (comisión, impuestos, margen que querés ganar).</t>
        </is>
      </c>
    </row>
    <row r="11" ht="33" customHeight="1">
      <c r="B11" s="101" t="inlineStr">
        <is>
          <t>2) En CALCULADORA, cargá un producto: cuánto pagaste, cuántas unidades compraste y tus costos de envío, empaque y otros. Los resultados aparecen solos arriba y a la derecha.</t>
        </is>
      </c>
    </row>
    <row r="12" ht="18.5" customHeight="1">
      <c r="B12" s="101" t="inlineStr">
        <is>
          <t>3) En COMPARADOR cargá todos tus productos y mirá el DASHBOARD para saber cuáles te dejan más ganancia y cuáles te hacen perder.</t>
        </is>
      </c>
    </row>
    <row r="14">
      <c r="B14" s="41" t="inlineStr">
        <is>
          <t>COLORES</t>
        </is>
      </c>
    </row>
    <row r="15" ht="33" customHeight="1">
      <c r="B15" s="101" t="inlineStr">
        <is>
          <t>Azul claro: celdas que completás vos.   Gris: información automática (bloqueada).   Naranja: advertencia.   Verde: resultado favorable.   Rojo: pérdida o precio por debajo del costo.</t>
        </is>
      </c>
    </row>
    <row r="16" ht="18.5" customHeight="1">
      <c r="B16" s="101" t="inlineStr">
        <is>
          <t>Completá solamente las celdas resaltadas en azul claro. El resto está protegido para que no borres fórmulas sin querer.</t>
        </is>
      </c>
    </row>
    <row r="18">
      <c r="B18" s="41" t="inlineStr">
        <is>
          <t>MARGEN Y RECARGO: NO SON LO MISMO</t>
        </is>
      </c>
    </row>
    <row r="19" ht="33" customHeight="1">
      <c r="B19" s="101" t="inlineStr">
        <is>
          <t>Margen sobre venta: qué parte del precio final es ganancia. Recargo sobre costo (markup): cuánto le sumás al costo. Ejemplo con costo de 100: un recargo del 30 % da un precio de 130 y un margen real de 23,1 %. Para ganar 30 % de margen real, el precio debe ser 142,86 (recargo de 42,9 %).</t>
        </is>
      </c>
    </row>
    <row r="20" ht="18.5" customHeight="1">
      <c r="B20" s="101" t="inlineStr">
        <is>
          <t>Por eso la planilla calcula con una fórmula exacta y no «suma porcentajes al costo». Podés elegir el método en CONFIGURACIÓN (recomendado: margen sobre venta).</t>
        </is>
      </c>
    </row>
    <row r="22">
      <c r="B22" s="41" t="inlineStr">
        <is>
          <t>CÓMO SE CALCULA</t>
        </is>
      </c>
    </row>
    <row r="23" ht="18.5" customHeight="1">
      <c r="B23" s="101" t="inlineStr">
        <is>
          <t>Costo total unitario = suma de todos los costos por unidad (los costos del lote se reparten entre las unidades adquiridas).</t>
        </is>
      </c>
    </row>
    <row r="24" ht="18.5" customHeight="1">
      <c r="B24" s="101" t="inlineStr">
        <is>
          <t>Divisor base = 1 − comisión − impuestos.   Precio mínimo = Costo ÷ divisor base.</t>
        </is>
      </c>
    </row>
    <row r="25" ht="18.5" customHeight="1">
      <c r="B25" s="101" t="inlineStr">
        <is>
          <t>Precio objetivo (margen sobre venta) = Costo ÷ (1 − comisión − impuestos − margen).   Precio objetivo (recargo) = Costo × (1 + recargo) ÷ (1 − comisión − impuestos).</t>
        </is>
      </c>
    </row>
    <row r="26" ht="18.5" customHeight="1">
      <c r="B26" s="101" t="inlineStr">
        <is>
          <t>Ganancia neta por unidad = Precio × (1 − comisión − impuestos) − Costo.   Margen real = Ganancia neta ÷ Precio.   Rentabilidad sobre costo = Ganancia neta ÷ Costo.</t>
        </is>
      </c>
    </row>
    <row r="27" ht="18.5" customHeight="1">
      <c r="B27" s="101" t="inlineStr">
        <is>
          <t>Unidades para tu meta = Meta de ganancia ÷ Ganancia neta por unidad (redondeado hacia arriba).   Precio promocional posible: conserva la mitad de tu margen objetivo.</t>
        </is>
      </c>
    </row>
    <row r="29">
      <c r="B29" s="18" t="inlineStr">
        <is>
          <t>QUÉ HACE CADA HOJA</t>
        </is>
      </c>
    </row>
    <row r="30" ht="18.5" customHeight="1">
      <c r="B30" s="101" t="inlineStr">
        <is>
          <t>INICIO: portada y menú.   CONFIGURACIÓN: datos y porcentajes que alimentan todo.   CALCULADORA: costo, precio y ganancia de un producto.</t>
        </is>
      </c>
    </row>
    <row r="31" ht="18.5" customHeight="1">
      <c r="B31" s="101" t="inlineStr">
        <is>
          <t>COMPARADOR DE PRODUCTOS: hasta 200 productos con alertas y ranking.   COSTOS Y GASTOS: los gastos que se olvidan y cómo repartir los fijos.</t>
        </is>
      </c>
    </row>
    <row r="32" ht="18.5" customHeight="1">
      <c r="B32" s="101" t="inlineStr">
        <is>
          <t>SIMULADOR DE PRECIOS: escenarios y promociones (descuentos, 2x1, combos, precio por cantidad).   DASHBOARD: indicadores y gráficos.</t>
        </is>
      </c>
    </row>
    <row r="34">
      <c r="B34" s="41" t="inlineStr">
        <is>
          <t>PREGUNTAS FRECUENTES</t>
        </is>
      </c>
    </row>
    <row r="35" ht="18.5" customHeight="1">
      <c r="B35" s="101" t="inlineStr">
        <is>
          <t>• Veo todo en cero o en blanco: si abriste el archivo desde un correo o la descarga, hacé clic en «Habilitar edición» en la barra amarilla de Excel.</t>
        </is>
      </c>
    </row>
    <row r="36" ht="18.5" customHeight="1">
      <c r="B36" s="101" t="inlineStr">
        <is>
          <t>• No puedo escribir en una celda: está protegida. Solo se editan las celdas azul claro. Es una protección contra borrados accidentales.</t>
        </is>
      </c>
    </row>
    <row r="37" ht="33" customHeight="1">
      <c r="B37" s="101" t="inlineStr">
        <is>
          <t>• ¿Cómo ordeno el COMPARADOR? Con el filtro de la fila de títulos podés filtrar. Para ver productos ordenados por ganancia usá el ranking del DASHBOARD o la columna «Ranking».</t>
        </is>
      </c>
    </row>
    <row r="38" ht="18.5" customHeight="1">
      <c r="B38" s="101" t="inlineStr">
        <is>
          <t>• ¿Agrego más de 200 productos? Duplicá el archivo y usá una copia por línea de productos.</t>
        </is>
      </c>
    </row>
    <row r="39" ht="18.5" customHeight="1">
      <c r="B39" s="101" t="inlineStr">
        <is>
          <t>• ¿Otra moneda? Elegila en CONFIGURACIÓN. Los montos se cargan en la moneda que elijas.</t>
        </is>
      </c>
    </row>
    <row r="40" ht="18.5" customHeight="1">
      <c r="B40" s="101" t="inlineStr">
        <is>
          <t>• Los resultados son estimaciones para decidir mejor. Los impuestos dependen de tu situación: consultá con tu contador.</t>
        </is>
      </c>
    </row>
    <row r="42">
      <c r="B42" s="41" t="inlineStr">
        <is>
          <t>SOBRE LA PROTECCIÓN DEL ARCHIVO</t>
        </is>
      </c>
    </row>
    <row r="43" ht="47.5" customHeight="1">
      <c r="B43" s="101" t="inlineStr">
        <is>
          <t>Las fórmulas, títulos, gráficos y la firma de Mix Shop Digital están bloqueados para evitar cambios accidentales. La protección de Excel no es un sistema de seguridad criptográfico: sirve para cuidar el archivo de errores, no para impedir que alguien con intención y conocimientos técnicos la desactive. La marca en encabezado y pie de página funciona del mismo modo.</t>
        </is>
      </c>
    </row>
    <row r="45">
      <c r="B45" s="56" t="inlineStr">
        <is>
          <t>MIX SHOP DIGITAL Y MI NEGOCIO PY</t>
        </is>
      </c>
    </row>
    <row r="46" ht="33" customHeight="1">
      <c r="B46" s="101" t="inlineStr">
        <is>
          <t>Esta calculadora es una herramienta gratuita de Mix Shop Digital. Si querés gestionar todo tu negocio en un solo lugar, conocé Mi Negocio PY, el sistema de gestión para pequeños negocios de Paraguay.</t>
        </is>
      </c>
    </row>
    <row r="47">
      <c r="B47" s="102" t="inlineStr">
        <is>
          <t>→ mixshopdigital.com.py</t>
        </is>
      </c>
    </row>
    <row r="49" ht="8" customHeight="1">
      <c r="B49" s="34" t="n"/>
    </row>
    <row r="50" ht="16" customHeight="1">
      <c r="B50" s="35" t="inlineStr">
        <is>
          <t>MIX SHOP DIGITAL  ·  Herramientas inteligentes que simplifican tu vida.</t>
        </is>
      </c>
    </row>
    <row r="51" ht="16" customHeight="1">
      <c r="B51" s="36" t="inlineStr">
        <is>
          <t>Versión gratuita  ·  Para gestionar todo tu negocio en un solo lugar, conocé Mi Negocio PY  →  mixshopdigital.com.py</t>
        </is>
      </c>
    </row>
  </sheetData>
  <sheetProtection selectLockedCells="0" selectUnlockedCells="0" sheet="1" objects="1" insertRows="1" insertHyperlinks="1" autoFilter="0" scenarios="1" formatColumns="1" deleteColumns="1" insertColumns="1" pivotTables="1" deleteRows="1" formatCells="1" formatRows="1" sort="1" password="C527"/>
  <mergeCells count="42">
    <mergeCell ref="E1:J1"/>
    <mergeCell ref="B11:J11"/>
    <mergeCell ref="B42:J42"/>
    <mergeCell ref="B1:D1"/>
    <mergeCell ref="B14:J14"/>
    <mergeCell ref="B23:J23"/>
    <mergeCell ref="B38:J38"/>
    <mergeCell ref="C4:J4"/>
    <mergeCell ref="B29:J29"/>
    <mergeCell ref="B19:J19"/>
    <mergeCell ref="B34:J34"/>
    <mergeCell ref="E2:J2"/>
    <mergeCell ref="B10:J10"/>
    <mergeCell ref="B37:J37"/>
    <mergeCell ref="B40:J40"/>
    <mergeCell ref="B9:J9"/>
    <mergeCell ref="B49:J49"/>
    <mergeCell ref="B6:J6"/>
    <mergeCell ref="B24:J24"/>
    <mergeCell ref="B30:J30"/>
    <mergeCell ref="B15:J15"/>
    <mergeCell ref="B51:J51"/>
    <mergeCell ref="B20:J20"/>
    <mergeCell ref="B45:J45"/>
    <mergeCell ref="B36:J36"/>
    <mergeCell ref="B32:J32"/>
    <mergeCell ref="B50:J50"/>
    <mergeCell ref="B26:J26"/>
    <mergeCell ref="B35:J35"/>
    <mergeCell ref="B47:J47"/>
    <mergeCell ref="B16:J16"/>
    <mergeCell ref="B7:J7"/>
    <mergeCell ref="B25:J25"/>
    <mergeCell ref="B46:J46"/>
    <mergeCell ref="B22:J22"/>
    <mergeCell ref="B31:J31"/>
    <mergeCell ref="B18:J18"/>
    <mergeCell ref="B27:J27"/>
    <mergeCell ref="B43:J43"/>
    <mergeCell ref="B12:J12"/>
    <mergeCell ref="B39:J39"/>
    <mergeCell ref="B2:D2"/>
  </mergeCells>
  <hyperlinks>
    <hyperlink ref="B4" location="'INICIO'!A1" display="← INICIO"/>
    <hyperlink xmlns:r="http://schemas.openxmlformats.org/officeDocument/2006/relationships" ref="B47" r:id="rId1"/>
    <hyperlink xmlns:r="http://schemas.openxmlformats.org/officeDocument/2006/relationships" ref="B51" r:id="rId2"/>
  </hyperlinks>
  <printOptions horizontalCentered="1"/>
  <pageMargins left="0.75" right="0.75" top="1" bottom="1" header="0.5" footer="0.5"/>
  <pageSetup orientation="landscape" paperSize="9" fitToHeight="0" fitToWidth="1"/>
  <headerFooter>
    <oddHeader>&amp;C&amp;"Arial,Bold"&amp;14 &amp;K0B2A7AMIX SHOP DIGITAL</oddHeader>
    <oddFooter>&amp;L&amp;8 MIX SHOP DIGITAL — Herramientas inteligentes que simplifican tu vida.&amp;C&amp;8 Versión gratuita · mixshopdigital.com.py&amp;R&amp;8 Pág. &amp;P de &amp;N</oddFooter>
    <evenHeader/>
    <evenFooter/>
    <firstHeader/>
    <firstFooter/>
  </headerFooter>
  <drawing xmlns:r="http://schemas.openxmlformats.org/officeDocument/2006/relationships" r:id="rId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MIX SHOP DIGITAL</dc:creator>
  <dc:title xmlns:dc="http://purl.org/dc/elements/1.1/">Calculadora Inteligente de Precios y Ganancias – Mix Shop Digital</dc:title>
  <dc:subject xmlns:dc="http://purl.org/dc/elements/1.1/">Versión gratuita</dc:subject>
  <dcterms:created xmlns:dcterms="http://purl.org/dc/terms/" xmlns:xsi="http://www.w3.org/2001/XMLSchema-instance" xsi:type="dcterms:W3CDTF">2026-10-30T15:09:44Z</dcterms:created>
  <dcterms:modified xmlns:dcterms="http://purl.org/dc/terms/" xmlns:xsi="http://www.w3.org/2001/XMLSchema-instance" xsi:type="dcterms:W3CDTF">2026-10-30T15:09:44Z</dcterms:modified>
</cp:coreProperties>
</file>