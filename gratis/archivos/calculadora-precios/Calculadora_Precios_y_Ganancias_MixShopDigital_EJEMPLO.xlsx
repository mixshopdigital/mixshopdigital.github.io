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C527" lockStructure="1"/>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CONFIGURACIÓN" sheetId="2" state="visible" r:id="rId2"/>
    <sheet xmlns:r="http://schemas.openxmlformats.org/officeDocument/2006/relationships" name="CALCULADORA" sheetId="3" state="visible" r:id="rId3"/>
    <sheet xmlns:r="http://schemas.openxmlformats.org/officeDocument/2006/relationships" name="COMPARADOR DE PRODUCTOS" sheetId="4" state="visible" r:id="rId4"/>
    <sheet xmlns:r="http://schemas.openxmlformats.org/officeDocument/2006/relationships" name="COSTOS Y GASTOS" sheetId="5" state="visible" r:id="rId5"/>
    <sheet xmlns:r="http://schemas.openxmlformats.org/officeDocument/2006/relationships" name="SIMULADOR DE PRECIOS" sheetId="6" state="visible" r:id="rId6"/>
    <sheet xmlns:r="http://schemas.openxmlformats.org/officeDocument/2006/relationships" name="DASHBOARD" sheetId="7" state="visible" r:id="rId7"/>
    <sheet xmlns:r="http://schemas.openxmlformats.org/officeDocument/2006/relationships" name="GUÍA DE USO" sheetId="8" state="visible" r:id="rId8"/>
  </sheets>
  <definedNames>
    <definedName name="NombreNegocio">'CONFIGURACIÓN'!$C$7</definedName>
    <definedName name="Responsable">'CONFIGURACIÓN'!$C$8</definedName>
    <definedName name="Moneda">'CONFIGURACIÓN'!$C$9</definedName>
    <definedName name="Comision">'CONFIGURACIÓN'!$C$11</definedName>
    <definedName name="Impuesto">'CONFIGURACIÓN'!$C$12</definedName>
    <definedName name="EnvioHab">'CONFIGURACIÓN'!$C$13</definedName>
    <definedName name="EmpaqueHab">'CONFIGURACIÓN'!$C$14</definedName>
    <definedName name="OtrosHab">'CONFIGURACIÓN'!$C$15</definedName>
    <definedName name="MargenObj">'CONFIGURACIÓN'!$C$16</definedName>
    <definedName name="MargenMin">'CONFIGURACIÓN'!$C$17</definedName>
    <definedName name="Redondeo">'CONFIGURACIÓN'!$C$19</definedName>
    <definedName name="DescHab">'CONFIGURACIÓN'!$C$20</definedName>
    <definedName name="MetaGan">'CONFIGURACIÓN'!$C$21</definedName>
    <definedName name="Metodo">'CONFIGURACIÓN'!$C$18</definedName>
    <definedName name="DivBase">'CONFIGURACIÓN'!$C$24</definedName>
    <definedName name="DivMargen">'CONFIGURACIÓN'!$C$25</definedName>
    <definedName name="DivPromo">'CONFIGURACIÓN'!$C$26</definedName>
    <definedName name="MargenObjReal">'CONFIGURACIÓN'!$C$27</definedName>
    <definedName name="Categorias">'CONFIGURACIÓN'!$B$31:$B$42</definedName>
    <definedName name="ListaCats">'CONFIGURACIÓN'!$G$30:$G$42</definedName>
    <definedName name="CostoFijoUnit">'COSTOS Y GASTOS'!$H$6</definedName>
    <definedName name="CatSel">'DASHBOARD'!$D$6</definedName>
    <definedName name="_xlnm.Print_Area" localSheetId="0">'INICIO'!$A$1:$M$36</definedName>
    <definedName name="_xlnm.Print_Area" localSheetId="1">'CONFIGURACIÓN'!$A$1:$D$48</definedName>
    <definedName name="_xlnm.Print_Area" localSheetId="2">'CALCULADORA'!$A$1:$J$40</definedName>
    <definedName name="_xlnm._FilterDatabase" localSheetId="3" hidden="1">'COMPARADOR DE PRODUCTOS'!$B$6:$N$206</definedName>
    <definedName name="_xlnm.Print_Titles" localSheetId="3">'COMPARADOR DE PRODUCTOS'!$6:$6</definedName>
    <definedName name="_xlnm.Print_Area" localSheetId="3">'COMPARADOR DE PRODUCTOS'!$A$1:$N$210</definedName>
    <definedName name="_xlnm.Print_Area" localSheetId="4">'COSTOS Y GASTOS'!$A$1:$I$47</definedName>
    <definedName name="_xlnm.Print_Area" localSheetId="5">'SIMULADOR DE PRECIOS'!$A$1:$J$53</definedName>
    <definedName name="_xlnm.Print_Area" localSheetId="6">'DASHBOARD'!$A$1:$M$81</definedName>
    <definedName name="_xlnm.Print_Area" localSheetId="7">'GUÍA DE USO'!$A$1:$J$52</definedName>
  </definedNames>
  <calcPr calcId="124519" fullCalcOnLoad="1"/>
</workbook>
</file>

<file path=xl/styles.xml><?xml version="1.0" encoding="utf-8"?>
<styleSheet xmlns="http://schemas.openxmlformats.org/spreadsheetml/2006/main">
  <numFmts count="8">
    <numFmt numFmtId="164" formatCode="0.0%"/>
    <numFmt numFmtId="165" formatCode="0.0000"/>
    <numFmt numFmtId="166" formatCode="#,##0;[Red]-#,##0;&quot;-&quot;"/>
    <numFmt numFmtId="167" formatCode="0.0%;[Red]-0.0%;&quot;-&quot;"/>
    <numFmt numFmtId="168" formatCode="#,##0;[Red]-#,##0;;@"/>
    <numFmt numFmtId="169" formatCode="0.0%;[Red]-0.0%;;@"/>
    <numFmt numFmtId="170" formatCode="0.000"/>
    <numFmt numFmtId="171" formatCode="+0.0%;-0.0%;0.0%"/>
  </numFmts>
  <fonts count="36">
    <font>
      <name val="Calibri"/>
      <family val="2"/>
      <color theme="1"/>
      <sz val="11"/>
      <scheme val="minor"/>
    </font>
    <font>
      <name val="Arial"/>
      <b val="1"/>
      <color rgb="00FFFFFF"/>
      <sz val="16"/>
    </font>
    <font>
      <name val="Arial"/>
      <b val="1"/>
      <color rgb="00FFB366"/>
      <sz val="13"/>
    </font>
    <font>
      <name val="Arial"/>
      <i val="1"/>
      <color rgb="00FFFFFF"/>
      <sz val="9"/>
    </font>
    <font>
      <name val="Arial"/>
      <color rgb="00FFFFFF"/>
      <sz val="9"/>
    </font>
    <font>
      <name val="Arial"/>
      <color rgb="00000000"/>
      <sz val="10"/>
    </font>
    <font>
      <name val="Arial"/>
      <b val="1"/>
      <color rgb="000A52C4"/>
      <sz val="9"/>
      <u val="single"/>
    </font>
    <font>
      <name val="Arial"/>
      <i val="1"/>
      <color rgb="005B6787"/>
      <sz val="9"/>
    </font>
    <font>
      <name val="Arial"/>
      <b val="1"/>
      <color rgb="00FFFFFF"/>
      <sz val="11"/>
    </font>
    <font>
      <name val="Arial"/>
      <b val="1"/>
      <color rgb="00000000"/>
      <sz val="10"/>
    </font>
    <font>
      <name val="Arial"/>
      <i val="1"/>
      <color rgb="005B6787"/>
      <sz val="8"/>
    </font>
    <font>
      <name val="Arial"/>
      <b val="1"/>
      <color rgb="000B2A7A"/>
      <sz val="9"/>
    </font>
    <font>
      <name val="Arial"/>
      <color rgb="005B6787"/>
      <sz val="8"/>
    </font>
    <font>
      <name val="Arial"/>
      <b val="1"/>
      <color rgb="005B6787"/>
      <sz val="8"/>
    </font>
    <font>
      <name val="Arial"/>
      <b val="1"/>
      <color rgb="00FF7A00"/>
      <sz val="20"/>
    </font>
    <font>
      <name val="Arial"/>
      <b val="1"/>
      <color rgb="000B2A7A"/>
      <sz val="18"/>
    </font>
    <font>
      <name val="Arial"/>
      <b val="1"/>
      <color rgb="00B00020"/>
      <sz val="18"/>
    </font>
    <font>
      <name val="Arial"/>
      <color rgb="005B6787"/>
      <sz val="10"/>
    </font>
    <font>
      <name val="Arial"/>
      <b val="1"/>
      <color rgb="00000000"/>
      <sz val="11"/>
    </font>
    <font>
      <name val="Arial"/>
      <color rgb="005B6787"/>
      <sz val="9"/>
    </font>
    <font>
      <name val="Arial"/>
      <color rgb="00000000"/>
      <sz val="9"/>
    </font>
    <font>
      <name val="Arial"/>
      <b val="1"/>
      <color rgb="00FF7A00"/>
      <sz val="11"/>
    </font>
    <font>
      <name val="Arial"/>
      <b val="1"/>
      <color rgb="00000000"/>
      <sz val="12"/>
    </font>
    <font>
      <name val="Arial"/>
      <color rgb="00000000"/>
      <sz val="8"/>
    </font>
    <font>
      <name val="Arial"/>
      <b val="1"/>
      <color rgb="00FFFFFF"/>
      <sz val="9"/>
    </font>
    <font>
      <name val="Arial"/>
      <b val="1"/>
      <color rgb="00FF7A00"/>
      <sz val="18"/>
    </font>
    <font>
      <name val="Arial"/>
      <b val="1"/>
      <color rgb="000B2A7A"/>
      <sz val="10"/>
    </font>
    <font>
      <name val="Arial"/>
      <b val="1"/>
      <color rgb="0017653B"/>
      <sz val="18"/>
    </font>
    <font>
      <name val="Arial"/>
      <b val="1"/>
      <color rgb="009A4A00"/>
      <sz val="18"/>
    </font>
    <font>
      <name val="Arial"/>
      <b val="1"/>
      <color rgb="000A52C4"/>
      <sz val="11"/>
      <u val="single"/>
    </font>
    <font>
      <name val="Arial"/>
      <b val="1"/>
      <color rgb="000B2A7A"/>
      <sz val="20"/>
    </font>
    <font>
      <name val="Arial"/>
      <b val="1"/>
      <color rgb="00FF7A00"/>
      <sz val="10"/>
    </font>
    <font>
      <name val="Arial"/>
      <b val="1"/>
      <color rgb="00FFFFFF"/>
      <sz val="14"/>
    </font>
    <font>
      <name val="Arial"/>
      <b val="1"/>
      <color rgb="000B2A7A"/>
      <sz val="11"/>
    </font>
    <font>
      <name val="Arial"/>
      <b val="1"/>
      <color rgb="00FFFFFF"/>
      <sz val="12"/>
    </font>
    <font>
      <name val="Arial"/>
      <b val="1"/>
      <color rgb="000A52C4"/>
      <sz val="10"/>
      <u val="single"/>
    </font>
  </fonts>
  <fills count="14">
    <fill>
      <patternFill/>
    </fill>
    <fill>
      <patternFill patternType="gray125"/>
    </fill>
    <fill>
      <patternFill patternType="solid">
        <fgColor rgb="000B2A7A"/>
        <bgColor rgb="000B2A7A"/>
      </patternFill>
    </fill>
    <fill>
      <patternFill patternType="solid">
        <fgColor rgb="000A52C4"/>
        <bgColor rgb="000A52C4"/>
      </patternFill>
    </fill>
    <fill>
      <patternFill patternType="solid">
        <fgColor rgb="00FF7A00"/>
        <bgColor rgb="00FF7A00"/>
      </patternFill>
    </fill>
    <fill>
      <patternFill patternType="solid">
        <fgColor rgb="00DCE9FF"/>
        <bgColor rgb="00DCE9FF"/>
      </patternFill>
    </fill>
    <fill>
      <patternFill patternType="solid">
        <fgColor rgb="005B6787"/>
        <bgColor rgb="005B6787"/>
      </patternFill>
    </fill>
    <fill>
      <patternFill patternType="solid">
        <fgColor rgb="00ECEFF5"/>
        <bgColor rgb="00ECEFF5"/>
      </patternFill>
    </fill>
    <fill>
      <patternFill patternType="solid">
        <fgColor rgb="00F5F8FF"/>
        <bgColor rgb="00F5F8FF"/>
      </patternFill>
    </fill>
    <fill>
      <patternFill patternType="solid">
        <fgColor rgb="00E3EAF8"/>
        <bgColor rgb="00E3EAF8"/>
      </patternFill>
    </fill>
    <fill>
      <patternFill patternType="solid">
        <fgColor rgb="00FFF1E0"/>
        <bgColor rgb="00FFF1E0"/>
      </patternFill>
    </fill>
    <fill>
      <patternFill patternType="solid">
        <fgColor rgb="00FFE5CC"/>
        <bgColor rgb="00FFE5CC"/>
      </patternFill>
    </fill>
    <fill>
      <patternFill patternType="solid">
        <fgColor rgb="00D9F2E3"/>
        <bgColor rgb="00D9F2E3"/>
      </patternFill>
    </fill>
    <fill>
      <patternFill patternType="solid">
        <fgColor rgb="00FBD5D5"/>
        <bgColor rgb="00FBD5D5"/>
      </patternFill>
    </fill>
  </fills>
  <borders count="6">
    <border>
      <left/>
      <right/>
      <top/>
      <bottom/>
      <diagonal/>
    </border>
    <border>
      <left style="thin">
        <color rgb="00C9D3EA"/>
      </left>
      <right style="thin">
        <color rgb="00C9D3EA"/>
      </right>
      <top style="thin">
        <color rgb="00C9D3EA"/>
      </top>
      <bottom style="thin">
        <color rgb="00C9D3EA"/>
      </bottom>
    </border>
    <border>
      <left style="thick">
        <color rgb="00FF7A00"/>
      </left>
    </border>
    <border>
      <left/>
      <right/>
      <top style="thin">
        <color rgb="00C9D3EA"/>
      </top>
      <bottom/>
      <diagonal/>
    </border>
    <border>
      <left/>
      <right style="thin">
        <color rgb="00C9D3EA"/>
      </right>
      <top style="thin">
        <color rgb="00C9D3EA"/>
      </top>
      <bottom/>
      <diagonal/>
    </border>
    <border>
      <left/>
      <right style="thin">
        <color rgb="00C9D3EA"/>
      </right>
      <top style="thin">
        <color rgb="00C9D3EA"/>
      </top>
      <bottom style="thin">
        <color rgb="00C9D3EA"/>
      </bottom>
      <diagonal/>
    </border>
  </borders>
  <cellStyleXfs count="1">
    <xf numFmtId="0" fontId="0" fillId="0" borderId="0"/>
  </cellStyleXfs>
  <cellXfs count="97">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right" vertical="center"/>
    </xf>
    <xf numFmtId="0" fontId="3" fillId="3" borderId="0" applyAlignment="1" pivotButton="0" quotePrefix="0" xfId="0">
      <alignment horizontal="left" vertical="center"/>
    </xf>
    <xf numFmtId="0" fontId="4" fillId="3" borderId="0" applyAlignment="1" pivotButton="0" quotePrefix="0" xfId="0">
      <alignment horizontal="right" vertical="center"/>
    </xf>
    <xf numFmtId="0" fontId="5" fillId="4" borderId="0" applyAlignment="1" pivotButton="0" quotePrefix="0" xfId="0">
      <alignment vertical="center"/>
    </xf>
    <xf numFmtId="0" fontId="7" fillId="0" borderId="0" applyAlignment="1" pivotButton="0" quotePrefix="0" xfId="0">
      <alignment horizontal="left" vertical="center"/>
    </xf>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2" fillId="3" borderId="0" applyAlignment="1" pivotButton="0" quotePrefix="0" xfId="0">
      <alignment horizontal="center" vertical="center"/>
    </xf>
    <xf numFmtId="0" fontId="33" fillId="8" borderId="2" applyAlignment="1" pivotButton="0" quotePrefix="0" xfId="0">
      <alignment horizontal="center" vertical="center"/>
    </xf>
    <xf numFmtId="0" fontId="19" fillId="8" borderId="2" applyAlignment="1" pivotButton="0" quotePrefix="0" xfId="0">
      <alignment horizontal="center" vertical="top" wrapText="1"/>
    </xf>
    <xf numFmtId="0" fontId="8" fillId="2" borderId="0" applyAlignment="1" pivotButton="0" quotePrefix="0" xfId="0">
      <alignment horizontal="left" vertical="center"/>
    </xf>
    <xf numFmtId="0" fontId="34" fillId="3" borderId="1" applyAlignment="1" pivotButton="0" quotePrefix="0" xfId="0">
      <alignment horizontal="center" vertical="center"/>
    </xf>
    <xf numFmtId="0" fontId="4" fillId="3" borderId="1" applyAlignment="1" pivotButton="0" quotePrefix="0" xfId="0">
      <alignment horizontal="center" vertical="center"/>
    </xf>
    <xf numFmtId="0" fontId="34" fillId="4" borderId="1" applyAlignment="1" pivotButton="0" quotePrefix="0" xfId="0">
      <alignment horizontal="center" vertical="center"/>
    </xf>
    <xf numFmtId="0" fontId="4" fillId="4" borderId="1" applyAlignment="1" pivotButton="0" quotePrefix="0" xfId="0">
      <alignment horizontal="center" vertical="center"/>
    </xf>
    <xf numFmtId="0" fontId="33" fillId="8" borderId="2" applyAlignment="1" pivotButton="0" quotePrefix="0" xfId="0">
      <alignment horizontal="left" vertical="center"/>
    </xf>
    <xf numFmtId="0" fontId="19" fillId="8" borderId="2" applyAlignment="1" pivotButton="0" quotePrefix="0" xfId="0">
      <alignment horizontal="left" vertical="top" wrapText="1"/>
    </xf>
    <xf numFmtId="0" fontId="26" fillId="0" borderId="0" applyAlignment="1" pivotButton="0" quotePrefix="0" xfId="0">
      <alignment horizontal="left" vertical="center"/>
    </xf>
    <xf numFmtId="0" fontId="23" fillId="5" borderId="1" applyAlignment="1" pivotButton="0" quotePrefix="0" xfId="0">
      <alignment horizontal="center" vertical="center"/>
    </xf>
    <xf numFmtId="0" fontId="0" fillId="0" borderId="5" pivotButton="0" quotePrefix="0" xfId="0"/>
    <xf numFmtId="0" fontId="23" fillId="7" borderId="1" applyAlignment="1" pivotButton="0" quotePrefix="0" xfId="0">
      <alignment horizontal="center" vertical="center"/>
    </xf>
    <xf numFmtId="0" fontId="23" fillId="11" borderId="1" applyAlignment="1" pivotButton="0" quotePrefix="0" xfId="0">
      <alignment horizontal="center" vertical="center"/>
    </xf>
    <xf numFmtId="0" fontId="23" fillId="12" borderId="1" applyAlignment="1" pivotButton="0" quotePrefix="0" xfId="0">
      <alignment horizontal="center" vertical="center"/>
    </xf>
    <xf numFmtId="0" fontId="23" fillId="13" borderId="1" applyAlignment="1" pivotButton="0" quotePrefix="0" xfId="0">
      <alignment horizontal="center" vertical="center"/>
    </xf>
    <xf numFmtId="0" fontId="19" fillId="8" borderId="0" applyAlignment="1" pivotButton="0" quotePrefix="0" xfId="0">
      <alignment horizontal="left" vertical="center" wrapText="1"/>
    </xf>
    <xf numFmtId="0" fontId="35" fillId="8" borderId="0" applyAlignment="1" pivotButton="0" quotePrefix="0" xfId="0">
      <alignment horizontal="left" vertical="center"/>
    </xf>
    <xf numFmtId="0" fontId="5" fillId="2"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6" fillId="0" borderId="0" applyAlignment="1" pivotButton="0" quotePrefix="0" xfId="0">
      <alignment horizontal="left" vertical="center"/>
    </xf>
    <xf numFmtId="0" fontId="9" fillId="0" borderId="0" applyAlignment="1" pivotButton="0" quotePrefix="0" xfId="0">
      <alignment horizontal="left" vertical="center"/>
    </xf>
    <xf numFmtId="0" fontId="5" fillId="5" borderId="1" applyAlignment="1" applyProtection="1" pivotButton="0" quotePrefix="0" xfId="0">
      <alignment horizontal="left" vertical="center"/>
      <protection locked="0" hidden="0"/>
    </xf>
    <xf numFmtId="0" fontId="7" fillId="0" borderId="0" applyAlignment="1" pivotButton="0" quotePrefix="0" xfId="0">
      <alignment horizontal="left" vertical="center" wrapText="1"/>
    </xf>
    <xf numFmtId="0" fontId="8" fillId="3" borderId="0" applyAlignment="1" pivotButton="0" quotePrefix="0" xfId="0">
      <alignment horizontal="left" vertical="center"/>
    </xf>
    <xf numFmtId="164" fontId="5" fillId="5" borderId="1" applyAlignment="1" applyProtection="1" pivotButton="0" quotePrefix="0" xfId="0">
      <alignment horizontal="right" vertical="center"/>
      <protection locked="0" hidden="0"/>
    </xf>
    <xf numFmtId="3" fontId="5" fillId="5" borderId="1" applyAlignment="1" applyProtection="1" pivotButton="0" quotePrefix="0" xfId="0">
      <alignment horizontal="right" vertical="center"/>
      <protection locked="0" hidden="0"/>
    </xf>
    <xf numFmtId="0" fontId="8" fillId="6" borderId="0" applyAlignment="1" pivotButton="0" quotePrefix="0" xfId="0">
      <alignment horizontal="left" vertical="center"/>
    </xf>
    <xf numFmtId="0" fontId="5" fillId="0" borderId="0" applyAlignment="1" pivotButton="0" quotePrefix="0" xfId="0">
      <alignment horizontal="left" vertical="center"/>
    </xf>
    <xf numFmtId="165" fontId="5" fillId="7" borderId="1" applyAlignment="1" pivotButton="0" quotePrefix="0" xfId="0">
      <alignment horizontal="right" vertical="center"/>
    </xf>
    <xf numFmtId="164" fontId="5" fillId="7" borderId="1" applyAlignment="1" pivotButton="0" quotePrefix="0" xfId="0">
      <alignment horizontal="right" vertical="center"/>
    </xf>
    <xf numFmtId="0" fontId="9" fillId="7" borderId="1" applyAlignment="1" pivotButton="0" quotePrefix="0" xfId="0">
      <alignment vertical="center"/>
    </xf>
    <xf numFmtId="0" fontId="10" fillId="0" borderId="0" applyAlignment="1" pivotButton="0" quotePrefix="0" xfId="0">
      <alignment horizontal="left" vertical="center"/>
    </xf>
    <xf numFmtId="0" fontId="13" fillId="8" borderId="2" applyAlignment="1" pivotButton="0" quotePrefix="0" xfId="0">
      <alignment horizontal="center" vertical="center"/>
    </xf>
    <xf numFmtId="166" fontId="14" fillId="8" borderId="2" applyAlignment="1" pivotButton="0" quotePrefix="0" xfId="0">
      <alignment horizontal="center" vertical="center"/>
    </xf>
    <xf numFmtId="166" fontId="15" fillId="8" borderId="2" applyAlignment="1" pivotButton="0" quotePrefix="0" xfId="0">
      <alignment horizontal="center" vertical="center"/>
    </xf>
    <xf numFmtId="167" fontId="15" fillId="8" borderId="2" applyAlignment="1" pivotButton="0" quotePrefix="0" xfId="0">
      <alignment horizontal="center" vertical="center"/>
    </xf>
    <xf numFmtId="166" fontId="16" fillId="8" borderId="2" applyAlignment="1" pivotButton="0" quotePrefix="0" xfId="0">
      <alignment horizontal="center" vertical="center"/>
    </xf>
    <xf numFmtId="0" fontId="12" fillId="8" borderId="2" applyAlignment="1" pivotButton="0" quotePrefix="0" xfId="0">
      <alignment horizontal="center" vertical="center"/>
    </xf>
    <xf numFmtId="0" fontId="8" fillId="4" borderId="0" applyAlignment="1" pivotButton="0" quotePrefix="0" xfId="0">
      <alignment horizontal="left" vertical="center"/>
    </xf>
    <xf numFmtId="0" fontId="11" fillId="9" borderId="1" applyAlignment="1" pivotButton="0" quotePrefix="0" xfId="0">
      <alignment horizontal="center" vertical="center" wrapText="1"/>
    </xf>
    <xf numFmtId="0" fontId="11" fillId="9" borderId="1" applyAlignment="1" pivotButton="0" quotePrefix="0" xfId="0">
      <alignment horizontal="center" vertical="center"/>
    </xf>
    <xf numFmtId="166" fontId="5" fillId="7" borderId="1" applyAlignment="1" pivotButton="0" quotePrefix="0" xfId="0">
      <alignment horizontal="right" vertical="center"/>
    </xf>
    <xf numFmtId="0" fontId="12" fillId="7" borderId="1" applyAlignment="1" pivotButton="0" quotePrefix="0" xfId="0">
      <alignment vertical="center"/>
    </xf>
    <xf numFmtId="0" fontId="21" fillId="0" borderId="0" applyAlignment="1" pivotButton="0" quotePrefix="0" xfId="0">
      <alignment horizontal="left" vertical="center"/>
    </xf>
    <xf numFmtId="166" fontId="22" fillId="10" borderId="1" applyAlignment="1" pivotButton="0" quotePrefix="0" xfId="0">
      <alignment horizontal="right" vertical="center"/>
    </xf>
    <xf numFmtId="0" fontId="5" fillId="5" borderId="1" applyAlignment="1" applyProtection="1" pivotButton="0" quotePrefix="0" xfId="0">
      <alignment horizontal="right" vertical="center"/>
      <protection locked="0" hidden="0"/>
    </xf>
    <xf numFmtId="0" fontId="17" fillId="7" borderId="1" applyAlignment="1" pivotButton="0" quotePrefix="0" xfId="0">
      <alignment horizontal="center" vertical="center"/>
    </xf>
    <xf numFmtId="0" fontId="5" fillId="7" borderId="1" applyAlignment="1" pivotButton="0" quotePrefix="0" xfId="0">
      <alignment vertical="center"/>
    </xf>
    <xf numFmtId="166" fontId="9" fillId="7" borderId="1" applyAlignment="1" pivotButton="0" quotePrefix="0" xfId="0">
      <alignment horizontal="right" vertical="center"/>
    </xf>
    <xf numFmtId="0" fontId="23" fillId="7" borderId="1" applyAlignment="1" pivotButton="0" quotePrefix="0" xfId="0">
      <alignment vertical="center"/>
    </xf>
    <xf numFmtId="0" fontId="5" fillId="5" borderId="1" applyAlignment="1" applyProtection="1" pivotButton="0" quotePrefix="0" xfId="0">
      <alignment horizontal="center" vertical="center"/>
      <protection locked="0" hidden="0"/>
    </xf>
    <xf numFmtId="167" fontId="9" fillId="7" borderId="1" applyAlignment="1" pivotButton="0" quotePrefix="0" xfId="0">
      <alignment horizontal="right" vertical="center"/>
    </xf>
    <xf numFmtId="167" fontId="5" fillId="7" borderId="1" applyAlignment="1" pivotButton="0" quotePrefix="0" xfId="0">
      <alignment horizontal="right" vertical="center"/>
    </xf>
    <xf numFmtId="3" fontId="5" fillId="7" borderId="1" applyAlignment="1" pivotButton="0" quotePrefix="0" xfId="0">
      <alignment horizontal="right" vertical="center"/>
    </xf>
    <xf numFmtId="166" fontId="18" fillId="9" borderId="1" applyAlignment="1" pivotButton="0" quotePrefix="0" xfId="0">
      <alignment horizontal="right" vertical="center"/>
    </xf>
    <xf numFmtId="0" fontId="19" fillId="0" borderId="0" applyAlignment="1" pivotButton="0" quotePrefix="0" xfId="0">
      <alignment horizontal="left" vertical="center"/>
    </xf>
    <xf numFmtId="0" fontId="20" fillId="7" borderId="1" applyAlignment="1" pivotButton="0" quotePrefix="0" xfId="0">
      <alignment horizontal="center" vertical="center"/>
    </xf>
    <xf numFmtId="0" fontId="12" fillId="7" borderId="1" applyAlignment="1" pivotButton="0" quotePrefix="0" xfId="0">
      <alignment horizontal="center" vertical="center"/>
    </xf>
    <xf numFmtId="164" fontId="9" fillId="7" borderId="1" applyAlignment="1" pivotButton="0" quotePrefix="0" xfId="0">
      <alignment horizontal="right" vertical="center"/>
    </xf>
    <xf numFmtId="165" fontId="19" fillId="7" borderId="1" applyAlignment="1" pivotButton="0" quotePrefix="0" xfId="0">
      <alignment horizontal="right" vertical="center"/>
    </xf>
    <xf numFmtId="3" fontId="9" fillId="7" borderId="1" applyAlignment="1" pivotButton="0" quotePrefix="0" xfId="0">
      <alignment horizontal="righ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xf>
    <xf numFmtId="0" fontId="24" fillId="3" borderId="1" applyAlignment="1" pivotButton="0" quotePrefix="0" xfId="0">
      <alignment horizontal="center" vertical="center" wrapText="1"/>
    </xf>
    <xf numFmtId="0" fontId="24" fillId="2" borderId="1" applyAlignment="1" pivotButton="0" quotePrefix="0" xfId="0">
      <alignment horizontal="center" vertical="center" wrapText="1"/>
    </xf>
    <xf numFmtId="0" fontId="20" fillId="5" borderId="1" applyAlignment="1" applyProtection="1" pivotButton="0" quotePrefix="0" xfId="0">
      <alignment horizontal="left" vertical="center"/>
      <protection locked="0" hidden="0"/>
    </xf>
    <xf numFmtId="3" fontId="20" fillId="5" borderId="1" applyAlignment="1" applyProtection="1" pivotButton="0" quotePrefix="0" xfId="0">
      <alignment horizontal="right" vertical="center"/>
      <protection locked="0" hidden="0"/>
    </xf>
    <xf numFmtId="168" fontId="20" fillId="7" borderId="1" applyAlignment="1" pivotButton="0" quotePrefix="0" xfId="0">
      <alignment horizontal="right" vertical="center"/>
    </xf>
    <xf numFmtId="169" fontId="20" fillId="7" borderId="1" applyAlignment="1" pivotButton="0" quotePrefix="0" xfId="0">
      <alignment horizontal="right" vertical="center"/>
    </xf>
    <xf numFmtId="1" fontId="20" fillId="7" borderId="1" applyAlignment="1" pivotButton="0" quotePrefix="0" xfId="0">
      <alignment horizontal="center" vertical="center"/>
    </xf>
    <xf numFmtId="170" fontId="20" fillId="7" borderId="1" applyAlignment="1" pivotButton="0" quotePrefix="0" xfId="0">
      <alignment horizontal="right" vertical="center"/>
    </xf>
    <xf numFmtId="166" fontId="25" fillId="8" borderId="2" applyAlignment="1" pivotButton="0" quotePrefix="0" xfId="0">
      <alignment horizontal="center" vertical="center"/>
    </xf>
    <xf numFmtId="0" fontId="20" fillId="5" borderId="1" applyAlignment="1" applyProtection="1" pivotButton="0" quotePrefix="0" xfId="0">
      <alignment horizontal="center" vertical="center"/>
      <protection locked="0" hidden="0"/>
    </xf>
    <xf numFmtId="0" fontId="24" fillId="2" borderId="0" applyAlignment="1" pivotButton="0" quotePrefix="0" xfId="0">
      <alignment horizontal="center" vertical="center"/>
    </xf>
    <xf numFmtId="0" fontId="20" fillId="7" borderId="1" applyAlignment="1" pivotButton="0" quotePrefix="0" xfId="0">
      <alignment vertical="center"/>
    </xf>
    <xf numFmtId="171" fontId="5" fillId="5" borderId="1" applyAlignment="1" applyProtection="1" pivotButton="0" quotePrefix="0" xfId="0">
      <alignment horizontal="right" vertical="center"/>
      <protection locked="0" hidden="0"/>
    </xf>
    <xf numFmtId="3" fontId="15" fillId="8" borderId="2" applyAlignment="1" pivotButton="0" quotePrefix="0" xfId="0">
      <alignment horizontal="center" vertical="center"/>
    </xf>
    <xf numFmtId="3" fontId="27" fillId="8" borderId="2" applyAlignment="1" pivotButton="0" quotePrefix="0" xfId="0">
      <alignment horizontal="center" vertical="center"/>
    </xf>
    <xf numFmtId="3" fontId="28" fillId="8" borderId="2" applyAlignment="1" pivotButton="0" quotePrefix="0" xfId="0">
      <alignment horizontal="center" vertical="center"/>
    </xf>
    <xf numFmtId="3" fontId="16" fillId="8" borderId="2" applyAlignment="1" pivotButton="0" quotePrefix="0" xfId="0">
      <alignment horizontal="center" vertical="center"/>
    </xf>
    <xf numFmtId="0" fontId="5" fillId="7" borderId="1" applyAlignment="1" pivotButton="0" quotePrefix="0" xfId="0">
      <alignment horizontal="center" vertical="center"/>
    </xf>
    <xf numFmtId="0" fontId="5" fillId="7" borderId="1" applyAlignment="1" pivotButton="0" quotePrefix="0" xfId="0">
      <alignment horizontal="left" vertical="center"/>
    </xf>
    <xf numFmtId="0" fontId="19" fillId="0" borderId="0" applyAlignment="1" pivotButton="0" quotePrefix="0" xfId="0">
      <alignment horizontal="left" vertical="top" wrapText="1"/>
    </xf>
    <xf numFmtId="0" fontId="5" fillId="0" borderId="0" applyAlignment="1" pivotButton="0" quotePrefix="0" xfId="0">
      <alignment horizontal="left" vertical="top" wrapText="1"/>
    </xf>
    <xf numFmtId="0" fontId="29" fillId="0" borderId="0" applyAlignment="1" pivotButton="0" quotePrefix="0" xfId="0">
      <alignment horizontal="left" vertical="center"/>
    </xf>
  </cellXfs>
  <cellStyles count="1">
    <cellStyle name="Normal" xfId="0" builtinId="0" hidden="0"/>
  </cellStyles>
  <dxfs count="7">
    <dxf>
      <font>
        <b val="1"/>
        <color rgb="00B00020"/>
      </font>
      <fill>
        <patternFill patternType="solid">
          <fgColor rgb="00FBD5D5"/>
          <bgColor rgb="00FBD5D5"/>
        </patternFill>
      </fill>
    </dxf>
    <dxf>
      <font>
        <b val="1"/>
        <color rgb="009A4A00"/>
      </font>
      <fill>
        <patternFill patternType="solid">
          <fgColor rgb="00FFE5CC"/>
          <bgColor rgb="00FFE5CC"/>
        </patternFill>
      </fill>
    </dxf>
    <dxf>
      <font>
        <b val="1"/>
        <color rgb="0017653B"/>
      </font>
      <fill>
        <patternFill patternType="solid">
          <fgColor rgb="00D9F2E3"/>
          <bgColor rgb="00D9F2E3"/>
        </patternFill>
      </fill>
    </dxf>
    <dxf>
      <font>
        <b val="1"/>
        <color rgb="00B00020"/>
      </font>
    </dxf>
    <dxf>
      <font>
        <b val="1"/>
        <color rgb="009A4A00"/>
      </font>
    </dxf>
    <dxf>
      <font>
        <b val="1"/>
        <color rgb="0017653B"/>
      </font>
    </dxf>
    <dxf>
      <font>
        <b val="1"/>
        <color rgb="007A5B00"/>
      </font>
      <fill>
        <patternFill patternType="solid">
          <fgColor rgb="00FFF6D6"/>
          <bgColor rgb="00FFF6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Costo vs. precio actual (primeros 15 productos)</a:t>
            </a:r>
          </a:p>
        </rich>
      </tx>
    </title>
    <plotArea>
      <barChart>
        <barDir val="col"/>
        <grouping val="clustered"/>
        <ser>
          <idx val="0"/>
          <order val="0"/>
          <tx>
            <strRef>
              <f>'COMPARADOR DE PRODUCTOS'!E6</f>
            </strRef>
          </tx>
          <spPr>
            <a:solidFill xmlns:a="http://schemas.openxmlformats.org/drawingml/2006/main">
              <a:srgbClr val="0B2A7A"/>
            </a:solidFill>
            <a:ln xmlns:a="http://schemas.openxmlformats.org/drawingml/2006/main">
              <a:prstDash val="solid"/>
            </a:ln>
          </spPr>
          <cat>
            <numRef>
              <f>'COMPARADOR DE PRODUCTOS'!$C$7:$C$21</f>
            </numRef>
          </cat>
          <val>
            <numRef>
              <f>'COMPARADOR DE PRODUCTOS'!$E$7:$E$21</f>
            </numRef>
          </val>
        </ser>
        <ser>
          <idx val="1"/>
          <order val="1"/>
          <tx>
            <strRef>
              <f>'COMPARADOR DE PRODUCTOS'!F6</f>
            </strRef>
          </tx>
          <spPr>
            <a:solidFill xmlns:a="http://schemas.openxmlformats.org/drawingml/2006/main">
              <a:srgbClr val="FF7A00"/>
            </a:solidFill>
            <a:ln xmlns:a="http://schemas.openxmlformats.org/drawingml/2006/main">
              <a:prstDash val="solid"/>
            </a:ln>
          </spPr>
          <cat>
            <numRef>
              <f>'COMPARADOR DE PRODUCTOS'!$C$7:$C$21</f>
            </numRef>
          </cat>
          <val>
            <numRef>
              <f>'COMPARADOR DE PRODUCTOS'!$F$7:$F$21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Ganancia total por escenario</a:t>
            </a:r>
          </a:p>
        </rich>
      </tx>
    </title>
    <plotArea>
      <barChart>
        <barDir val="col"/>
        <grouping val="clustered"/>
        <ser>
          <idx val="0"/>
          <order val="0"/>
          <tx>
            <strRef>
              <f>'SIMULADOR DE PRECIOS'!H18</f>
            </strRef>
          </tx>
          <spPr>
            <a:solidFill xmlns:a="http://schemas.openxmlformats.org/drawingml/2006/main">
              <a:srgbClr val="FF7A00"/>
            </a:solidFill>
            <a:ln xmlns:a="http://schemas.openxmlformats.org/drawingml/2006/main">
              <a:prstDash val="solid"/>
            </a:ln>
          </spPr>
          <cat>
            <numRef>
              <f>'SIMULADOR DE PRECIOS'!$B$19:$B$21</f>
            </numRef>
          </cat>
          <val>
            <numRef>
              <f>'SIMULADOR DE PRECIOS'!$H$19:$H$21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Precio de venta por escenario</a:t>
            </a:r>
          </a:p>
        </rich>
      </tx>
    </title>
    <plotArea>
      <barChart>
        <barDir val="col"/>
        <grouping val="clustered"/>
        <ser>
          <idx val="0"/>
          <order val="0"/>
          <tx>
            <strRef>
              <f>'SIMULADOR DE PRECIOS'!F18</f>
            </strRef>
          </tx>
          <spPr>
            <a:solidFill xmlns:a="http://schemas.openxmlformats.org/drawingml/2006/main">
              <a:srgbClr val="0A52C4"/>
            </a:solidFill>
            <a:ln xmlns:a="http://schemas.openxmlformats.org/drawingml/2006/main">
              <a:prstDash val="solid"/>
            </a:ln>
          </spPr>
          <cat>
            <numRef>
              <f>'SIMULADOR DE PRECIOS'!$B$19:$B$21</f>
            </numRef>
          </cat>
          <val>
            <numRef>
              <f>'SIMULADOR DE PRECIOS'!$F$19:$F$21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1. Costo frente a precio de venta</a:t>
            </a:r>
          </a:p>
        </rich>
      </tx>
    </title>
    <plotArea>
      <barChart>
        <barDir val="bar"/>
        <grouping val="clustered"/>
        <ser>
          <idx val="0"/>
          <order val="0"/>
          <tx>
            <strRef>
              <f>'DASHBOARD'!D17</f>
            </strRef>
          </tx>
          <spPr>
            <a:solidFill xmlns:a="http://schemas.openxmlformats.org/drawingml/2006/main">
              <a:srgbClr val="0B2A7A"/>
            </a:solidFill>
            <a:ln xmlns:a="http://schemas.openxmlformats.org/drawingml/2006/main">
              <a:prstDash val="solid"/>
            </a:ln>
          </spPr>
          <cat>
            <numRef>
              <f>'DASHBOARD'!$C$18:$C$27</f>
            </numRef>
          </cat>
          <val>
            <numRef>
              <f>'DASHBOARD'!$D$18:$D$27</f>
            </numRef>
          </val>
        </ser>
        <ser>
          <idx val="1"/>
          <order val="1"/>
          <tx>
            <strRef>
              <f>'DASHBOARD'!E17</f>
            </strRef>
          </tx>
          <spPr>
            <a:solidFill xmlns:a="http://schemas.openxmlformats.org/drawingml/2006/main">
              <a:srgbClr val="FF7A00"/>
            </a:solidFill>
            <a:ln xmlns:a="http://schemas.openxmlformats.org/drawingml/2006/main">
              <a:prstDash val="solid"/>
            </a:ln>
          </spPr>
          <cat>
            <numRef>
              <f>'DASHBOARD'!$C$18:$C$27</f>
            </numRef>
          </cat>
          <val>
            <numRef>
              <f>'DASHBOARD'!$E$18:$E$27</f>
            </numRef>
          </val>
        </ser>
        <gapWidth val="15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2. Ganancia por producto (neta por unidad)</a:t>
            </a:r>
          </a:p>
        </rich>
      </tx>
    </title>
    <plotArea>
      <barChart>
        <barDir val="bar"/>
        <grouping val="clustered"/>
        <ser>
          <idx val="0"/>
          <order val="0"/>
          <tx>
            <strRef>
              <f>'DASHBOARD'!F17</f>
            </strRef>
          </tx>
          <spPr>
            <a:solidFill xmlns:a="http://schemas.openxmlformats.org/drawingml/2006/main">
              <a:srgbClr val="0A52C4"/>
            </a:solidFill>
            <a:ln xmlns:a="http://schemas.openxmlformats.org/drawingml/2006/main">
              <a:prstDash val="solid"/>
            </a:ln>
          </spPr>
          <cat>
            <numRef>
              <f>'DASHBOARD'!$C$18:$C$27</f>
            </numRef>
          </cat>
          <val>
            <numRef>
              <f>'DASHBOARD'!$F$18:$F$27</f>
            </numRef>
          </val>
        </ser>
        <gapWidth val="15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3. Margen de rentabilidad por producto</a:t>
            </a:r>
          </a:p>
        </rich>
      </tx>
    </title>
    <plotArea>
      <barChart>
        <barDir val="bar"/>
        <grouping val="clustered"/>
        <ser>
          <idx val="0"/>
          <order val="0"/>
          <tx>
            <strRef>
              <f>'DASHBOARD'!G17</f>
            </strRef>
          </tx>
          <spPr>
            <a:solidFill xmlns:a="http://schemas.openxmlformats.org/drawingml/2006/main">
              <a:srgbClr val="FF7A00"/>
            </a:solidFill>
            <a:ln xmlns:a="http://schemas.openxmlformats.org/drawingml/2006/main">
              <a:prstDash val="solid"/>
            </a:ln>
          </spPr>
          <cat>
            <numRef>
              <f>'DASHBOARD'!$C$18:$C$27</f>
            </numRef>
          </cat>
          <val>
            <numRef>
              <f>'DASHBOARD'!$G$18:$G$27</f>
            </numRef>
          </val>
        </ser>
        <gapWidth val="15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4. Distribución de costos del producto cargado en la CALCULADORA</a:t>
            </a:r>
          </a:p>
        </rich>
      </tx>
    </title>
    <plotArea>
      <pieChart>
        <varyColors val="1"/>
        <ser>
          <idx val="0"/>
          <order val="0"/>
          <spPr>
            <a:ln xmlns:a="http://schemas.openxmlformats.org/drawingml/2006/main">
              <a:prstDash val="solid"/>
            </a:ln>
          </spPr>
          <dPt>
            <idx val="0"/>
            <spPr>
              <a:solidFill xmlns:a="http://schemas.openxmlformats.org/drawingml/2006/main">
                <a:srgbClr val="0B2A7A"/>
              </a:solidFill>
              <a:ln xmlns:a="http://schemas.openxmlformats.org/drawingml/2006/main">
                <a:prstDash val="solid"/>
              </a:ln>
            </spPr>
          </dPt>
          <dPt>
            <idx val="1"/>
            <spPr>
              <a:solidFill xmlns:a="http://schemas.openxmlformats.org/drawingml/2006/main">
                <a:srgbClr val="0A52C4"/>
              </a:solidFill>
              <a:ln xmlns:a="http://schemas.openxmlformats.org/drawingml/2006/main">
                <a:prstDash val="solid"/>
              </a:ln>
            </spPr>
          </dPt>
          <dPt>
            <idx val="2"/>
            <spPr>
              <a:solidFill xmlns:a="http://schemas.openxmlformats.org/drawingml/2006/main">
                <a:srgbClr val="FF7A00"/>
              </a:solidFill>
              <a:ln xmlns:a="http://schemas.openxmlformats.org/drawingml/2006/main">
                <a:prstDash val="solid"/>
              </a:ln>
            </spPr>
          </dPt>
          <dPt>
            <idx val="3"/>
            <spPr>
              <a:solidFill xmlns:a="http://schemas.openxmlformats.org/drawingml/2006/main">
                <a:srgbClr val="7FA6E8"/>
              </a:solidFill>
              <a:ln xmlns:a="http://schemas.openxmlformats.org/drawingml/2006/main">
                <a:prstDash val="solid"/>
              </a:ln>
            </spPr>
          </dPt>
          <dPt>
            <idx val="4"/>
            <spPr>
              <a:solidFill xmlns:a="http://schemas.openxmlformats.org/drawingml/2006/main">
                <a:srgbClr val="FFB366"/>
              </a:solidFill>
              <a:ln xmlns:a="http://schemas.openxmlformats.org/drawingml/2006/main">
                <a:prstDash val="solid"/>
              </a:ln>
            </spPr>
          </dPt>
          <dPt>
            <idx val="5"/>
            <spPr>
              <a:solidFill xmlns:a="http://schemas.openxmlformats.org/drawingml/2006/main">
                <a:srgbClr val="5B6787"/>
              </a:solidFill>
              <a:ln xmlns:a="http://schemas.openxmlformats.org/drawingml/2006/main">
                <a:prstDash val="solid"/>
              </a:ln>
            </spPr>
          </dPt>
          <dPt>
            <idx val="6"/>
            <spPr>
              <a:solidFill xmlns:a="http://schemas.openxmlformats.org/drawingml/2006/main">
                <a:srgbClr val="9DB7E8"/>
              </a:solidFill>
              <a:ln xmlns:a="http://schemas.openxmlformats.org/drawingml/2006/main">
                <a:prstDash val="solid"/>
              </a:ln>
            </spPr>
          </dPt>
          <dPt>
            <idx val="7"/>
            <spPr>
              <a:solidFill xmlns:a="http://schemas.openxmlformats.org/drawingml/2006/main">
                <a:srgbClr val="C9D3EA"/>
              </a:solidFill>
              <a:ln xmlns:a="http://schemas.openxmlformats.org/drawingml/2006/main">
                <a:prstDash val="solid"/>
              </a:ln>
            </spPr>
          </dPt>
          <cat>
            <numRef>
              <f>'CALCULADORA'!$B$16:$B$23</f>
            </numRef>
          </cat>
          <val>
            <numRef>
              <f>'CALCULADORA'!$E$16:$E$23</f>
            </numRef>
          </val>
        </ser>
        <dLbls>
          <showVal val="0"/>
          <showCatName val="0"/>
          <showSerName val="0"/>
          <showPercent val="1"/>
          <showLeaderLines val="0"/>
        </dLbls>
        <firstSliceAng val="0"/>
      </pieChart>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5. Comparación de escenarios de precios (ganancia total)</a:t>
            </a:r>
          </a:p>
        </rich>
      </tx>
    </title>
    <plotArea>
      <barChart>
        <barDir val="col"/>
        <grouping val="clustered"/>
        <ser>
          <idx val="0"/>
          <order val="0"/>
          <tx>
            <strRef>
              <f>'SIMULADOR DE PRECIOS'!H18</f>
            </strRef>
          </tx>
          <spPr>
            <a:solidFill xmlns:a="http://schemas.openxmlformats.org/drawingml/2006/main">
              <a:srgbClr val="FF7A00"/>
            </a:solidFill>
            <a:ln xmlns:a="http://schemas.openxmlformats.org/drawingml/2006/main">
              <a:prstDash val="solid"/>
            </a:ln>
          </spPr>
          <cat>
            <numRef>
              <f>'SIMULADOR DE PRECIOS'!$B$19:$B$21</f>
            </numRef>
          </cat>
          <val>
            <numRef>
              <f>'SIMULADOR DE PRECIOS'!$H$19:$H$21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s>
</file>

<file path=xl/drawings/_rels/drawing3.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 Type="http://schemas.openxmlformats.org/officeDocument/2006/relationships/chart" Target="/xl/charts/chart6.xml" Id="rId3"/><Relationship Type="http://schemas.openxmlformats.org/officeDocument/2006/relationships/chart" Target="/xl/charts/chart7.xml" Id="rId4"/><Relationship Type="http://schemas.openxmlformats.org/officeDocument/2006/relationships/chart" Target="/xl/charts/chart8.xml" Id="rId5"/></Relationships>
</file>

<file path=xl/drawings/drawing1.xml><?xml version="1.0" encoding="utf-8"?>
<wsDr xmlns="http://schemas.openxmlformats.org/drawingml/2006/spreadsheetDrawing">
  <oneCellAnchor>
    <from>
      <col>15</col>
      <colOff>0</colOff>
      <row>5</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col>
      <colOff>0</colOff>
      <row>22</row>
      <rowOff>0</rowOff>
    </from>
    <ext cx="48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22</row>
      <rowOff>0</rowOff>
    </from>
    <ext cx="48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1</col>
      <colOff>0</colOff>
      <row>29</row>
      <rowOff>0</rowOff>
    </from>
    <ext cx="55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29</row>
      <rowOff>0</rowOff>
    </from>
    <ext cx="558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45</row>
      <rowOff>0</rowOff>
    </from>
    <ext cx="558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45</row>
      <rowOff>0</rowOff>
    </from>
    <ext cx="5580000" cy="27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col>
      <colOff>0</colOff>
      <row>61</row>
      <rowOff>0</rowOff>
    </from>
    <ext cx="5580000" cy="27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hyperlink" Target="https://mixshopdigital.com.py" TargetMode="External" Id="rId2"/><Relationship Type="http://schemas.openxmlformats.org/officeDocument/2006/relationships/hyperlink" Target="https://mixshopdigital.com.py" TargetMode="External" Id="rId3"/><Relationship Type="http://schemas.openxmlformats.org/officeDocument/2006/relationships/hyperlink" Target="https://mixshopdigital.com.py" TargetMode="External" Id="rId4"/></Relationships>
</file>

<file path=xl/worksheets/_rels/sheet2.xml.rels><Relationships xmlns="http://schemas.openxmlformats.org/package/2006/relationships"><Relationship Type="http://schemas.openxmlformats.org/officeDocument/2006/relationships/hyperlink" Target="https://mixshopdigital.com.py" TargetMode="External" Id="rId1"/></Relationships>
</file>

<file path=xl/worksheets/_rels/sheet3.xml.rels><Relationships xmlns="http://schemas.openxmlformats.org/package/2006/relationships"><Relationship Type="http://schemas.openxmlformats.org/officeDocument/2006/relationships/hyperlink" Target="https://mixshopdigital.com.py" TargetMode="External" Id="rId1"/></Relationships>
</file>

<file path=xl/worksheets/_rels/sheet4.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drawing" Target="/xl/drawings/drawing1.xml" Id="rId2"/></Relationships>
</file>

<file path=xl/worksheets/_rels/sheet5.xml.rels><Relationships xmlns="http://schemas.openxmlformats.org/package/2006/relationships"><Relationship Type="http://schemas.openxmlformats.org/officeDocument/2006/relationships/hyperlink" Target="https://mixshopdigital.com.py" TargetMode="External" Id="rId1"/></Relationships>
</file>

<file path=xl/worksheets/_rels/sheet6.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drawing" Target="/xl/drawings/drawing2.xml" Id="rId2"/></Relationships>
</file>

<file path=xl/worksheets/_rels/sheet7.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drawing" Target="/xl/drawings/drawing3.xml" Id="rId2"/></Relationships>
</file>

<file path=xl/worksheets/_rels/sheet8.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hyperlink" Target="https://mixshopdigital.com.py" TargetMode="External" Id="rId2"/></Relationships>
</file>

<file path=xl/worksheets/sheet1.xml><?xml version="1.0" encoding="utf-8"?>
<worksheet xmlns="http://schemas.openxmlformats.org/spreadsheetml/2006/main">
  <sheetPr>
    <tabColor rgb="00FF7A00"/>
    <outlinePr summaryBelow="1" summaryRight="1"/>
    <pageSetUpPr fitToPage="1"/>
  </sheetPr>
  <dimension ref="B1:M35"/>
  <sheetViews>
    <sheetView showGridLines="0" tabSelected="1" workbookViewId="0">
      <selection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30" customHeight="1">
      <c r="B1" s="1" t="inlineStr">
        <is>
          <t>MIX SHOP DIGITAL</t>
        </is>
      </c>
      <c r="F1" s="2" t="inlineStr">
        <is>
          <t>INICIO</t>
        </is>
      </c>
    </row>
    <row r="2" ht="18" customHeight="1">
      <c r="B2" s="3" t="inlineStr">
        <is>
          <t>Herramientas inteligentes que simplifican tu vida.</t>
        </is>
      </c>
      <c r="F2" s="4" t="inlineStr">
        <is>
          <t>Calculadora gratuita</t>
        </is>
      </c>
    </row>
    <row r="3" ht="4" customHeight="1">
      <c r="B3" s="5" t="n"/>
    </row>
    <row r="4" ht="20" customHeight="1">
      <c r="C4" s="6" t="inlineStr">
        <is>
          <t>Hacé clic en cualquier botón del menú para ir directo a esa hoja.</t>
        </is>
      </c>
    </row>
    <row r="5" ht="10" customHeight="1"/>
    <row r="6" ht="34" customHeight="1">
      <c r="B6" s="7" t="inlineStr">
        <is>
          <t>CALCULADORA INTELIGENTE DE PRECIOS Y GANANCIAS</t>
        </is>
      </c>
    </row>
    <row r="7" ht="20" customHeight="1">
      <c r="B7" s="8" t="inlineStr">
        <is>
          <t>VERSIÓN GRATUITA  ·  Hecha para emprendedores y pequeños negocios de Paraguay</t>
        </is>
      </c>
    </row>
    <row r="8" ht="36" customHeight="1">
      <c r="B8" s="9" t="inlineStr">
        <is>
          <t>Descubrí cuánto te cuesta realmente vender y cuánto ganás por cada producto.</t>
        </is>
      </c>
    </row>
    <row r="9" ht="10" customHeight="1"/>
    <row r="10" ht="22" customHeight="1">
      <c r="B10" s="10" t="inlineStr">
        <is>
          <t>Precio justo</t>
        </is>
      </c>
      <c r="E10" s="10" t="inlineStr">
        <is>
          <t>Hasta 200 productos</t>
        </is>
      </c>
      <c r="H10" s="10" t="inlineStr">
        <is>
          <t>Promociones y escenarios</t>
        </is>
      </c>
      <c r="K10" s="10" t="inlineStr">
        <is>
          <t>Panel de control</t>
        </is>
      </c>
    </row>
    <row r="11" ht="44" customHeight="1">
      <c r="B11" s="11" t="inlineStr">
        <is>
          <t>Calculá el precio mínimo y el recomendado sin perder dinero.</t>
        </is>
      </c>
      <c r="E11" s="11" t="inlineStr">
        <is>
          <t>Compará costos, precios y márgenes con alertas automáticas.</t>
        </is>
      </c>
      <c r="H11" s="11" t="inlineStr">
        <is>
          <t>Simulá descuentos, 2x1 y combos antes de aplicarlos.</t>
        </is>
      </c>
      <c r="K11" s="11" t="inlineStr">
        <is>
          <t>Indicadores y gráficos que te ayudan a decidir.</t>
        </is>
      </c>
    </row>
    <row r="12" ht="12" customHeight="1"/>
    <row r="13">
      <c r="B13" s="12" t="inlineStr">
        <is>
          <t>MENÚ</t>
        </is>
      </c>
    </row>
    <row r="14" ht="26" customHeight="1">
      <c r="B14" s="13" t="inlineStr">
        <is>
          <t>CONFIGURACIÓN</t>
        </is>
      </c>
      <c r="E14" s="13" t="inlineStr">
        <is>
          <t>CALCULADORA</t>
        </is>
      </c>
      <c r="H14" s="13" t="inlineStr">
        <is>
          <t>COMPARADOR</t>
        </is>
      </c>
      <c r="K14" s="13" t="inlineStr">
        <is>
          <t>COSTOS Y GASTOS</t>
        </is>
      </c>
    </row>
    <row r="15" ht="18" customHeight="1">
      <c r="B15" s="14" t="inlineStr">
        <is>
          <t>1. Tus datos y porcentajes</t>
        </is>
      </c>
      <c r="E15" s="14" t="inlineStr">
        <is>
          <t>2. Costo, precio y ganancia</t>
        </is>
      </c>
      <c r="H15" s="14" t="inlineStr">
        <is>
          <t>Hasta 200 productos</t>
        </is>
      </c>
      <c r="K15" s="14" t="inlineStr">
        <is>
          <t>Los gastos que se olvidan</t>
        </is>
      </c>
    </row>
    <row r="16" ht="6" customHeight="1"/>
    <row r="17" ht="26" customHeight="1">
      <c r="B17" s="13" t="inlineStr">
        <is>
          <t>SIMULADOR</t>
        </is>
      </c>
      <c r="E17" s="13" t="inlineStr">
        <is>
          <t>DASHBOARD</t>
        </is>
      </c>
      <c r="H17" s="13" t="inlineStr">
        <is>
          <t>GUÍA DE USO</t>
        </is>
      </c>
      <c r="K17" s="15" t="inlineStr">
        <is>
          <t>MI NEGOCIO PY</t>
        </is>
      </c>
    </row>
    <row r="18" ht="18" customHeight="1">
      <c r="B18" s="14" t="inlineStr">
        <is>
          <t>Escenarios y promociones</t>
        </is>
      </c>
      <c r="E18" s="14" t="inlineStr">
        <is>
          <t>Indicadores y gráficos</t>
        </is>
      </c>
      <c r="H18" s="14" t="inlineStr">
        <is>
          <t>Cómo usar la herramienta</t>
        </is>
      </c>
      <c r="K18" s="16" t="inlineStr">
        <is>
          <t>Todo tu negocio, en un solo lugar</t>
        </is>
      </c>
    </row>
    <row r="19" ht="6" customHeight="1"/>
    <row r="20" ht="10" customHeight="1"/>
    <row r="21">
      <c r="B21" s="12" t="inlineStr">
        <is>
          <t>EMPEZÁ EN 3 PASOS</t>
        </is>
      </c>
    </row>
    <row r="22" ht="24" customHeight="1">
      <c r="B22" s="17" t="inlineStr">
        <is>
          <t>1.  Configurá tu negocio</t>
        </is>
      </c>
      <c r="F22" s="17" t="inlineStr">
        <is>
          <t>2.  Cargá un producto</t>
        </is>
      </c>
      <c r="J22" s="17" t="inlineStr">
        <is>
          <t>3.  Mirá tus resultados</t>
        </is>
      </c>
    </row>
    <row r="23" ht="34" customHeight="1">
      <c r="B23" s="18" t="inlineStr">
        <is>
          <t>Cargá tu comisión, impuestos y el margen que querés ganar.</t>
        </is>
      </c>
      <c r="F23" s="18" t="inlineStr">
        <is>
          <t>En la CALCULADORA, ingresá lo que pagaste y tus costos.</t>
        </is>
      </c>
      <c r="J23" s="18" t="inlineStr">
        <is>
          <t>Precio recomendado, ganancia y alertas, al instante.</t>
        </is>
      </c>
    </row>
    <row r="24" ht="10" customHeight="1"/>
    <row r="25">
      <c r="B25" s="19" t="inlineStr">
        <is>
          <t>Completá solamente las celdas resaltadas.  Las fórmulas, gráficos y títulos están protegidos para que no se borren por accidente.</t>
        </is>
      </c>
    </row>
    <row r="26" ht="18" customHeight="1">
      <c r="B26" s="20" t="inlineStr">
        <is>
          <t>Azul claro: completás vos</t>
        </is>
      </c>
      <c r="C26" s="21" t="n"/>
      <c r="D26" s="22" t="inlineStr">
        <is>
          <t>Gris: automático</t>
        </is>
      </c>
      <c r="F26" s="23" t="inlineStr">
        <is>
          <t>Naranja: advertencia</t>
        </is>
      </c>
      <c r="H26" s="24" t="inlineStr">
        <is>
          <t>Verde: favorable</t>
        </is>
      </c>
      <c r="J26" s="25" t="inlineStr">
        <is>
          <t>Rojo: pérdida</t>
        </is>
      </c>
    </row>
    <row r="27" ht="10" customHeight="1"/>
    <row r="28" ht="18" customHeight="1">
      <c r="B28" s="6" t="inlineStr">
        <is>
          <t>¿Ves todo en blanco? Hacé clic en «Habilitar edición» en la barra amarilla de Excel para que se calculen las fórmulas.</t>
        </is>
      </c>
    </row>
    <row r="29" ht="18" customHeight="1"/>
    <row r="30" ht="34" customHeight="1">
      <c r="B30" s="26" t="inlineStr">
        <is>
          <t>Esta es una versión gratuita de Mix Shop Digital. Si querés gestionar todo tu negocio en un solo lugar, conocé Mi Negocio PY: el sistema de gestión para pequeños negocios de Paraguay.</t>
        </is>
      </c>
    </row>
    <row r="31" ht="18" customHeight="1">
      <c r="B31" s="27" t="inlineStr">
        <is>
          <t>→ mixshopdigital.com.py</t>
        </is>
      </c>
    </row>
    <row r="33" ht="8" customHeight="1">
      <c r="B33" s="28" t="n"/>
    </row>
    <row r="34" ht="16" customHeight="1">
      <c r="B34" s="29" t="inlineStr">
        <is>
          <t>MIX SHOP DIGITAL  ·  Herramientas inteligentes que simplifican tu vida.</t>
        </is>
      </c>
    </row>
    <row r="35" ht="16" customHeight="1">
      <c r="B35" s="30"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C527"/>
  <mergeCells count="53">
    <mergeCell ref="B11:D11"/>
    <mergeCell ref="E10:G10"/>
    <mergeCell ref="J22:M22"/>
    <mergeCell ref="B14:D14"/>
    <mergeCell ref="B17:D17"/>
    <mergeCell ref="B8:M8"/>
    <mergeCell ref="B13:M13"/>
    <mergeCell ref="H17:J17"/>
    <mergeCell ref="E15:G15"/>
    <mergeCell ref="H11:J11"/>
    <mergeCell ref="B10:D10"/>
    <mergeCell ref="J23:M23"/>
    <mergeCell ref="B34:M34"/>
    <mergeCell ref="C4:M4"/>
    <mergeCell ref="B28:M28"/>
    <mergeCell ref="E11:G11"/>
    <mergeCell ref="K14:M14"/>
    <mergeCell ref="D26:E26"/>
    <mergeCell ref="K17:M17"/>
    <mergeCell ref="B15:D15"/>
    <mergeCell ref="F26:G26"/>
    <mergeCell ref="B30:M30"/>
    <mergeCell ref="B22:E22"/>
    <mergeCell ref="J26:K26"/>
    <mergeCell ref="B6:M6"/>
    <mergeCell ref="H15:J15"/>
    <mergeCell ref="F2:M2"/>
    <mergeCell ref="B33:M33"/>
    <mergeCell ref="K10:M10"/>
    <mergeCell ref="H18:J18"/>
    <mergeCell ref="H14:J14"/>
    <mergeCell ref="E18:G18"/>
    <mergeCell ref="K18:M18"/>
    <mergeCell ref="B2:E2"/>
    <mergeCell ref="B35:M35"/>
    <mergeCell ref="K15:M15"/>
    <mergeCell ref="B23:E23"/>
    <mergeCell ref="B1:E1"/>
    <mergeCell ref="B7:M7"/>
    <mergeCell ref="H10:J10"/>
    <mergeCell ref="E14:G14"/>
    <mergeCell ref="B3:M3"/>
    <mergeCell ref="B25:M25"/>
    <mergeCell ref="H26:I26"/>
    <mergeCell ref="B31:M31"/>
    <mergeCell ref="B18:D18"/>
    <mergeCell ref="E17:G17"/>
    <mergeCell ref="B26:C26"/>
    <mergeCell ref="F23:I23"/>
    <mergeCell ref="B21:M21"/>
    <mergeCell ref="F1:M1"/>
    <mergeCell ref="K11:M11"/>
    <mergeCell ref="F22:I22"/>
  </mergeCells>
  <hyperlinks>
    <hyperlink ref="B14" location="'CONFIGURACIÓN'!A1" display="CONFIGURACIÓN"/>
    <hyperlink ref="E14" location="'CALCULADORA'!A1" display="CALCULADORA"/>
    <hyperlink ref="H14" location="'COMPARADOR DE PRODUCTOS'!A1" display="COMPARADOR"/>
    <hyperlink ref="K14" location="'COSTOS Y GASTOS'!A1" display="COSTOS Y GASTOS"/>
    <hyperlink ref="B15" location="'CONFIGURACIÓN'!A1" display="1. Tus datos y porcentajes"/>
    <hyperlink ref="E15" location="'CALCULADORA'!A1" display="2. Costo, precio y ganancia"/>
    <hyperlink ref="H15" location="'COMPARADOR DE PRODUCTOS'!A1" display="Hasta 200 productos"/>
    <hyperlink ref="K15" location="'COSTOS Y GASTOS'!A1" display="Los gastos que se olvidan"/>
    <hyperlink ref="B17" location="'SIMULADOR DE PRECIOS'!A1" display="SIMULADOR"/>
    <hyperlink ref="E17" location="'DASHBOARD'!A1" display="DASHBOARD"/>
    <hyperlink ref="H17" location="'GUÍA DE USO'!A1" display="GUÍA DE USO"/>
    <hyperlink xmlns:r="http://schemas.openxmlformats.org/officeDocument/2006/relationships" ref="K17" r:id="rId1"/>
    <hyperlink ref="B18" location="'SIMULADOR DE PRECIOS'!A1" display="Escenarios y promociones"/>
    <hyperlink ref="E18" location="'DASHBOARD'!A1" display="Indicadores y gráficos"/>
    <hyperlink ref="H18" location="'GUÍA DE USO'!A1" display="Cómo usar la herramienta"/>
    <hyperlink xmlns:r="http://schemas.openxmlformats.org/officeDocument/2006/relationships" ref="K18" r:id="rId2"/>
    <hyperlink xmlns:r="http://schemas.openxmlformats.org/officeDocument/2006/relationships" ref="B31" r:id="rId3"/>
    <hyperlink xmlns:r="http://schemas.openxmlformats.org/officeDocument/2006/relationships" ref="B35" r:id="rId4"/>
  </hyperlinks>
  <printOptions horizontalCentered="1"/>
  <pageMargins left="0.75" right="0.75" top="1" bottom="1" header="0.5" footer="0.5"/>
  <pageSetup orientation="landscape" paperSize="9" fitToHeight="1" fitToWidth="1"/>
  <headerFooter>
    <oddHeader>&amp;C&amp;"Arial,Bold"&amp;14 &amp;K0B2A7AMIX SHOP DIGITAL</oddHeader>
    <oddFooter>&amp;L&amp;8 MIX SHOP DIGITAL — Herramientas inteligentes que simplifican tu vida.&amp;C&amp;8 Versión gratuita · mixshopdigital.com.py&amp;R&amp;8 Pág. &amp;P de &amp;N</oddFooter>
    <evenHeader/>
    <evenFooter/>
    <firstHeader/>
    <firstFooter/>
  </headerFooter>
</worksheet>
</file>

<file path=xl/worksheets/sheet2.xml><?xml version="1.0" encoding="utf-8"?>
<worksheet xmlns="http://schemas.openxmlformats.org/spreadsheetml/2006/main">
  <sheetPr>
    <tabColor rgb="000A52C4"/>
    <outlinePr summaryBelow="1" summaryRight="1"/>
    <pageSetUpPr fitToPage="1"/>
  </sheetPr>
  <dimension ref="B1:G48"/>
  <sheetViews>
    <sheetView showGridLines="0" workbookViewId="0">
      <selection activeCell="A1" sqref="A1"/>
    </sheetView>
  </sheetViews>
  <sheetFormatPr baseColWidth="8" defaultRowHeight="15"/>
  <cols>
    <col width="2" customWidth="1" min="1" max="1"/>
    <col width="44" customWidth="1" min="2" max="2"/>
    <col width="26" customWidth="1" min="3" max="3"/>
    <col width="78" customWidth="1" min="4" max="4"/>
    <col hidden="1" width="13" customWidth="1" min="7" max="7"/>
  </cols>
  <sheetData>
    <row r="1" ht="30" customHeight="1">
      <c r="B1" s="1" t="inlineStr">
        <is>
          <t>MIX SHOP DIGITAL</t>
        </is>
      </c>
      <c r="C1" s="2" t="inlineStr">
        <is>
          <t>CONFIGURACIÓN</t>
        </is>
      </c>
    </row>
    <row r="2" ht="18" customHeight="1">
      <c r="B2" s="3" t="inlineStr">
        <is>
          <t>Herramientas inteligentes que simplifican tu vida.</t>
        </is>
      </c>
      <c r="C2" s="4" t="inlineStr">
        <is>
          <t>Datos de tu negocio y reglas de cálculo</t>
        </is>
      </c>
    </row>
    <row r="3" ht="4" customHeight="1">
      <c r="B3" s="5" t="n"/>
    </row>
    <row r="4" ht="20" customHeight="1">
      <c r="B4" s="31" t="inlineStr">
        <is>
          <t>← INICIO</t>
        </is>
      </c>
      <c r="C4" s="6" t="inlineStr">
        <is>
          <t>Completá solamente las celdas resaltadas. Todo lo que cargues acá alimenta automáticamente las demás hojas.</t>
        </is>
      </c>
    </row>
    <row r="6">
      <c r="B6" s="12" t="inlineStr">
        <is>
          <t>1. DATOS DE TU NEGOCIO</t>
        </is>
      </c>
    </row>
    <row r="7" ht="24" customHeight="1">
      <c r="B7" s="32" t="inlineStr">
        <is>
          <t>Nombre del negocio</t>
        </is>
      </c>
      <c r="C7" s="33" t="inlineStr">
        <is>
          <t>Tienda de María (EJEMPLO)</t>
        </is>
      </c>
      <c r="D7" s="34" t="inlineStr">
        <is>
          <t>Aparece en los reportes impresos.</t>
        </is>
      </c>
    </row>
    <row r="8" ht="24" customHeight="1">
      <c r="B8" s="32" t="inlineStr">
        <is>
          <t>Nombre del responsable</t>
        </is>
      </c>
      <c r="C8" s="33" t="inlineStr">
        <is>
          <t>María</t>
        </is>
      </c>
      <c r="D8" s="34" t="inlineStr">
        <is>
          <t>Persona que usa la calculadora (opcional).</t>
        </is>
      </c>
    </row>
    <row r="9" ht="24" customHeight="1">
      <c r="B9" s="32" t="inlineStr">
        <is>
          <t>Moneda utilizada</t>
        </is>
      </c>
      <c r="C9" s="33" t="inlineStr">
        <is>
          <t>Gs.</t>
        </is>
      </c>
      <c r="D9" s="34" t="inlineStr">
        <is>
          <t>Símbolo que se muestra en los títulos. Para guaraníes dejá «Gs.».</t>
        </is>
      </c>
    </row>
    <row r="10">
      <c r="B10" s="35" t="inlineStr">
        <is>
          <t>2. COSTOS Y PORCENTAJES HABITUALES</t>
        </is>
      </c>
    </row>
    <row r="11" ht="36" customHeight="1">
      <c r="B11" s="32" t="inlineStr">
        <is>
          <t>Comisión por ventas (%)</t>
        </is>
      </c>
      <c r="C11" s="36" t="n">
        <v>0.03</v>
      </c>
      <c r="D11" s="34" t="inlineStr">
        <is>
          <t>Porcentaje del precio de venta que se lleva la plataforma o el medio de pago (tarjeta, pasarela, marketplace). Ajustalo a tu realidad.</t>
        </is>
      </c>
    </row>
    <row r="12" ht="36" customHeight="1">
      <c r="B12" s="32" t="inlineStr">
        <is>
          <t>Impuestos o retenciones sobre ventas (%)</t>
        </is>
      </c>
      <c r="C12" s="36" t="n">
        <v>0</v>
      </c>
      <c r="D12" s="34" t="inlineStr">
        <is>
          <t>Se calcula sobre el precio de venta. Está en 0 % a propósito: cada negocio tiene una situación distinta. Consultá con tu contador y cargá el porcentaje que corresponda.</t>
        </is>
      </c>
    </row>
    <row r="13" ht="26" customHeight="1">
      <c r="B13" s="32" t="inlineStr">
        <is>
          <t>Costo de envío habitual (por unidad)</t>
        </is>
      </c>
      <c r="C13" s="37" t="n">
        <v>0</v>
      </c>
      <c r="D13" s="34" t="inlineStr">
        <is>
          <t>Se usa en la CALCULADORA cuando dejás vacío el campo de envío al cliente.</t>
        </is>
      </c>
    </row>
    <row r="14" ht="26" customHeight="1">
      <c r="B14" s="32" t="inlineStr">
        <is>
          <t>Costo de empaque habitual (por unidad)</t>
        </is>
      </c>
      <c r="C14" s="37" t="n">
        <v>1000</v>
      </c>
      <c r="D14" s="34" t="inlineStr">
        <is>
          <t>Bolsa, caja, cinta, etc. Se usa en la CALCULADORA si dejás vacío el campo de empaque.</t>
        </is>
      </c>
    </row>
    <row r="15" ht="26" customHeight="1">
      <c r="B15" s="32" t="inlineStr">
        <is>
          <t>Otros gastos habituales (por unidad)</t>
        </is>
      </c>
      <c r="C15" s="37" t="n">
        <v>0</v>
      </c>
      <c r="D15" s="34" t="inlineStr">
        <is>
          <t>Cualquier gasto variable que repetís en casi todos tus productos.</t>
        </is>
      </c>
    </row>
    <row r="16" ht="26" customHeight="1">
      <c r="B16" s="32" t="inlineStr">
        <is>
          <t>Margen de ganancia objetivo (%)</t>
        </is>
      </c>
      <c r="C16" s="36" t="n">
        <v>0.3</v>
      </c>
      <c r="D16" s="34" t="inlineStr">
        <is>
          <t>Cuánto querés ganar. Se interpreta según el método de cálculo elegido más abajo.</t>
        </is>
      </c>
    </row>
    <row r="17" ht="26" customHeight="1">
      <c r="B17" s="32" t="inlineStr">
        <is>
          <t>Margen mínimo aceptable (%)</t>
        </is>
      </c>
      <c r="C17" s="36" t="n">
        <v>0.1</v>
      </c>
      <c r="D17" s="34" t="inlineStr">
        <is>
          <t>Por debajo de este margen real la planilla te muestra una advertencia.</t>
        </is>
      </c>
    </row>
    <row r="18" ht="38" customHeight="1">
      <c r="B18" s="32" t="inlineStr">
        <is>
          <t>Método de cálculo preferido</t>
        </is>
      </c>
      <c r="C18" s="33" t="inlineStr">
        <is>
          <t>Margen sobre venta</t>
        </is>
      </c>
      <c r="D18" s="34" t="inlineStr">
        <is>
          <t>«Margen sobre venta»: el margen es un % del precio final (lo más usado y lo más seguro). «Recargo sobre costo»: el % se suma al costo (markup).</t>
        </is>
      </c>
    </row>
    <row r="19" ht="36" customHeight="1">
      <c r="B19" s="32" t="inlineStr">
        <is>
          <t>Redondear precios a múltiplos de</t>
        </is>
      </c>
      <c r="C19" s="37" t="n">
        <v>500</v>
      </c>
      <c r="D19" s="34" t="inlineStr">
        <is>
          <t>Ej.: 500 redondea hacia arriba a los 500 Gs. más cercanos (precios más prolijos). Poné 0 para no redondear.</t>
        </is>
      </c>
    </row>
    <row r="20" ht="26" customHeight="1">
      <c r="B20" s="32" t="inlineStr">
        <is>
          <t>Descuento habitual que podrías ofrecer (%)</t>
        </is>
      </c>
      <c r="C20" s="36" t="n">
        <v>0.1</v>
      </c>
      <c r="D20" s="34" t="inlineStr">
        <is>
          <t>Se usa en la CALCULADORA si no indicás un descuento para el producto.</t>
        </is>
      </c>
    </row>
    <row r="21" ht="26" customHeight="1">
      <c r="B21" s="32" t="inlineStr">
        <is>
          <t>Meta de ganancia a alcanzar</t>
        </is>
      </c>
      <c r="C21" s="37" t="n">
        <v>3000000</v>
      </c>
      <c r="D21" s="34" t="inlineStr">
        <is>
          <t>Ganancia neta que querés lograr. La CALCULADORA te dice cuántas unidades tenés que vender.</t>
        </is>
      </c>
    </row>
    <row r="23">
      <c r="B23" s="38" t="inlineStr">
        <is>
          <t>3. VALORES CALCULADOS (automáticos, no se modifican)</t>
        </is>
      </c>
    </row>
    <row r="24">
      <c r="B24" s="39" t="inlineStr">
        <is>
          <t>Divisor base  (1 − comisión − impuestos)</t>
        </is>
      </c>
      <c r="C24" s="40">
        <f>1-Comision-Impuesto</f>
        <v/>
      </c>
      <c r="D24" s="6" t="inlineStr">
        <is>
          <t>Parte del precio que te queda después de comisiones e impuestos.</t>
        </is>
      </c>
    </row>
    <row r="25">
      <c r="B25" s="39" t="inlineStr">
        <is>
          <t>Divisor para el precio objetivo</t>
        </is>
      </c>
      <c r="C25" s="40">
        <f>IF(Metodo="Margen sobre venta",1-Comision-Impuesto-MargenObj,(1-Comision-Impuesto)/(1+MargenObj))</f>
        <v/>
      </c>
      <c r="D25" s="6" t="inlineStr">
        <is>
          <t>Precio recomendado = costo ÷ este divisor.</t>
        </is>
      </c>
    </row>
    <row r="26">
      <c r="B26" s="39" t="inlineStr">
        <is>
          <t>Divisor para el precio promocional (mitad del margen)</t>
        </is>
      </c>
      <c r="C26" s="40">
        <f>IF(Metodo="Margen sobre venta",1-Comision-Impuesto-MargenObj/2,(1-Comision-Impuesto)/(1+MargenObj/2))</f>
        <v/>
      </c>
      <c r="D26" s="6" t="inlineStr">
        <is>
          <t>Precio promocional = costo ÷ este divisor.</t>
        </is>
      </c>
    </row>
    <row r="27">
      <c r="B27" s="39" t="inlineStr">
        <is>
          <t>Margen real objetivo equivalente</t>
        </is>
      </c>
      <c r="C27" s="41">
        <f>IF(Metodo="Margen sobre venta",MargenObj,MargenObj/(1+MargenObj))</f>
        <v/>
      </c>
      <c r="D27" s="6" t="inlineStr">
        <is>
          <t>Si elegiste recargo sobre costo, es el margen sobre venta que equivale a tu recargo.</t>
        </is>
      </c>
    </row>
    <row r="28">
      <c r="B28" s="32" t="inlineStr">
        <is>
          <t>Verificación de la configuración</t>
        </is>
      </c>
      <c r="C28" s="42">
        <f>IF(DivMargen&lt;=0,"⚠ Revisá: comisión + impuestos + margen superan el 100 %","✔ Configuración válida")</f>
        <v/>
      </c>
    </row>
    <row r="30">
      <c r="B30" s="35" t="inlineStr">
        <is>
          <t>4. TUS CATEGORÍAS DE PRODUCTOS (podés renombrarlas)</t>
        </is>
      </c>
      <c r="G30" t="inlineStr">
        <is>
          <t>Todas</t>
        </is>
      </c>
    </row>
    <row r="31">
      <c r="B31" s="33" t="inlineStr">
        <is>
          <t>Ropa y accesorios</t>
        </is>
      </c>
      <c r="C31" s="43" t="inlineStr">
        <is>
          <t>← categoría editable</t>
        </is>
      </c>
      <c r="G31">
        <f>IF(B31="","",B31)</f>
        <v/>
      </c>
    </row>
    <row r="32">
      <c r="B32" s="33" t="inlineStr">
        <is>
          <t>Alimentos y bebidas</t>
        </is>
      </c>
      <c r="C32" s="43" t="n"/>
      <c r="G32">
        <f>IF(B32="","",B32)</f>
        <v/>
      </c>
    </row>
    <row r="33">
      <c r="B33" s="33" t="inlineStr">
        <is>
          <t>Electrónica y celulares</t>
        </is>
      </c>
      <c r="C33" s="43" t="n"/>
      <c r="G33">
        <f>IF(B33="","",B33)</f>
        <v/>
      </c>
    </row>
    <row r="34">
      <c r="B34" s="33" t="inlineStr">
        <is>
          <t>Hogar y decoración</t>
        </is>
      </c>
      <c r="C34" s="43" t="n"/>
      <c r="G34">
        <f>IF(B34="","",B34)</f>
        <v/>
      </c>
    </row>
    <row r="35">
      <c r="B35" s="33" t="inlineStr">
        <is>
          <t>Belleza y cuidado personal</t>
        </is>
      </c>
      <c r="C35" s="43" t="n"/>
      <c r="G35">
        <f>IF(B35="","",B35)</f>
        <v/>
      </c>
    </row>
    <row r="36">
      <c r="B36" s="33" t="inlineStr">
        <is>
          <t>Herramientas y ferretería</t>
        </is>
      </c>
      <c r="C36" s="43" t="n"/>
      <c r="G36">
        <f>IF(B36="","",B36)</f>
        <v/>
      </c>
    </row>
    <row r="37">
      <c r="B37" s="33" t="inlineStr">
        <is>
          <t>Papelería y librería</t>
        </is>
      </c>
      <c r="C37" s="43" t="n"/>
      <c r="G37">
        <f>IF(B37="","",B37)</f>
        <v/>
      </c>
    </row>
    <row r="38">
      <c r="B38" s="33" t="inlineStr">
        <is>
          <t>Servicios</t>
        </is>
      </c>
      <c r="C38" s="43" t="n"/>
      <c r="G38">
        <f>IF(B38="","",B38)</f>
        <v/>
      </c>
    </row>
    <row r="39">
      <c r="B39" s="33" t="inlineStr">
        <is>
          <t>Mascotas</t>
        </is>
      </c>
      <c r="C39" s="43" t="n"/>
      <c r="G39">
        <f>IF(B39="","",B39)</f>
        <v/>
      </c>
    </row>
    <row r="40">
      <c r="B40" s="33" t="inlineStr">
        <is>
          <t>Otros</t>
        </is>
      </c>
      <c r="C40" s="43" t="n"/>
      <c r="G40">
        <f>IF(B40="","",B40)</f>
        <v/>
      </c>
    </row>
    <row r="41">
      <c r="B41" s="33" t="n"/>
      <c r="C41" s="43" t="n"/>
      <c r="G41">
        <f>IF(B41="","",B41)</f>
        <v/>
      </c>
    </row>
    <row r="42">
      <c r="B42" s="33" t="n"/>
      <c r="C42" s="43" t="n"/>
      <c r="G42">
        <f>IF(B42="","",B42)</f>
        <v/>
      </c>
    </row>
    <row r="44" ht="28" customHeight="1">
      <c r="B44" s="34" t="inlineStr">
        <is>
          <t>Importante: los impuestos y retenciones dependen de la situación particular de cada negocio. Esta herramienta no reemplaza el asesoramiento de un contador.</t>
        </is>
      </c>
    </row>
    <row r="46" ht="8" customHeight="1">
      <c r="B46" s="28" t="n"/>
    </row>
    <row r="47" ht="16" customHeight="1">
      <c r="B47" s="29" t="inlineStr">
        <is>
          <t>MIX SHOP DIGITAL  ·  Herramientas inteligentes que simplifican tu vida.</t>
        </is>
      </c>
    </row>
    <row r="48" ht="16" customHeight="1">
      <c r="B48" s="30"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C527"/>
  <mergeCells count="12">
    <mergeCell ref="B10:D10"/>
    <mergeCell ref="B3:D3"/>
    <mergeCell ref="C2:D2"/>
    <mergeCell ref="C1:D1"/>
    <mergeCell ref="B23:D23"/>
    <mergeCell ref="B46:D46"/>
    <mergeCell ref="C28:D28"/>
    <mergeCell ref="B30:D30"/>
    <mergeCell ref="B6:D6"/>
    <mergeCell ref="B47:D47"/>
    <mergeCell ref="B48:D48"/>
    <mergeCell ref="C4:D4"/>
  </mergeCells>
  <conditionalFormatting sqref="C28:D28">
    <cfRule type="expression" priority="1" dxfId="0" stopIfTrue="1">
      <formula>ISNUMBER(SEARCH("érdida",$C$28))+ISNUMBER(SEARCH("NO conviene",$C$28))+ISNUMBER(SEARCH("por debajo",$C$28))&gt;0</formula>
    </cfRule>
    <cfRule type="expression" priority="2" dxfId="1" stopIfTrue="1">
      <formula>LEFT($C$28,1)="⚠"</formula>
    </cfRule>
    <cfRule type="expression" priority="3" dxfId="2">
      <formula>LEFT($C$28,1)="✔"</formula>
    </cfRule>
  </conditionalFormatting>
  <dataValidations count="12">
    <dataValidation sqref="C9" showDropDown="0" showInputMessage="1" showErrorMessage="1" allowBlank="1" errorTitle="Valor no válido" error="Elegí un valor de la lista desplegable." promptTitle="Moneda" prompt="Elegí la moneda que usás." type="list" errorStyle="stop">
      <formula1>"Gs.,US$,R$,ARS $,€"</formula1>
    </dataValidation>
    <dataValidation sqref="C11"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12"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13"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14"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15"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16"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17"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19"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20"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21"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18" showDropDown="0" showInputMessage="1" showErrorMessage="1" allowBlank="0" errorTitle="Valor no válido" error="Elegí un valor de la lista desplegable." promptTitle="Método de cálculo" prompt="Margen sobre venta (recomendado) o Recargo sobre costo." type="list" errorStyle="stop">
      <formula1>"Margen sobre venta,Recargo sobre costo"</formula1>
    </dataValidation>
  </dataValidations>
  <hyperlinks>
    <hyperlink ref="B4" location="'INICIO'!A1" display="← INICIO"/>
    <hyperlink xmlns:r="http://schemas.openxmlformats.org/officeDocument/2006/relationships" ref="B48" r:id="rId1"/>
  </hyperlinks>
  <printOptions horizontalCentered="1"/>
  <pageMargins left="0.75" right="0.75" top="1" bottom="1" header="0.5" footer="0.5"/>
  <pageSetup orientation="landscape" paperSize="9" fitToHeight="1" fitToWidth="1"/>
  <headerFooter>
    <oddHeader>&amp;C&amp;"Arial,Bold"&amp;14 &amp;K0B2A7AMIX SHOP DIGITAL</oddHeader>
    <oddFooter>&amp;L&amp;8 MIX SHOP DIGITAL — Herramientas inteligentes que simplifican tu vida.&amp;C&amp;8 Versión gratuita · mixshopdigital.com.py&amp;R&amp;8 Pág. &amp;P de &amp;N</oddFooter>
    <evenHeader/>
    <evenFooter/>
    <firstHeader/>
    <firstFooter/>
  </headerFooter>
</worksheet>
</file>

<file path=xl/worksheets/sheet3.xml><?xml version="1.0" encoding="utf-8"?>
<worksheet xmlns="http://schemas.openxmlformats.org/spreadsheetml/2006/main">
  <sheetPr>
    <tabColor rgb="000A52C4"/>
    <outlinePr summaryBelow="1" summaryRight="1"/>
    <pageSetUpPr fitToPage="1"/>
  </sheetPr>
  <dimension ref="B1:J40"/>
  <sheetViews>
    <sheetView showGridLines="0" workbookViewId="0">
      <selection activeCell="A1" sqref="A1"/>
    </sheetView>
  </sheetViews>
  <sheetFormatPr baseColWidth="8" defaultRowHeight="15"/>
  <cols>
    <col width="2" customWidth="1" min="1" max="1"/>
    <col width="40" customWidth="1" min="2" max="2"/>
    <col width="17" customWidth="1" min="3" max="3"/>
    <col width="17" customWidth="1" min="4" max="4"/>
    <col width="17" customWidth="1" min="5" max="5"/>
    <col width="3" customWidth="1" min="6" max="6"/>
    <col width="38" customWidth="1" min="7" max="7"/>
    <col width="17" customWidth="1" min="8" max="8"/>
    <col width="46" customWidth="1" min="9" max="9"/>
    <col width="3" customWidth="1" min="10" max="10"/>
  </cols>
  <sheetData>
    <row r="1" ht="30" customHeight="1">
      <c r="B1" s="1" t="inlineStr">
        <is>
          <t>MIX SHOP DIGITAL</t>
        </is>
      </c>
      <c r="F1" s="2" t="inlineStr">
        <is>
          <t>CALCULADORA</t>
        </is>
      </c>
    </row>
    <row r="2" ht="18" customHeight="1">
      <c r="B2" s="3" t="inlineStr">
        <is>
          <t>Herramientas inteligentes que simplifican tu vida.</t>
        </is>
      </c>
      <c r="F2" s="4" t="inlineStr">
        <is>
          <t>Costo real, precio recomendado y ganancia</t>
        </is>
      </c>
    </row>
    <row r="3" ht="4" customHeight="1">
      <c r="B3" s="5" t="n"/>
    </row>
    <row r="4" ht="20" customHeight="1">
      <c r="B4" s="31" t="inlineStr">
        <is>
          <t>← INICIO</t>
        </is>
      </c>
      <c r="C4" s="6" t="inlineStr">
        <is>
          <t>Completá solamente las celdas resaltadas. Si dejás un campo en blanco, se usa el valor de CONFIGURACIÓN.</t>
        </is>
      </c>
    </row>
    <row r="5" ht="16" customHeight="1">
      <c r="B5" s="44" t="inlineStr">
        <is>
          <t>PRECIO RECOMENDADO</t>
        </is>
      </c>
      <c r="D5" s="44" t="inlineStr">
        <is>
          <t>GANANCIA NETA POR UNIDAD</t>
        </is>
      </c>
      <c r="G5" s="44" t="inlineStr">
        <is>
          <t>MARGEN REAL SOBRE LA VENTA</t>
        </is>
      </c>
      <c r="H5" s="44" t="inlineStr">
        <is>
          <t>PRECIO MÍNIMO (SIN PÉRDIDA)</t>
        </is>
      </c>
    </row>
    <row r="6" ht="30" customHeight="1">
      <c r="B6" s="45">
        <f>H14</f>
        <v/>
      </c>
      <c r="D6" s="46">
        <f>H16</f>
        <v/>
      </c>
      <c r="G6" s="47">
        <f>H17</f>
        <v/>
      </c>
      <c r="H6" s="48">
        <f>H12</f>
        <v/>
      </c>
    </row>
    <row r="7" ht="15" customHeight="1">
      <c r="B7" s="49">
        <f>"por unidad · "&amp;Moneda</f>
        <v/>
      </c>
      <c r="D7" s="49">
        <f>"por unidad · "&amp;Moneda</f>
        <v/>
      </c>
      <c r="G7" s="49" t="inlineStr">
        <is>
          <t>ganancia ÷ precio de venta</t>
        </is>
      </c>
      <c r="H7" s="49">
        <f>"por debajo perdés · "&amp;Moneda</f>
        <v/>
      </c>
    </row>
    <row r="9">
      <c r="B9" s="12" t="inlineStr">
        <is>
          <t>1. DATOS DEL PRODUCTO Y SUS COSTOS</t>
        </is>
      </c>
      <c r="G9" s="50" t="inlineStr">
        <is>
          <t>3. RESULTADOS AUTOMÁTICOS</t>
        </is>
      </c>
    </row>
    <row r="10" ht="26" customHeight="1">
      <c r="B10" s="51" t="inlineStr">
        <is>
          <t>Concepto</t>
        </is>
      </c>
      <c r="C10" s="51" t="inlineStr">
        <is>
          <t>Monto que ingresás</t>
        </is>
      </c>
      <c r="D10" s="51" t="inlineStr">
        <is>
          <t>Se aplica a</t>
        </is>
      </c>
      <c r="E10" s="51" t="inlineStr">
        <is>
          <t>Costo por unidad</t>
        </is>
      </c>
      <c r="G10" s="52" t="inlineStr">
        <is>
          <t>Resultado</t>
        </is>
      </c>
      <c r="H10" s="52" t="inlineStr">
        <is>
          <t>Valor</t>
        </is>
      </c>
      <c r="I10" s="52" t="inlineStr">
        <is>
          <t>Estado / cómo leerlo</t>
        </is>
      </c>
    </row>
    <row r="11" ht="21" customHeight="1">
      <c r="B11" s="32" t="inlineStr">
        <is>
          <t>Nombre del producto</t>
        </is>
      </c>
      <c r="C11" s="33" t="inlineStr">
        <is>
          <t>Remera básica de algodón (EJEMPLO)</t>
        </is>
      </c>
      <c r="G11" s="39" t="inlineStr">
        <is>
          <t>Costo total unitario</t>
        </is>
      </c>
      <c r="H11" s="53">
        <f>E24</f>
        <v/>
      </c>
      <c r="I11" s="54" t="inlineStr">
        <is>
          <t>Todo lo que te cuesta cada unidad.</t>
        </is>
      </c>
    </row>
    <row r="12" ht="21" customHeight="1">
      <c r="B12" s="32" t="inlineStr">
        <is>
          <t>Código o SKU</t>
        </is>
      </c>
      <c r="C12" s="33" t="inlineStr">
        <is>
          <t>RB-001</t>
        </is>
      </c>
      <c r="G12" s="39" t="inlineStr">
        <is>
          <t>Precio mínimo para no perder dinero</t>
        </is>
      </c>
      <c r="H12" s="53">
        <f>IF(OR(E24&lt;=0,H29&lt;=0),0,E24/H29)</f>
        <v/>
      </c>
      <c r="I12" s="54" t="inlineStr">
        <is>
          <t>Por debajo de este precio perdés plata.</t>
        </is>
      </c>
    </row>
    <row r="13" ht="21" customHeight="1">
      <c r="B13" s="32" t="inlineStr">
        <is>
          <t>Categoría</t>
        </is>
      </c>
      <c r="C13" s="33" t="inlineStr">
        <is>
          <t>Ropa y accesorios</t>
        </is>
      </c>
      <c r="G13" s="39" t="inlineStr">
        <is>
          <t>Precio con margen objetivo (exacto)</t>
        </is>
      </c>
      <c r="H13" s="53">
        <f>IF(OR(E24&lt;=0,H30&lt;=0),0,E24/H30)</f>
        <v/>
      </c>
      <c r="I13" s="54" t="inlineStr">
        <is>
          <t>Resuelto matemáticamente, sin sumar % al costo.</t>
        </is>
      </c>
    </row>
    <row r="14" ht="26" customHeight="1">
      <c r="B14" s="32" t="inlineStr">
        <is>
          <t>Proveedor</t>
        </is>
      </c>
      <c r="C14" s="33" t="inlineStr">
        <is>
          <t>Proveedor Ejemplo S.A.</t>
        </is>
      </c>
      <c r="G14" s="55" t="inlineStr">
        <is>
          <t>PRECIO RECOMENDADO</t>
        </is>
      </c>
      <c r="H14" s="56">
        <f>IF(H13=0,0,IF(Redondeo&gt;0,CEILING(H13,Redondeo),H13))</f>
        <v/>
      </c>
      <c r="I14" s="54" t="inlineStr">
        <is>
          <t>Precio sugerido (redondeado hacia arriba).</t>
        </is>
      </c>
    </row>
    <row r="15" ht="21" customHeight="1">
      <c r="B15" s="39" t="inlineStr">
        <is>
          <t>Cantidad adquirida (unidades)</t>
        </is>
      </c>
      <c r="C15" s="57" t="n">
        <v>50</v>
      </c>
      <c r="D15" s="58" t="inlineStr">
        <is>
          <t>unidades</t>
        </is>
      </c>
      <c r="E15" s="59" t="n"/>
      <c r="G15" s="39" t="inlineStr">
        <is>
          <t>Ganancia bruta por unidad</t>
        </is>
      </c>
      <c r="H15" s="53">
        <f>H14-E24</f>
        <v/>
      </c>
      <c r="I15" s="54" t="inlineStr">
        <is>
          <t>Precio − costo, antes de comisiones e impuestos.</t>
        </is>
      </c>
    </row>
    <row r="16" ht="21" customHeight="1">
      <c r="B16" s="39" t="inlineStr">
        <is>
          <t>Costo total de compra (lote)</t>
        </is>
      </c>
      <c r="C16" s="37" t="n">
        <v>1250000</v>
      </c>
      <c r="D16" s="58" t="inlineStr">
        <is>
          <t>Lote completo</t>
        </is>
      </c>
      <c r="E16" s="53">
        <f>IF(C16="",0,C16/IF(N(C15)&gt;0,C15,1))</f>
        <v/>
      </c>
      <c r="G16" s="32" t="inlineStr">
        <is>
          <t>Ganancia neta estimada por unidad</t>
        </is>
      </c>
      <c r="H16" s="60">
        <f>H14*H29-E24</f>
        <v/>
      </c>
      <c r="I16" s="61">
        <f>IF(H14=0,"",IF(H16&lt;0,"✖ Pérdida por unidad","✔ Ganancia por unidad"))</f>
        <v/>
      </c>
    </row>
    <row r="17" ht="21" customHeight="1">
      <c r="B17" s="39" t="inlineStr">
        <is>
          <t>Transporte o importación</t>
        </is>
      </c>
      <c r="C17" s="37" t="n">
        <v>100000</v>
      </c>
      <c r="D17" s="62" t="inlineStr">
        <is>
          <t>Lote completo</t>
        </is>
      </c>
      <c r="E17" s="53">
        <f>IF(C17="",0,IF(D17="Lote completo",C17/IF(N($C$15)&gt;0,$C$15,1),C17))</f>
        <v/>
      </c>
      <c r="G17" s="32" t="inlineStr">
        <is>
          <t>Margen real sobre el precio de venta</t>
        </is>
      </c>
      <c r="H17" s="63">
        <f>IF(H14=0,0,H16/H14)</f>
        <v/>
      </c>
      <c r="I17" s="61">
        <f>IF(H14=0,"",IF(H17&lt;0,"✖ Pérdida",IF(H17&lt;MargenMin,"⚠ Margen insuficiente","✔ Margen saludable")))</f>
        <v/>
      </c>
    </row>
    <row r="18" ht="21" customHeight="1">
      <c r="B18" s="39" t="inlineStr">
        <is>
          <t>Envío al cliente</t>
        </is>
      </c>
      <c r="C18" s="37" t="n">
        <v>15000</v>
      </c>
      <c r="D18" s="62" t="inlineStr">
        <is>
          <t>Por unidad</t>
        </is>
      </c>
      <c r="E18" s="53">
        <f>IF(C18="",EnvioHab,IF(D18="Lote completo",C18/IF(N($C$15)&gt;0,$C$15,1),C18))</f>
        <v/>
      </c>
      <c r="G18" s="39" t="inlineStr">
        <is>
          <t>Rentabilidad sobre el costo (recargo)</t>
        </is>
      </c>
      <c r="H18" s="64">
        <f>IF(E24=0,0,H16/E24)</f>
        <v/>
      </c>
      <c r="I18" s="54" t="inlineStr">
        <is>
          <t>Ganancia neta ÷ costo. No es lo mismo que el margen.</t>
        </is>
      </c>
    </row>
    <row r="19" ht="21" customHeight="1">
      <c r="B19" s="39" t="inlineStr">
        <is>
          <t>Empaque</t>
        </is>
      </c>
      <c r="C19" s="37" t="n">
        <v>1500</v>
      </c>
      <c r="D19" s="62" t="inlineStr">
        <is>
          <t>Por unidad</t>
        </is>
      </c>
      <c r="E19" s="53">
        <f>IF(C19="",EmpaqueHab,IF(D19="Lote completo",C19/IF(N($C$15)&gt;0,$C$15,1),C19))</f>
        <v/>
      </c>
      <c r="G19" s="39" t="inlineStr">
        <is>
          <t>Ganancia total estimada del lote</t>
        </is>
      </c>
      <c r="H19" s="53">
        <f>H16*E34</f>
        <v/>
      </c>
      <c r="I19" s="54">
        <f>"Con "&amp;FIXED(E34,0)&amp;" unidades disponibles"</f>
        <v/>
      </c>
    </row>
    <row r="20" ht="21" customHeight="1">
      <c r="B20" s="39" t="inlineStr">
        <is>
          <t>Etiquetas y presentación</t>
        </is>
      </c>
      <c r="C20" s="37" t="n">
        <v>60000</v>
      </c>
      <c r="D20" s="62" t="inlineStr">
        <is>
          <t>Lote completo</t>
        </is>
      </c>
      <c r="E20" s="53">
        <f>IF(C20="",0,IF(D20="Lote completo",C20/IF(N($C$15)&gt;0,$C$15,1),C20))</f>
        <v/>
      </c>
      <c r="G20" s="39" t="inlineStr">
        <is>
          <t>Precio promocional posible</t>
        </is>
      </c>
      <c r="H20" s="53">
        <f>IF(OR(E24&lt;=0,H31&lt;=0),0,IF(Redondeo&gt;0,CEILING(E24/H31,Redondeo),E24/H31))</f>
        <v/>
      </c>
      <c r="I20" s="54" t="inlineStr">
        <is>
          <t>Conserva la mitad de tu margen objetivo.</t>
        </is>
      </c>
    </row>
    <row r="21" ht="21" customHeight="1">
      <c r="B21" s="39" t="inlineStr">
        <is>
          <t>Otros costos variables</t>
        </is>
      </c>
      <c r="C21" s="37" t="n"/>
      <c r="D21" s="62" t="inlineStr">
        <is>
          <t>Por unidad</t>
        </is>
      </c>
      <c r="E21" s="53">
        <f>IF(C21="",OtrosHab,IF(D21="Lote completo",C21/IF(N($C$15)&gt;0,$C$15,1),C21))</f>
        <v/>
      </c>
      <c r="G21" s="39" t="inlineStr">
        <is>
          <t>Precio después del descuento</t>
        </is>
      </c>
      <c r="H21" s="53">
        <f>H14*(1-E32)</f>
        <v/>
      </c>
      <c r="I21" s="54">
        <f>"Descuento aplicado: "&amp;ROUND(E32*100,1)&amp;" %"</f>
        <v/>
      </c>
    </row>
    <row r="22" ht="21" customHeight="1">
      <c r="B22" s="39" t="inlineStr">
        <is>
          <t>Otros costos asignables</t>
        </is>
      </c>
      <c r="C22" s="37" t="n"/>
      <c r="D22" s="62" t="inlineStr">
        <is>
          <t>Por unidad</t>
        </is>
      </c>
      <c r="E22" s="53">
        <f>IF(C22="",0,IF(D22="Lote completo",C22/IF(N($C$15)&gt;0,$C$15,1),C22))</f>
        <v/>
      </c>
      <c r="G22" s="39" t="inlineStr">
        <is>
          <t>Ganancia neta después del descuento</t>
        </is>
      </c>
      <c r="H22" s="53">
        <f>H21*H29-E24</f>
        <v/>
      </c>
      <c r="I22" s="61">
        <f>IF(H21=0,"",IF(H22&lt;0,"✖ Con este descuento perdés",IF(H22/H21&lt;MargenMin,"⚠ Margen bajo con descuento","✔ Sigue siendo rentable")))</f>
        <v/>
      </c>
    </row>
    <row r="23" ht="21" customHeight="1">
      <c r="B23" s="39" t="inlineStr">
        <is>
          <t>Incluir costos fijos (por unidad)</t>
        </is>
      </c>
      <c r="C23" s="62" t="inlineStr">
        <is>
          <t>No</t>
        </is>
      </c>
      <c r="D23" s="58" t="inlineStr">
        <is>
          <t>¿incluir?</t>
        </is>
      </c>
      <c r="E23" s="53">
        <f>IF(C23="Sí",CostoFijoUnit,0)</f>
        <v/>
      </c>
      <c r="G23" s="39" t="inlineStr">
        <is>
          <t>Unidades para alcanzar tu meta</t>
        </is>
      </c>
      <c r="H23" s="65">
        <f>IF(OR(H14=0,H16&lt;=0),"N/D",ROUNDUP(E35/H16,0))</f>
        <v/>
      </c>
      <c r="I23" s="54">
        <f>"Meta: "&amp;FIXED(E35,0)&amp;" "&amp;Moneda</f>
        <v/>
      </c>
    </row>
    <row r="24" ht="21" customHeight="1">
      <c r="B24" s="12" t="inlineStr">
        <is>
          <t>COSTO TOTAL UNITARIO</t>
        </is>
      </c>
      <c r="E24" s="66">
        <f>IF(N(C16)&lt;=0,0,SUM(E16:E23))</f>
        <v/>
      </c>
      <c r="G24" s="39" t="inlineStr">
        <is>
          <t>Ganancia neta con tu precio actual</t>
        </is>
      </c>
      <c r="H24" s="53">
        <f>IF(E33&lt;=0,0,E33*H29-E24)</f>
        <v/>
      </c>
      <c r="I24" s="61">
        <f>IF(E33&lt;=0,"Cargá tu precio actual",IF(H24&lt;0,"✖ Vendés por debajo del costo","✔ Ganancia con precio actual"))</f>
        <v/>
      </c>
    </row>
    <row r="25" ht="21" customHeight="1">
      <c r="B25" s="67" t="inlineStr">
        <is>
          <t>Chequeo</t>
        </is>
      </c>
      <c r="C25" s="68">
        <f>IF(AND(N(C16)&gt;0,N(C15)&lt;=0),"⚠ Indicá la cantidad adquirida",IF(E24=0,"Cargá el costo de compra para ver resultados","✔ Datos completos"))</f>
        <v/>
      </c>
      <c r="G25" s="39" t="inlineStr">
        <is>
          <t>Margen real con tu precio actual</t>
        </is>
      </c>
      <c r="H25" s="64">
        <f>IF(E33&lt;=0,0,H24/E33)</f>
        <v/>
      </c>
      <c r="I25" s="61">
        <f>IF(E33&lt;=0,"",IF(H25&lt;0,"✖ Pérdida",IF(H25&lt;MargenMin,"⚠ Margen insuficiente","✔ Precio actual rentable")))</f>
        <v/>
      </c>
    </row>
    <row r="27">
      <c r="B27" s="35" t="inlineStr">
        <is>
          <t>2. PARÁMETROS COMERCIALES</t>
        </is>
      </c>
      <c r="G27" s="38" t="inlineStr">
        <is>
          <t>Detalle técnico del cálculo</t>
        </is>
      </c>
    </row>
    <row r="28" ht="26" customHeight="1">
      <c r="B28" s="51" t="inlineStr">
        <is>
          <t>Concepto</t>
        </is>
      </c>
      <c r="C28" s="51" t="inlineStr">
        <is>
          <t>Tu dato (opcional)</t>
        </is>
      </c>
      <c r="D28" s="51" t="inlineStr">
        <is>
          <t>Si lo dejás vacío</t>
        </is>
      </c>
      <c r="E28" s="51" t="inlineStr">
        <is>
          <t>Valor que se usa</t>
        </is>
      </c>
      <c r="G28" s="6">
        <f>"Método activo: "&amp;Metodo</f>
        <v/>
      </c>
    </row>
    <row r="29" ht="20" customHeight="1">
      <c r="B29" s="39" t="inlineStr">
        <is>
          <t>Margen de ganancia deseado (%)</t>
        </is>
      </c>
      <c r="C29" s="36" t="n"/>
      <c r="D29" s="69" t="inlineStr">
        <is>
          <t>usa CONFIGURACIÓN</t>
        </is>
      </c>
      <c r="E29" s="70">
        <f>IF(C29="",MargenObj,C29)</f>
        <v/>
      </c>
      <c r="G29" s="67" t="inlineStr">
        <is>
          <t>Divisor base = 1 − comisión − impuestos</t>
        </is>
      </c>
      <c r="H29" s="71">
        <f>1-E30-E31</f>
        <v/>
      </c>
      <c r="I29" s="61">
        <f>IF(MIN(H29:H31)&lt;=0,"⚠ Revisá comisión, impuestos y margen: suman 100 % o más","")</f>
        <v/>
      </c>
    </row>
    <row r="30" ht="20" customHeight="1">
      <c r="B30" s="39" t="inlineStr">
        <is>
          <t>Comisión de plataforma / medio de pago (%)</t>
        </is>
      </c>
      <c r="C30" s="36" t="n"/>
      <c r="D30" s="69" t="inlineStr">
        <is>
          <t>usa CONFIGURACIÓN</t>
        </is>
      </c>
      <c r="E30" s="70">
        <f>IF(C30="",Comision,C30)</f>
        <v/>
      </c>
      <c r="G30" s="67" t="inlineStr">
        <is>
          <t>Divisor del precio objetivo</t>
        </is>
      </c>
      <c r="H30" s="71">
        <f>IF(Metodo="Margen sobre venta",H29-E29,H29/(1+E29))</f>
        <v/>
      </c>
    </row>
    <row r="31" ht="20" customHeight="1">
      <c r="B31" s="39" t="inlineStr">
        <is>
          <t>Impuestos o retenciones sobre ventas (%)</t>
        </is>
      </c>
      <c r="C31" s="36" t="n"/>
      <c r="D31" s="69" t="inlineStr">
        <is>
          <t>usa CONFIGURACIÓN</t>
        </is>
      </c>
      <c r="E31" s="70">
        <f>IF(C31="",Impuesto,C31)</f>
        <v/>
      </c>
      <c r="G31" s="67" t="inlineStr">
        <is>
          <t>Divisor del precio promocional</t>
        </is>
      </c>
      <c r="H31" s="71">
        <f>IF(Metodo="Margen sobre venta",H29-E29/2,H29/(1+E29/2))</f>
        <v/>
      </c>
    </row>
    <row r="32" ht="20" customHeight="1">
      <c r="B32" s="39" t="inlineStr">
        <is>
          <t>Descuento que podrías ofrecer (%)</t>
        </is>
      </c>
      <c r="C32" s="36" t="n"/>
      <c r="D32" s="69" t="inlineStr">
        <is>
          <t>usa CONFIGURACIÓN</t>
        </is>
      </c>
      <c r="E32" s="70">
        <f>IF(C32="",DescHab,C32)</f>
        <v/>
      </c>
    </row>
    <row r="33" ht="26" customHeight="1">
      <c r="B33" s="39" t="inlineStr">
        <is>
          <t>Precio de venta actual</t>
        </is>
      </c>
      <c r="C33" s="37" t="n">
        <v>60000</v>
      </c>
      <c r="D33" s="69" t="inlineStr">
        <is>
          <t>sin precio actual</t>
        </is>
      </c>
      <c r="E33" s="72">
        <f>IF(C33="",0,C33)</f>
        <v/>
      </c>
      <c r="G33" s="73" t="inlineStr">
        <is>
          <t>Fórmulas: Precio = Costo ÷ Divisor.  Ganancia neta = Precio × divisor base − Costo.</t>
        </is>
      </c>
    </row>
    <row r="34" ht="20" customHeight="1">
      <c r="B34" s="39" t="inlineStr">
        <is>
          <t>Unidades disponibles</t>
        </is>
      </c>
      <c r="C34" s="37" t="n">
        <v>50</v>
      </c>
      <c r="D34" s="69" t="inlineStr">
        <is>
          <t>usa la cantidad adquirida</t>
        </is>
      </c>
      <c r="E34" s="72">
        <f>IF(C34="",N(C15),C34)</f>
        <v/>
      </c>
    </row>
    <row r="35" ht="20" customHeight="1">
      <c r="B35" s="39" t="inlineStr">
        <is>
          <t>Meta de ganancia neta a alcanzar</t>
        </is>
      </c>
      <c r="C35" s="37" t="n"/>
      <c r="D35" s="69" t="inlineStr">
        <is>
          <t>usa CONFIGURACIÓN</t>
        </is>
      </c>
      <c r="E35" s="72">
        <f>IF(C35="",MetaGan,C35)</f>
        <v/>
      </c>
      <c r="G35" s="74" t="inlineStr">
        <is>
          <t>Colores:</t>
        </is>
      </c>
    </row>
    <row r="36">
      <c r="G36" s="20" t="inlineStr">
        <is>
          <t>Azul claro: completás vos</t>
        </is>
      </c>
      <c r="H36" s="22" t="inlineStr">
        <is>
          <t>Gris: automático</t>
        </is>
      </c>
      <c r="I36" s="23" t="inlineStr">
        <is>
          <t>Naranja: advertencia · Rojo: pérdida · Verde: favorable</t>
        </is>
      </c>
    </row>
    <row r="38" ht="8" customHeight="1">
      <c r="B38" s="28" t="n"/>
    </row>
    <row r="39" ht="16" customHeight="1">
      <c r="B39" s="29" t="inlineStr">
        <is>
          <t>MIX SHOP DIGITAL  ·  Herramientas inteligentes que simplifican tu vida.</t>
        </is>
      </c>
    </row>
    <row r="40" ht="16" customHeight="1">
      <c r="B40" s="30"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C527"/>
  <mergeCells count="29">
    <mergeCell ref="B9:E9"/>
    <mergeCell ref="B7:C7"/>
    <mergeCell ref="I29:I31"/>
    <mergeCell ref="C12:E12"/>
    <mergeCell ref="B38:J38"/>
    <mergeCell ref="C4:J4"/>
    <mergeCell ref="D6:E6"/>
    <mergeCell ref="C11:E11"/>
    <mergeCell ref="H6:I6"/>
    <mergeCell ref="B40:J40"/>
    <mergeCell ref="B24:D24"/>
    <mergeCell ref="F2:J2"/>
    <mergeCell ref="B27:E27"/>
    <mergeCell ref="D7:E7"/>
    <mergeCell ref="C13:E13"/>
    <mergeCell ref="H7:I7"/>
    <mergeCell ref="G9:I9"/>
    <mergeCell ref="B2:E2"/>
    <mergeCell ref="B6:C6"/>
    <mergeCell ref="B3:J3"/>
    <mergeCell ref="B1:E1"/>
    <mergeCell ref="C14:E14"/>
    <mergeCell ref="G27:I27"/>
    <mergeCell ref="B5:C5"/>
    <mergeCell ref="D5:E5"/>
    <mergeCell ref="H5:I5"/>
    <mergeCell ref="F1:J1"/>
    <mergeCell ref="B39:J39"/>
    <mergeCell ref="C25:E25"/>
  </mergeCells>
  <conditionalFormatting sqref="D6:E6">
    <cfRule type="cellIs" priority="1" operator="lessThan" dxfId="3">
      <formula>0</formula>
    </cfRule>
  </conditionalFormatting>
  <conditionalFormatting sqref="G6">
    <cfRule type="expression" priority="2" dxfId="3">
      <formula>AND($H$14&gt;0,$H$17&lt;0)</formula>
    </cfRule>
    <cfRule type="expression" priority="3" dxfId="4">
      <formula>AND($H$14&gt;0,$H$17&lt;MargenMin)</formula>
    </cfRule>
    <cfRule type="expression" priority="4" dxfId="5">
      <formula>$H$14&gt;0</formula>
    </cfRule>
  </conditionalFormatting>
  <conditionalFormatting sqref="C25:E25">
    <cfRule type="expression" priority="5" dxfId="0" stopIfTrue="1">
      <formula>ISNUMBER(SEARCH("érdida",$C$25))+ISNUMBER(SEARCH("NO conviene",$C$25))+ISNUMBER(SEARCH("por debajo",$C$25))&gt;0</formula>
    </cfRule>
    <cfRule type="expression" priority="6" dxfId="1" stopIfTrue="1">
      <formula>LEFT($C$25,1)="⚠"</formula>
    </cfRule>
    <cfRule type="expression" priority="7" dxfId="2">
      <formula>LEFT($C$25,1)="✔"</formula>
    </cfRule>
  </conditionalFormatting>
  <conditionalFormatting sqref="C33">
    <cfRule type="expression" priority="8" dxfId="0">
      <formula>AND(N($C$33)&gt;0,N($C$33)&lt;$E$24)</formula>
    </cfRule>
  </conditionalFormatting>
  <conditionalFormatting sqref="I16:I25">
    <cfRule type="expression" priority="9" dxfId="0" stopIfTrue="1">
      <formula>ISNUMBER(SEARCH("érdida",$I16))+ISNUMBER(SEARCH("NO conviene",$I16))+ISNUMBER(SEARCH("por debajo",$I16))&gt;0</formula>
    </cfRule>
    <cfRule type="expression" priority="10" dxfId="1" stopIfTrue="1">
      <formula>LEFT($I16,1)="⚠"</formula>
    </cfRule>
    <cfRule type="expression" priority="11" dxfId="2">
      <formula>LEFT($I16,1)="✔"</formula>
    </cfRule>
  </conditionalFormatting>
  <conditionalFormatting sqref="H16">
    <cfRule type="cellIs" priority="12" operator="lessThan" dxfId="0">
      <formula>0</formula>
    </cfRule>
    <cfRule type="cellIs" priority="13" operator="greaterThan" dxfId="2">
      <formula>0</formula>
    </cfRule>
  </conditionalFormatting>
  <conditionalFormatting sqref="H22">
    <cfRule type="cellIs" priority="14" operator="lessThan" dxfId="0">
      <formula>0</formula>
    </cfRule>
  </conditionalFormatting>
  <conditionalFormatting sqref="H24">
    <cfRule type="expression" priority="15" dxfId="0">
      <formula>AND($E$33&gt;0,$H$24&lt;0)</formula>
    </cfRule>
    <cfRule type="expression" priority="16" dxfId="2">
      <formula>AND($E$33&gt;0,$H$24&gt;0)</formula>
    </cfRule>
  </conditionalFormatting>
  <conditionalFormatting sqref="H17">
    <cfRule type="expression" priority="17" dxfId="0" stopIfTrue="1">
      <formula>AND($H$14&gt;0,H17&lt;0)</formula>
    </cfRule>
    <cfRule type="expression" priority="18" dxfId="1" stopIfTrue="1">
      <formula>AND($H$14&gt;0,H17&lt;MargenMin)</formula>
    </cfRule>
    <cfRule type="expression" priority="19" dxfId="2">
      <formula>$H$14&gt;0</formula>
    </cfRule>
  </conditionalFormatting>
  <conditionalFormatting sqref="H25">
    <cfRule type="expression" priority="20" dxfId="0" stopIfTrue="1">
      <formula>AND($E$33&gt;0,H25&lt;0)</formula>
    </cfRule>
    <cfRule type="expression" priority="21" dxfId="1" stopIfTrue="1">
      <formula>AND($E$33&gt;0,H25&lt;MargenMin)</formula>
    </cfRule>
    <cfRule type="expression" priority="22" dxfId="2">
      <formula>$E$33&gt;0</formula>
    </cfRule>
  </conditionalFormatting>
  <conditionalFormatting sqref="I29:I31">
    <cfRule type="expression" priority="23" dxfId="0" stopIfTrue="1">
      <formula>ISNUMBER(SEARCH("érdida",$I$29))+ISNUMBER(SEARCH("NO conviene",$I$29))+ISNUMBER(SEARCH("por debajo",$I$29))&gt;0</formula>
    </cfRule>
    <cfRule type="expression" priority="24" dxfId="1" stopIfTrue="1">
      <formula>LEFT($I$29,1)="⚠"</formula>
    </cfRule>
    <cfRule type="expression" priority="25" dxfId="2">
      <formula>LEFT($I$29,1)="✔"</formula>
    </cfRule>
  </conditionalFormatting>
  <dataValidations count="23">
    <dataValidation sqref="C13" showDropDown="0" showInputMessage="1" showErrorMessage="1" allowBlank="1" errorTitle="Valor no válido" error="Elegí un valor de la lista desplegable." promptTitle="Categoría" prompt="Elegí una categoría (podés editarlas en CONFIGURACIÓN)." type="list" errorStyle="stop">
      <formula1>Categorias</formula1>
    </dataValidation>
    <dataValidation sqref="C15" showDropDown="0" showInputMessage="1" showErrorMessage="1" allowBlank="1" errorTitle="Dato no válido" error="Ingresá un número válido. No se aceptan valores negativos ni texto." promptTitle="Cantidad adquirida" prompt="Cuántas unidades compraste en este lote. Ej.: 50" type="decimal" operator="greaterThanOrEqual">
      <formula1>0</formula1>
    </dataValidation>
    <dataValidation sqref="C16" showDropDown="0" showInputMessage="1" showErrorMessage="1" allowBlank="1" errorTitle="Dato no válido" error="Ingresá un número válido. No se aceptan valores negativos ni texto." promptTitle="Costo total de compra" prompt="Lo que pagaste por TODO el lote. Para servicios, ingresá el costo de materiales o mano de obra." type="decimal" operator="greaterThanOrEqual">
      <formula1>0</formula1>
    </dataValidation>
    <dataValidation sqref="C17" showDropDown="0" showInputMessage="1" showErrorMessage="1" allowBlank="1" errorTitle="Dato no válido" error="Ingresá un número válido. No se aceptan valores negativos ni texto." promptTitle="Transporte o importación" prompt="Monto en la moneda elegida. Indicá si es por unidad o del lote completo." type="decimal" operator="greaterThanOrEqual">
      <formula1>0</formula1>
    </dataValidation>
    <dataValidation sqref="D17" showDropDown="0" showInputMessage="1" showErrorMessage="1" allowBlank="1" errorTitle="Valor no válido" error="Elegí un valor de la lista desplegable." promptTitle="¿A qué corresponde?" prompt="«Por unidad»: costo de cada unidad. «Lote completo»: costo total que se reparte entre las unidades." type="list" errorStyle="stop">
      <formula1>"Por unidad,Lote completo"</formula1>
    </dataValidation>
    <dataValidation sqref="C18" showDropDown="0" showInputMessage="1" showErrorMessage="1" allowBlank="1" errorTitle="Dato no válido" error="Ingresá un número válido. No se aceptan valores negativos ni texto." promptTitle="Envío al cliente" prompt="Monto en la moneda elegida. Indicá si es por unidad o del lote completo." type="decimal" operator="greaterThanOrEqual">
      <formula1>0</formula1>
    </dataValidation>
    <dataValidation sqref="D18" showDropDown="0" showInputMessage="1" showErrorMessage="1" allowBlank="1" errorTitle="Valor no válido" error="Elegí un valor de la lista desplegable." promptTitle="¿A qué corresponde?" prompt="«Por unidad»: costo de cada unidad. «Lote completo»: costo total que se reparte entre las unidades." type="list" errorStyle="stop">
      <formula1>"Por unidad,Lote completo"</formula1>
    </dataValidation>
    <dataValidation sqref="C19" showDropDown="0" showInputMessage="1" showErrorMessage="1" allowBlank="1" errorTitle="Dato no válido" error="Ingresá un número válido. No se aceptan valores negativos ni texto." promptTitle="Empaque" prompt="Monto en la moneda elegida. Indicá si es por unidad o del lote completo." type="decimal" operator="greaterThanOrEqual">
      <formula1>0</formula1>
    </dataValidation>
    <dataValidation sqref="D19" showDropDown="0" showInputMessage="1" showErrorMessage="1" allowBlank="1" errorTitle="Valor no válido" error="Elegí un valor de la lista desplegable." promptTitle="¿A qué corresponde?" prompt="«Por unidad»: costo de cada unidad. «Lote completo»: costo total que se reparte entre las unidades." type="list" errorStyle="stop">
      <formula1>"Por unidad,Lote completo"</formula1>
    </dataValidation>
    <dataValidation sqref="C20" showDropDown="0" showInputMessage="1" showErrorMessage="1" allowBlank="1" errorTitle="Dato no válido" error="Ingresá un número válido. No se aceptan valores negativos ni texto." promptTitle="Etiquetas y presentación" prompt="Monto en la moneda elegida. Indicá si es por unidad o del lote completo." type="decimal" operator="greaterThanOrEqual">
      <formula1>0</formula1>
    </dataValidation>
    <dataValidation sqref="D20" showDropDown="0" showInputMessage="1" showErrorMessage="1" allowBlank="1" errorTitle="Valor no válido" error="Elegí un valor de la lista desplegable." promptTitle="¿A qué corresponde?" prompt="«Por unidad»: costo de cada unidad. «Lote completo»: costo total que se reparte entre las unidades." type="list" errorStyle="stop">
      <formula1>"Por unidad,Lote completo"</formula1>
    </dataValidation>
    <dataValidation sqref="C21" showDropDown="0" showInputMessage="1" showErrorMessage="1" allowBlank="1" errorTitle="Dato no válido" error="Ingresá un número válido. No se aceptan valores negativos ni texto." promptTitle="Otros costos variables" prompt="Monto en la moneda elegida. Indicá si es por unidad o del lote completo." type="decimal" operator="greaterThanOrEqual">
      <formula1>0</formula1>
    </dataValidation>
    <dataValidation sqref="D21" showDropDown="0" showInputMessage="1" showErrorMessage="1" allowBlank="1" errorTitle="Valor no válido" error="Elegí un valor de la lista desplegable." promptTitle="¿A qué corresponde?" prompt="«Por unidad»: costo de cada unidad. «Lote completo»: costo total que se reparte entre las unidades." type="list" errorStyle="stop">
      <formula1>"Por unidad,Lote completo"</formula1>
    </dataValidation>
    <dataValidation sqref="C22" showDropDown="0" showInputMessage="1" showErrorMessage="1" allowBlank="1" errorTitle="Dato no válido" error="Ingresá un número válido. No se aceptan valores negativos ni texto." promptTitle="Otros costos asignables" prompt="Monto en la moneda elegida. Indicá si es por unidad o del lote completo." type="decimal" operator="greaterThanOrEqual">
      <formula1>0</formula1>
    </dataValidation>
    <dataValidation sqref="D22" showDropDown="0" showInputMessage="1" showErrorMessage="1" allowBlank="1" errorTitle="Valor no válido" error="Elegí un valor de la lista desplegable." promptTitle="¿A qué corresponde?" prompt="«Por unidad»: costo de cada unidad. «Lote completo»: costo total que se reparte entre las unidades." type="list" errorStyle="stop">
      <formula1>"Por unidad,Lote completo"</formula1>
    </dataValidation>
    <dataValidation sqref="C23" showDropDown="0" showInputMessage="1" showErrorMessage="1" allowBlank="1" errorTitle="Valor no válido" error="Elegí un valor de la lista desplegable." promptTitle="¿Incluir costos fijos?" prompt="Elegí «Sí» para sumar la parte de tus costos fijos que cargaste en la hoja COSTOS Y GASTOS." type="list" errorStyle="stop">
      <formula1>"Sí,No"</formula1>
    </dataValidation>
    <dataValidation sqref="C29"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30"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31"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32"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33"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34"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35"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s>
  <hyperlinks>
    <hyperlink ref="B4" location="'INICIO'!A1" display="← INICIO"/>
    <hyperlink xmlns:r="http://schemas.openxmlformats.org/officeDocument/2006/relationships" ref="B40" r:id="rId1"/>
  </hyperlinks>
  <printOptions horizontalCentered="1"/>
  <pageMargins left="0.75" right="0.75" top="1" bottom="1" header="0.5" footer="0.5"/>
  <pageSetup orientation="landscape" paperSize="9" fitToHeight="1" fitToWidth="1"/>
  <headerFooter>
    <oddHeader>&amp;C&amp;"Arial,Bold"&amp;14 &amp;K0B2A7AMIX SHOP DIGITAL</oddHeader>
    <oddFooter>&amp;L&amp;8 MIX SHOP DIGITAL — Herramientas inteligentes que simplifican tu vida.&amp;C&amp;8 Versión gratuita · mixshopdigital.com.py&amp;R&amp;8 Pág. &amp;P de &amp;N</oddFooter>
    <evenHeader/>
    <evenFooter/>
    <firstHeader/>
    <firstFooter/>
  </headerFooter>
</worksheet>
</file>

<file path=xl/worksheets/sheet4.xml><?xml version="1.0" encoding="utf-8"?>
<worksheet xmlns="http://schemas.openxmlformats.org/spreadsheetml/2006/main">
  <sheetPr>
    <tabColor rgb="000A52C4"/>
    <outlinePr summaryBelow="1" summaryRight="1"/>
    <pageSetUpPr fitToPage="1"/>
  </sheetPr>
  <dimension ref="B1:X210"/>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 customWidth="1" min="1" max="1"/>
    <col width="13" customWidth="1" min="2" max="2"/>
    <col width="34" customWidth="1" min="3" max="3"/>
    <col width="24" customWidth="1" min="4" max="4"/>
    <col width="15" customWidth="1" min="5" max="5"/>
    <col width="15" customWidth="1" min="6" max="6"/>
    <col width="16" customWidth="1" min="7" max="7"/>
    <col width="16" customWidth="1" min="8" max="8"/>
    <col width="12" customWidth="1" min="9" max="9"/>
    <col width="11" customWidth="1" min="10" max="10"/>
    <col width="16" customWidth="1" min="11" max="11"/>
    <col width="16" customWidth="1" min="12" max="12"/>
    <col width="28" customWidth="1" min="13" max="13"/>
    <col width="11" customWidth="1" min="14" max="14"/>
    <col hidden="1" width="13" customWidth="1" min="23" max="23"/>
    <col hidden="1" width="13" customWidth="1" min="24" max="24"/>
  </cols>
  <sheetData>
    <row r="1" ht="30" customHeight="1">
      <c r="B1" s="1" t="inlineStr">
        <is>
          <t>MIX SHOP DIGITAL</t>
        </is>
      </c>
      <c r="E1" s="2" t="inlineStr">
        <is>
          <t>COMPARADOR DE PRODUCTOS</t>
        </is>
      </c>
    </row>
    <row r="2" ht="18" customHeight="1">
      <c r="B2" s="3" t="inlineStr">
        <is>
          <t>Herramientas inteligentes que simplifican tu vida.</t>
        </is>
      </c>
      <c r="E2" s="4" t="inlineStr">
        <is>
          <t>Hasta 200 productos · rentabilidad automática</t>
        </is>
      </c>
    </row>
    <row r="3" ht="4" customHeight="1">
      <c r="B3" s="5" t="n"/>
    </row>
    <row r="4" ht="20" customHeight="1">
      <c r="B4" s="31" t="inlineStr">
        <is>
          <t>← INICIO</t>
        </is>
      </c>
      <c r="C4" s="6" t="inlineStr">
        <is>
          <t>Completá solamente las celdas resaltadas. En «Costo unitario» poné el costo TOTAL por unidad (compra + envío + empaque + otros).</t>
        </is>
      </c>
    </row>
    <row r="5">
      <c r="B5" s="74">
        <f>"Estado de la tabla: "&amp;SUMPRODUCT((C7:C206&lt;&gt;"")*(E7:E206&gt;0))&amp;" productos cargados · Alertas: "&amp;COUNTIF(L7:L206,"PÉRDIDA")&amp;" con pérdida y "&amp;COUNTIF(L7:L206,"Margen bajo")&amp;" con margen bajo"</f>
        <v/>
      </c>
    </row>
    <row r="6" ht="32" customHeight="1">
      <c r="B6" s="75" t="inlineStr">
        <is>
          <t>Código</t>
        </is>
      </c>
      <c r="C6" s="75" t="inlineStr">
        <is>
          <t>Producto</t>
        </is>
      </c>
      <c r="D6" s="75" t="inlineStr">
        <is>
          <t>Categoría</t>
        </is>
      </c>
      <c r="E6" s="75" t="inlineStr">
        <is>
          <t>Costo unitario</t>
        </is>
      </c>
      <c r="F6" s="75" t="inlineStr">
        <is>
          <t>Precio actual</t>
        </is>
      </c>
      <c r="G6" s="76" t="inlineStr">
        <is>
          <t>Precio recomendado</t>
        </is>
      </c>
      <c r="H6" s="76" t="inlineStr">
        <is>
          <t>Ganancia por unidad</t>
        </is>
      </c>
      <c r="I6" s="76" t="inlineStr">
        <is>
          <t>Margen %</t>
        </is>
      </c>
      <c r="J6" s="75" t="inlineStr">
        <is>
          <t>Stock disponible</t>
        </is>
      </c>
      <c r="K6" s="76" t="inlineStr">
        <is>
          <t>Valor del stock (a costo)</t>
        </is>
      </c>
      <c r="L6" s="76" t="inlineStr">
        <is>
          <t>Estado de rentabilidad</t>
        </is>
      </c>
      <c r="M6" s="75" t="inlineStr">
        <is>
          <t>Observaciones</t>
        </is>
      </c>
      <c r="N6" s="76" t="inlineStr">
        <is>
          <t>Ranking</t>
        </is>
      </c>
    </row>
    <row r="7">
      <c r="B7" s="77" t="inlineStr">
        <is>
          <t>RB-001</t>
        </is>
      </c>
      <c r="C7" s="77" t="inlineStr">
        <is>
          <t>Remera básica de algodón</t>
        </is>
      </c>
      <c r="D7" s="77" t="inlineStr">
        <is>
          <t>Ropa y accesorios</t>
        </is>
      </c>
      <c r="E7" s="78" t="n">
        <v>28500</v>
      </c>
      <c r="F7" s="78" t="n">
        <v>60000</v>
      </c>
      <c r="G7" s="79">
        <f>IF(OR(C7="",E7&lt;=0,DivMargen&lt;=0),0,IF(Redondeo&gt;0,CEILING(E7/DivMargen,Redondeo),E7/DivMargen))</f>
        <v/>
      </c>
      <c r="H7" s="79">
        <f>IF(OR(C7="",E7&lt;=0,F7&lt;=0),0,F7*DivBase-E7)</f>
        <v/>
      </c>
      <c r="I7" s="80">
        <f>IF(OR(C7="",E7&lt;=0,F7&lt;=0),0,H7/F7)</f>
        <v/>
      </c>
      <c r="J7" s="78" t="n">
        <v>50</v>
      </c>
      <c r="K7" s="79">
        <f>IF(OR(C7="",E7&lt;=0),0,E7*J7)</f>
        <v/>
      </c>
      <c r="L7" s="68">
        <f>IF(OR(C7="",E7&lt;=0),"",IF(F7&lt;=0,"Sin precio",IF(H7&lt;0,"PÉRDIDA",IF(I7&lt;MargenMin,"Margen bajo",IF(I7&lt;MargenObjReal,"Aceptable","Rentable")))))</f>
        <v/>
      </c>
      <c r="M7" s="77" t="n"/>
      <c r="N7" s="81">
        <f>IF(ISNUMBER(W7),RANK(W7,$W$7:$W$206),"")</f>
        <v/>
      </c>
      <c r="W7" s="82">
        <f>IF(AND(C7&lt;&gt;"",E7&gt;0,F7&gt;0),H7+ROW()/1000000000,"")</f>
        <v/>
      </c>
      <c r="X7" s="82">
        <f>IF(AND(C7&lt;&gt;"",E7&gt;0,F7&gt;0,OR(CatSel="Todas",D7=CatSel)),H7+ROW()/1000000000,"")</f>
        <v/>
      </c>
    </row>
    <row r="8">
      <c r="B8" s="77" t="inlineStr">
        <is>
          <t>RB-002</t>
        </is>
      </c>
      <c r="C8" s="77" t="inlineStr">
        <is>
          <t>Remera estampada</t>
        </is>
      </c>
      <c r="D8" s="77" t="inlineStr">
        <is>
          <t>Ropa y accesorios</t>
        </is>
      </c>
      <c r="E8" s="78" t="n">
        <v>32000</v>
      </c>
      <c r="F8" s="78" t="n">
        <v>55000</v>
      </c>
      <c r="G8" s="79">
        <f>IF(OR(C8="",E8&lt;=0,DivMargen&lt;=0),0,IF(Redondeo&gt;0,CEILING(E8/DivMargen,Redondeo),E8/DivMargen))</f>
        <v/>
      </c>
      <c r="H8" s="79">
        <f>IF(OR(C8="",E8&lt;=0,F8&lt;=0),0,F8*DivBase-E8)</f>
        <v/>
      </c>
      <c r="I8" s="80">
        <f>IF(OR(C8="",E8&lt;=0,F8&lt;=0),0,H8/F8)</f>
        <v/>
      </c>
      <c r="J8" s="78" t="n">
        <v>30</v>
      </c>
      <c r="K8" s="79">
        <f>IF(OR(C8="",E8&lt;=0),0,E8*J8)</f>
        <v/>
      </c>
      <c r="L8" s="68">
        <f>IF(OR(C8="",E8&lt;=0),"",IF(F8&lt;=0,"Sin precio",IF(H8&lt;0,"PÉRDIDA",IF(I8&lt;MargenMin,"Margen bajo",IF(I8&lt;MargenObjReal,"Aceptable","Rentable")))))</f>
        <v/>
      </c>
      <c r="M8" s="77" t="n"/>
      <c r="N8" s="81">
        <f>IF(ISNUMBER(W8),RANK(W8,$W$7:$W$206),"")</f>
        <v/>
      </c>
      <c r="W8" s="82">
        <f>IF(AND(C8&lt;&gt;"",E8&gt;0,F8&gt;0),H8+ROW()/1000000000,"")</f>
        <v/>
      </c>
      <c r="X8" s="82">
        <f>IF(AND(C8&lt;&gt;"",E8&gt;0,F8&gt;0,OR(CatSel="Todas",D8=CatSel)),H8+ROW()/1000000000,"")</f>
        <v/>
      </c>
    </row>
    <row r="9">
      <c r="B9" s="77" t="inlineStr">
        <is>
          <t>JN-010</t>
        </is>
      </c>
      <c r="C9" s="77" t="inlineStr">
        <is>
          <t>Jean clásico</t>
        </is>
      </c>
      <c r="D9" s="77" t="inlineStr">
        <is>
          <t>Ropa y accesorios</t>
        </is>
      </c>
      <c r="E9" s="78" t="n">
        <v>95000</v>
      </c>
      <c r="F9" s="78" t="n">
        <v>160000</v>
      </c>
      <c r="G9" s="79">
        <f>IF(OR(C9="",E9&lt;=0,DivMargen&lt;=0),0,IF(Redondeo&gt;0,CEILING(E9/DivMargen,Redondeo),E9/DivMargen))</f>
        <v/>
      </c>
      <c r="H9" s="79">
        <f>IF(OR(C9="",E9&lt;=0,F9&lt;=0),0,F9*DivBase-E9)</f>
        <v/>
      </c>
      <c r="I9" s="80">
        <f>IF(OR(C9="",E9&lt;=0,F9&lt;=0),0,H9/F9)</f>
        <v/>
      </c>
      <c r="J9" s="78" t="n">
        <v>20</v>
      </c>
      <c r="K9" s="79">
        <f>IF(OR(C9="",E9&lt;=0),0,E9*J9)</f>
        <v/>
      </c>
      <c r="L9" s="68">
        <f>IF(OR(C9="",E9&lt;=0),"",IF(F9&lt;=0,"Sin precio",IF(H9&lt;0,"PÉRDIDA",IF(I9&lt;MargenMin,"Margen bajo",IF(I9&lt;MargenObjReal,"Aceptable","Rentable")))))</f>
        <v/>
      </c>
      <c r="M9" s="77" t="n"/>
      <c r="N9" s="81">
        <f>IF(ISNUMBER(W9),RANK(W9,$W$7:$W$206),"")</f>
        <v/>
      </c>
      <c r="W9" s="82">
        <f>IF(AND(C9&lt;&gt;"",E9&gt;0,F9&gt;0),H9+ROW()/1000000000,"")</f>
        <v/>
      </c>
      <c r="X9" s="82">
        <f>IF(AND(C9&lt;&gt;"",E9&gt;0,F9&gt;0,OR(CatSel="Todas",D9=CatSel)),H9+ROW()/1000000000,"")</f>
        <v/>
      </c>
    </row>
    <row r="10">
      <c r="B10" s="77" t="inlineStr">
        <is>
          <t>GR-001</t>
        </is>
      </c>
      <c r="C10" s="77" t="inlineStr">
        <is>
          <t>Gorra deportiva</t>
        </is>
      </c>
      <c r="D10" s="77" t="inlineStr">
        <is>
          <t>Ropa y accesorios</t>
        </is>
      </c>
      <c r="E10" s="78" t="n">
        <v>18000</v>
      </c>
      <c r="F10" s="78" t="n">
        <v>25000</v>
      </c>
      <c r="G10" s="79">
        <f>IF(OR(C10="",E10&lt;=0,DivMargen&lt;=0),0,IF(Redondeo&gt;0,CEILING(E10/DivMargen,Redondeo),E10/DivMargen))</f>
        <v/>
      </c>
      <c r="H10" s="79">
        <f>IF(OR(C10="",E10&lt;=0,F10&lt;=0),0,F10*DivBase-E10)</f>
        <v/>
      </c>
      <c r="I10" s="80">
        <f>IF(OR(C10="",E10&lt;=0,F10&lt;=0),0,H10/F10)</f>
        <v/>
      </c>
      <c r="J10" s="78" t="n">
        <v>40</v>
      </c>
      <c r="K10" s="79">
        <f>IF(OR(C10="",E10&lt;=0),0,E10*J10)</f>
        <v/>
      </c>
      <c r="L10" s="68">
        <f>IF(OR(C10="",E10&lt;=0),"",IF(F10&lt;=0,"Sin precio",IF(H10&lt;0,"PÉRDIDA",IF(I10&lt;MargenMin,"Margen bajo",IF(I10&lt;MargenObjReal,"Aceptable","Rentable")))))</f>
        <v/>
      </c>
      <c r="M10" s="77" t="n"/>
      <c r="N10" s="81">
        <f>IF(ISNUMBER(W10),RANK(W10,$W$7:$W$206),"")</f>
        <v/>
      </c>
      <c r="W10" s="82">
        <f>IF(AND(C10&lt;&gt;"",E10&gt;0,F10&gt;0),H10+ROW()/1000000000,"")</f>
        <v/>
      </c>
      <c r="X10" s="82">
        <f>IF(AND(C10&lt;&gt;"",E10&gt;0,F10&gt;0,OR(CatSel="Todas",D10=CatSel)),H10+ROW()/1000000000,"")</f>
        <v/>
      </c>
    </row>
    <row r="11">
      <c r="B11" s="77" t="inlineStr">
        <is>
          <t>CE-100</t>
        </is>
      </c>
      <c r="C11" s="77" t="inlineStr">
        <is>
          <t>Funda para celular</t>
        </is>
      </c>
      <c r="D11" s="77" t="inlineStr">
        <is>
          <t>Electrónica y celulares</t>
        </is>
      </c>
      <c r="E11" s="78" t="n">
        <v>6500</v>
      </c>
      <c r="F11" s="78" t="n">
        <v>20000</v>
      </c>
      <c r="G11" s="79">
        <f>IF(OR(C11="",E11&lt;=0,DivMargen&lt;=0),0,IF(Redondeo&gt;0,CEILING(E11/DivMargen,Redondeo),E11/DivMargen))</f>
        <v/>
      </c>
      <c r="H11" s="79">
        <f>IF(OR(C11="",E11&lt;=0,F11&lt;=0),0,F11*DivBase-E11)</f>
        <v/>
      </c>
      <c r="I11" s="80">
        <f>IF(OR(C11="",E11&lt;=0,F11&lt;=0),0,H11/F11)</f>
        <v/>
      </c>
      <c r="J11" s="78" t="n">
        <v>120</v>
      </c>
      <c r="K11" s="79">
        <f>IF(OR(C11="",E11&lt;=0),0,E11*J11)</f>
        <v/>
      </c>
      <c r="L11" s="68">
        <f>IF(OR(C11="",E11&lt;=0),"",IF(F11&lt;=0,"Sin precio",IF(H11&lt;0,"PÉRDIDA",IF(I11&lt;MargenMin,"Margen bajo",IF(I11&lt;MargenObjReal,"Aceptable","Rentable")))))</f>
        <v/>
      </c>
      <c r="M11" s="77" t="n"/>
      <c r="N11" s="81">
        <f>IF(ISNUMBER(W11),RANK(W11,$W$7:$W$206),"")</f>
        <v/>
      </c>
      <c r="W11" s="82">
        <f>IF(AND(C11&lt;&gt;"",E11&gt;0,F11&gt;0),H11+ROW()/1000000000,"")</f>
        <v/>
      </c>
      <c r="X11" s="82">
        <f>IF(AND(C11&lt;&gt;"",E11&gt;0,F11&gt;0,OR(CatSel="Todas",D11=CatSel)),H11+ROW()/1000000000,"")</f>
        <v/>
      </c>
    </row>
    <row r="12">
      <c r="B12" s="77" t="inlineStr">
        <is>
          <t>CE-101</t>
        </is>
      </c>
      <c r="C12" s="77" t="inlineStr">
        <is>
          <t>Cargador rápido 20W</t>
        </is>
      </c>
      <c r="D12" s="77" t="inlineStr">
        <is>
          <t>Electrónica y celulares</t>
        </is>
      </c>
      <c r="E12" s="78" t="n">
        <v>38000</v>
      </c>
      <c r="F12" s="78" t="n">
        <v>65000</v>
      </c>
      <c r="G12" s="79">
        <f>IF(OR(C12="",E12&lt;=0,DivMargen&lt;=0),0,IF(Redondeo&gt;0,CEILING(E12/DivMargen,Redondeo),E12/DivMargen))</f>
        <v/>
      </c>
      <c r="H12" s="79">
        <f>IF(OR(C12="",E12&lt;=0,F12&lt;=0),0,F12*DivBase-E12)</f>
        <v/>
      </c>
      <c r="I12" s="80">
        <f>IF(OR(C12="",E12&lt;=0,F12&lt;=0),0,H12/F12)</f>
        <v/>
      </c>
      <c r="J12" s="78" t="n">
        <v>45</v>
      </c>
      <c r="K12" s="79">
        <f>IF(OR(C12="",E12&lt;=0),0,E12*J12)</f>
        <v/>
      </c>
      <c r="L12" s="68">
        <f>IF(OR(C12="",E12&lt;=0),"",IF(F12&lt;=0,"Sin precio",IF(H12&lt;0,"PÉRDIDA",IF(I12&lt;MargenMin,"Margen bajo",IF(I12&lt;MargenObjReal,"Aceptable","Rentable")))))</f>
        <v/>
      </c>
      <c r="M12" s="77" t="n"/>
      <c r="N12" s="81">
        <f>IF(ISNUMBER(W12),RANK(W12,$W$7:$W$206),"")</f>
        <v/>
      </c>
      <c r="W12" s="82">
        <f>IF(AND(C12&lt;&gt;"",E12&gt;0,F12&gt;0),H12+ROW()/1000000000,"")</f>
        <v/>
      </c>
      <c r="X12" s="82">
        <f>IF(AND(C12&lt;&gt;"",E12&gt;0,F12&gt;0,OR(CatSel="Todas",D12=CatSel)),H12+ROW()/1000000000,"")</f>
        <v/>
      </c>
    </row>
    <row r="13">
      <c r="B13" s="77" t="inlineStr">
        <is>
          <t>CE-102</t>
        </is>
      </c>
      <c r="C13" s="77" t="inlineStr">
        <is>
          <t>Auriculares inalámbricos</t>
        </is>
      </c>
      <c r="D13" s="77" t="inlineStr">
        <is>
          <t>Electrónica y celulares</t>
        </is>
      </c>
      <c r="E13" s="78" t="n">
        <v>85000</v>
      </c>
      <c r="F13" s="78" t="n">
        <v>110000</v>
      </c>
      <c r="G13" s="79">
        <f>IF(OR(C13="",E13&lt;=0,DivMargen&lt;=0),0,IF(Redondeo&gt;0,CEILING(E13/DivMargen,Redondeo),E13/DivMargen))</f>
        <v/>
      </c>
      <c r="H13" s="79">
        <f>IF(OR(C13="",E13&lt;=0,F13&lt;=0),0,F13*DivBase-E13)</f>
        <v/>
      </c>
      <c r="I13" s="80">
        <f>IF(OR(C13="",E13&lt;=0,F13&lt;=0),0,H13/F13)</f>
        <v/>
      </c>
      <c r="J13" s="78" t="n">
        <v>25</v>
      </c>
      <c r="K13" s="79">
        <f>IF(OR(C13="",E13&lt;=0),0,E13*J13)</f>
        <v/>
      </c>
      <c r="L13" s="68">
        <f>IF(OR(C13="",E13&lt;=0),"",IF(F13&lt;=0,"Sin precio",IF(H13&lt;0,"PÉRDIDA",IF(I13&lt;MargenMin,"Margen bajo",IF(I13&lt;MargenObjReal,"Aceptable","Rentable")))))</f>
        <v/>
      </c>
      <c r="M13" s="77" t="n"/>
      <c r="N13" s="81">
        <f>IF(ISNUMBER(W13),RANK(W13,$W$7:$W$206),"")</f>
        <v/>
      </c>
      <c r="W13" s="82">
        <f>IF(AND(C13&lt;&gt;"",E13&gt;0,F13&gt;0),H13+ROW()/1000000000,"")</f>
        <v/>
      </c>
      <c r="X13" s="82">
        <f>IF(AND(C13&lt;&gt;"",E13&gt;0,F13&gt;0,OR(CatSel="Todas",D13=CatSel)),H13+ROW()/1000000000,"")</f>
        <v/>
      </c>
    </row>
    <row r="14">
      <c r="B14" s="77" t="inlineStr">
        <is>
          <t>CE-103</t>
        </is>
      </c>
      <c r="C14" s="77" t="inlineStr">
        <is>
          <t>Cable USB-C 1 m</t>
        </is>
      </c>
      <c r="D14" s="77" t="inlineStr">
        <is>
          <t>Electrónica y celulares</t>
        </is>
      </c>
      <c r="E14" s="78" t="n">
        <v>9000</v>
      </c>
      <c r="F14" s="78" t="n">
        <v>8500</v>
      </c>
      <c r="G14" s="79">
        <f>IF(OR(C14="",E14&lt;=0,DivMargen&lt;=0),0,IF(Redondeo&gt;0,CEILING(E14/DivMargen,Redondeo),E14/DivMargen))</f>
        <v/>
      </c>
      <c r="H14" s="79">
        <f>IF(OR(C14="",E14&lt;=0,F14&lt;=0),0,F14*DivBase-E14)</f>
        <v/>
      </c>
      <c r="I14" s="80">
        <f>IF(OR(C14="",E14&lt;=0,F14&lt;=0),0,H14/F14)</f>
        <v/>
      </c>
      <c r="J14" s="78" t="n">
        <v>80</v>
      </c>
      <c r="K14" s="79">
        <f>IF(OR(C14="",E14&lt;=0),0,E14*J14)</f>
        <v/>
      </c>
      <c r="L14" s="68">
        <f>IF(OR(C14="",E14&lt;=0),"",IF(F14&lt;=0,"Sin precio",IF(H14&lt;0,"PÉRDIDA",IF(I14&lt;MargenMin,"Margen bajo",IF(I14&lt;MargenObjReal,"Aceptable","Rentable")))))</f>
        <v/>
      </c>
      <c r="M14" s="77" t="n"/>
      <c r="N14" s="81">
        <f>IF(ISNUMBER(W14),RANK(W14,$W$7:$W$206),"")</f>
        <v/>
      </c>
      <c r="W14" s="82">
        <f>IF(AND(C14&lt;&gt;"",E14&gt;0,F14&gt;0),H14+ROW()/1000000000,"")</f>
        <v/>
      </c>
      <c r="X14" s="82">
        <f>IF(AND(C14&lt;&gt;"",E14&gt;0,F14&gt;0,OR(CatSel="Todas",D14=CatSel)),H14+ROW()/1000000000,"")</f>
        <v/>
      </c>
    </row>
    <row r="15">
      <c r="B15" s="77" t="inlineStr">
        <is>
          <t>CE-104</t>
        </is>
      </c>
      <c r="C15" s="77" t="inlineStr">
        <is>
          <t>Soporte para celular</t>
        </is>
      </c>
      <c r="D15" s="77" t="inlineStr">
        <is>
          <t>Electrónica y celulares</t>
        </is>
      </c>
      <c r="E15" s="78" t="n">
        <v>12000</v>
      </c>
      <c r="F15" s="78" t="n">
        <v>30000</v>
      </c>
      <c r="G15" s="79">
        <f>IF(OR(C15="",E15&lt;=0,DivMargen&lt;=0),0,IF(Redondeo&gt;0,CEILING(E15/DivMargen,Redondeo),E15/DivMargen))</f>
        <v/>
      </c>
      <c r="H15" s="79">
        <f>IF(OR(C15="",E15&lt;=0,F15&lt;=0),0,F15*DivBase-E15)</f>
        <v/>
      </c>
      <c r="I15" s="80">
        <f>IF(OR(C15="",E15&lt;=0,F15&lt;=0),0,H15/F15)</f>
        <v/>
      </c>
      <c r="J15" s="78" t="n">
        <v>60</v>
      </c>
      <c r="K15" s="79">
        <f>IF(OR(C15="",E15&lt;=0),0,E15*J15)</f>
        <v/>
      </c>
      <c r="L15" s="68">
        <f>IF(OR(C15="",E15&lt;=0),"",IF(F15&lt;=0,"Sin precio",IF(H15&lt;0,"PÉRDIDA",IF(I15&lt;MargenMin,"Margen bajo",IF(I15&lt;MargenObjReal,"Aceptable","Rentable")))))</f>
        <v/>
      </c>
      <c r="M15" s="77" t="n"/>
      <c r="N15" s="81">
        <f>IF(ISNUMBER(W15),RANK(W15,$W$7:$W$206),"")</f>
        <v/>
      </c>
      <c r="W15" s="82">
        <f>IF(AND(C15&lt;&gt;"",E15&gt;0,F15&gt;0),H15+ROW()/1000000000,"")</f>
        <v/>
      </c>
      <c r="X15" s="82">
        <f>IF(AND(C15&lt;&gt;"",E15&gt;0,F15&gt;0,OR(CatSel="Todas",D15=CatSel)),H15+ROW()/1000000000,"")</f>
        <v/>
      </c>
    </row>
    <row r="16">
      <c r="B16" s="77" t="inlineStr">
        <is>
          <t>HG-200</t>
        </is>
      </c>
      <c r="C16" s="77" t="inlineStr">
        <is>
          <t>Set de ollas antiadherentes</t>
        </is>
      </c>
      <c r="D16" s="77" t="inlineStr">
        <is>
          <t>Hogar y decoración</t>
        </is>
      </c>
      <c r="E16" s="78" t="n">
        <v>210000</v>
      </c>
      <c r="F16" s="78" t="n">
        <v>340000</v>
      </c>
      <c r="G16" s="79">
        <f>IF(OR(C16="",E16&lt;=0,DivMargen&lt;=0),0,IF(Redondeo&gt;0,CEILING(E16/DivMargen,Redondeo),E16/DivMargen))</f>
        <v/>
      </c>
      <c r="H16" s="79">
        <f>IF(OR(C16="",E16&lt;=0,F16&lt;=0),0,F16*DivBase-E16)</f>
        <v/>
      </c>
      <c r="I16" s="80">
        <f>IF(OR(C16="",E16&lt;=0,F16&lt;=0),0,H16/F16)</f>
        <v/>
      </c>
      <c r="J16" s="78" t="n">
        <v>8</v>
      </c>
      <c r="K16" s="79">
        <f>IF(OR(C16="",E16&lt;=0),0,E16*J16)</f>
        <v/>
      </c>
      <c r="L16" s="68">
        <f>IF(OR(C16="",E16&lt;=0),"",IF(F16&lt;=0,"Sin precio",IF(H16&lt;0,"PÉRDIDA",IF(I16&lt;MargenMin,"Margen bajo",IF(I16&lt;MargenObjReal,"Aceptable","Rentable")))))</f>
        <v/>
      </c>
      <c r="M16" s="77" t="n"/>
      <c r="N16" s="81">
        <f>IF(ISNUMBER(W16),RANK(W16,$W$7:$W$206),"")</f>
        <v/>
      </c>
      <c r="W16" s="82">
        <f>IF(AND(C16&lt;&gt;"",E16&gt;0,F16&gt;0),H16+ROW()/1000000000,"")</f>
        <v/>
      </c>
      <c r="X16" s="82">
        <f>IF(AND(C16&lt;&gt;"",E16&gt;0,F16&gt;0,OR(CatSel="Todas",D16=CatSel)),H16+ROW()/1000000000,"")</f>
        <v/>
      </c>
    </row>
    <row r="17">
      <c r="B17" s="77" t="inlineStr">
        <is>
          <t>HG-201</t>
        </is>
      </c>
      <c r="C17" s="77" t="inlineStr">
        <is>
          <t>Almohadón decorativo</t>
        </is>
      </c>
      <c r="D17" s="77" t="inlineStr">
        <is>
          <t>Hogar y decoración</t>
        </is>
      </c>
      <c r="E17" s="78" t="n">
        <v>22000</v>
      </c>
      <c r="F17" s="78" t="n">
        <v>45000</v>
      </c>
      <c r="G17" s="79">
        <f>IF(OR(C17="",E17&lt;=0,DivMargen&lt;=0),0,IF(Redondeo&gt;0,CEILING(E17/DivMargen,Redondeo),E17/DivMargen))</f>
        <v/>
      </c>
      <c r="H17" s="79">
        <f>IF(OR(C17="",E17&lt;=0,F17&lt;=0),0,F17*DivBase-E17)</f>
        <v/>
      </c>
      <c r="I17" s="80">
        <f>IF(OR(C17="",E17&lt;=0,F17&lt;=0),0,H17/F17)</f>
        <v/>
      </c>
      <c r="J17" s="78" t="n">
        <v>35</v>
      </c>
      <c r="K17" s="79">
        <f>IF(OR(C17="",E17&lt;=0),0,E17*J17)</f>
        <v/>
      </c>
      <c r="L17" s="68">
        <f>IF(OR(C17="",E17&lt;=0),"",IF(F17&lt;=0,"Sin precio",IF(H17&lt;0,"PÉRDIDA",IF(I17&lt;MargenMin,"Margen bajo",IF(I17&lt;MargenObjReal,"Aceptable","Rentable")))))</f>
        <v/>
      </c>
      <c r="M17" s="77" t="n"/>
      <c r="N17" s="81">
        <f>IF(ISNUMBER(W17),RANK(W17,$W$7:$W$206),"")</f>
        <v/>
      </c>
      <c r="W17" s="82">
        <f>IF(AND(C17&lt;&gt;"",E17&gt;0,F17&gt;0),H17+ROW()/1000000000,"")</f>
        <v/>
      </c>
      <c r="X17" s="82">
        <f>IF(AND(C17&lt;&gt;"",E17&gt;0,F17&gt;0,OR(CatSel="Todas",D17=CatSel)),H17+ROW()/1000000000,"")</f>
        <v/>
      </c>
    </row>
    <row r="18">
      <c r="B18" s="77" t="inlineStr">
        <is>
          <t>HG-202</t>
        </is>
      </c>
      <c r="C18" s="77" t="inlineStr">
        <is>
          <t>Lámpara de mesa LED</t>
        </is>
      </c>
      <c r="D18" s="77" t="inlineStr">
        <is>
          <t>Hogar y decoración</t>
        </is>
      </c>
      <c r="E18" s="78" t="n">
        <v>48000</v>
      </c>
      <c r="F18" s="78" t="n">
        <v>79000</v>
      </c>
      <c r="G18" s="79">
        <f>IF(OR(C18="",E18&lt;=0,DivMargen&lt;=0),0,IF(Redondeo&gt;0,CEILING(E18/DivMargen,Redondeo),E18/DivMargen))</f>
        <v/>
      </c>
      <c r="H18" s="79">
        <f>IF(OR(C18="",E18&lt;=0,F18&lt;=0),0,F18*DivBase-E18)</f>
        <v/>
      </c>
      <c r="I18" s="80">
        <f>IF(OR(C18="",E18&lt;=0,F18&lt;=0),0,H18/F18)</f>
        <v/>
      </c>
      <c r="J18" s="78" t="n">
        <v>18</v>
      </c>
      <c r="K18" s="79">
        <f>IF(OR(C18="",E18&lt;=0),0,E18*J18)</f>
        <v/>
      </c>
      <c r="L18" s="68">
        <f>IF(OR(C18="",E18&lt;=0),"",IF(F18&lt;=0,"Sin precio",IF(H18&lt;0,"PÉRDIDA",IF(I18&lt;MargenMin,"Margen bajo",IF(I18&lt;MargenObjReal,"Aceptable","Rentable")))))</f>
        <v/>
      </c>
      <c r="M18" s="77" t="n"/>
      <c r="N18" s="81">
        <f>IF(ISNUMBER(W18),RANK(W18,$W$7:$W$206),"")</f>
        <v/>
      </c>
      <c r="W18" s="82">
        <f>IF(AND(C18&lt;&gt;"",E18&gt;0,F18&gt;0),H18+ROW()/1000000000,"")</f>
        <v/>
      </c>
      <c r="X18" s="82">
        <f>IF(AND(C18&lt;&gt;"",E18&gt;0,F18&gt;0,OR(CatSel="Todas",D18=CatSel)),H18+ROW()/1000000000,"")</f>
        <v/>
      </c>
    </row>
    <row r="19">
      <c r="B19" s="77" t="inlineStr">
        <is>
          <t>HG-203</t>
        </is>
      </c>
      <c r="C19" s="77" t="inlineStr">
        <is>
          <t>Organizador de cocina</t>
        </is>
      </c>
      <c r="D19" s="77" t="inlineStr">
        <is>
          <t>Hogar y decoración</t>
        </is>
      </c>
      <c r="E19" s="78" t="n">
        <v>15000</v>
      </c>
      <c r="F19" s="78" t="n">
        <v>24000</v>
      </c>
      <c r="G19" s="79">
        <f>IF(OR(C19="",E19&lt;=0,DivMargen&lt;=0),0,IF(Redondeo&gt;0,CEILING(E19/DivMargen,Redondeo),E19/DivMargen))</f>
        <v/>
      </c>
      <c r="H19" s="79">
        <f>IF(OR(C19="",E19&lt;=0,F19&lt;=0),0,F19*DivBase-E19)</f>
        <v/>
      </c>
      <c r="I19" s="80">
        <f>IF(OR(C19="",E19&lt;=0,F19&lt;=0),0,H19/F19)</f>
        <v/>
      </c>
      <c r="J19" s="78" t="n">
        <v>50</v>
      </c>
      <c r="K19" s="79">
        <f>IF(OR(C19="",E19&lt;=0),0,E19*J19)</f>
        <v/>
      </c>
      <c r="L19" s="68">
        <f>IF(OR(C19="",E19&lt;=0),"",IF(F19&lt;=0,"Sin precio",IF(H19&lt;0,"PÉRDIDA",IF(I19&lt;MargenMin,"Margen bajo",IF(I19&lt;MargenObjReal,"Aceptable","Rentable")))))</f>
        <v/>
      </c>
      <c r="M19" s="77" t="n"/>
      <c r="N19" s="81">
        <f>IF(ISNUMBER(W19),RANK(W19,$W$7:$W$206),"")</f>
        <v/>
      </c>
      <c r="W19" s="82">
        <f>IF(AND(C19&lt;&gt;"",E19&gt;0,F19&gt;0),H19+ROW()/1000000000,"")</f>
        <v/>
      </c>
      <c r="X19" s="82">
        <f>IF(AND(C19&lt;&gt;"",E19&gt;0,F19&gt;0,OR(CatSel="Todas",D19=CatSel)),H19+ROW()/1000000000,"")</f>
        <v/>
      </c>
    </row>
    <row r="20">
      <c r="B20" s="77" t="inlineStr">
        <is>
          <t>BL-300</t>
        </is>
      </c>
      <c r="C20" s="77" t="inlineStr">
        <is>
          <t>Crema hidratante 200 ml</t>
        </is>
      </c>
      <c r="D20" s="77" t="inlineStr">
        <is>
          <t>Belleza y cuidado personal</t>
        </is>
      </c>
      <c r="E20" s="78" t="n">
        <v>24000</v>
      </c>
      <c r="F20" s="78" t="n">
        <v>48000</v>
      </c>
      <c r="G20" s="79">
        <f>IF(OR(C20="",E20&lt;=0,DivMargen&lt;=0),0,IF(Redondeo&gt;0,CEILING(E20/DivMargen,Redondeo),E20/DivMargen))</f>
        <v/>
      </c>
      <c r="H20" s="79">
        <f>IF(OR(C20="",E20&lt;=0,F20&lt;=0),0,F20*DivBase-E20)</f>
        <v/>
      </c>
      <c r="I20" s="80">
        <f>IF(OR(C20="",E20&lt;=0,F20&lt;=0),0,H20/F20)</f>
        <v/>
      </c>
      <c r="J20" s="78" t="n">
        <v>40</v>
      </c>
      <c r="K20" s="79">
        <f>IF(OR(C20="",E20&lt;=0),0,E20*J20)</f>
        <v/>
      </c>
      <c r="L20" s="68">
        <f>IF(OR(C20="",E20&lt;=0),"",IF(F20&lt;=0,"Sin precio",IF(H20&lt;0,"PÉRDIDA",IF(I20&lt;MargenMin,"Margen bajo",IF(I20&lt;MargenObjReal,"Aceptable","Rentable")))))</f>
        <v/>
      </c>
      <c r="M20" s="77" t="n"/>
      <c r="N20" s="81">
        <f>IF(ISNUMBER(W20),RANK(W20,$W$7:$W$206),"")</f>
        <v/>
      </c>
      <c r="W20" s="82">
        <f>IF(AND(C20&lt;&gt;"",E20&gt;0,F20&gt;0),H20+ROW()/1000000000,"")</f>
        <v/>
      </c>
      <c r="X20" s="82">
        <f>IF(AND(C20&lt;&gt;"",E20&gt;0,F20&gt;0,OR(CatSel="Todas",D20=CatSel)),H20+ROW()/1000000000,"")</f>
        <v/>
      </c>
    </row>
    <row r="21">
      <c r="B21" s="77" t="inlineStr">
        <is>
          <t>BL-301</t>
        </is>
      </c>
      <c r="C21" s="77" t="inlineStr">
        <is>
          <t>Shampoo reparador</t>
        </is>
      </c>
      <c r="D21" s="77" t="inlineStr">
        <is>
          <t>Belleza y cuidado personal</t>
        </is>
      </c>
      <c r="E21" s="78" t="n">
        <v>21000</v>
      </c>
      <c r="F21" s="78" t="n">
        <v>29000</v>
      </c>
      <c r="G21" s="79">
        <f>IF(OR(C21="",E21&lt;=0,DivMargen&lt;=0),0,IF(Redondeo&gt;0,CEILING(E21/DivMargen,Redondeo),E21/DivMargen))</f>
        <v/>
      </c>
      <c r="H21" s="79">
        <f>IF(OR(C21="",E21&lt;=0,F21&lt;=0),0,F21*DivBase-E21)</f>
        <v/>
      </c>
      <c r="I21" s="80">
        <f>IF(OR(C21="",E21&lt;=0,F21&lt;=0),0,H21/F21)</f>
        <v/>
      </c>
      <c r="J21" s="78" t="n">
        <v>55</v>
      </c>
      <c r="K21" s="79">
        <f>IF(OR(C21="",E21&lt;=0),0,E21*J21)</f>
        <v/>
      </c>
      <c r="L21" s="68">
        <f>IF(OR(C21="",E21&lt;=0),"",IF(F21&lt;=0,"Sin precio",IF(H21&lt;0,"PÉRDIDA",IF(I21&lt;MargenMin,"Margen bajo",IF(I21&lt;MargenObjReal,"Aceptable","Rentable")))))</f>
        <v/>
      </c>
      <c r="M21" s="77" t="n"/>
      <c r="N21" s="81">
        <f>IF(ISNUMBER(W21),RANK(W21,$W$7:$W$206),"")</f>
        <v/>
      </c>
      <c r="W21" s="82">
        <f>IF(AND(C21&lt;&gt;"",E21&gt;0,F21&gt;0),H21+ROW()/1000000000,"")</f>
        <v/>
      </c>
      <c r="X21" s="82">
        <f>IF(AND(C21&lt;&gt;"",E21&gt;0,F21&gt;0,OR(CatSel="Todas",D21=CatSel)),H21+ROW()/1000000000,"")</f>
        <v/>
      </c>
    </row>
    <row r="22">
      <c r="B22" s="77" t="inlineStr">
        <is>
          <t>BL-302</t>
        </is>
      </c>
      <c r="C22" s="77" t="inlineStr">
        <is>
          <t>Perfume importado 100 ml</t>
        </is>
      </c>
      <c r="D22" s="77" t="inlineStr">
        <is>
          <t>Belleza y cuidado personal</t>
        </is>
      </c>
      <c r="E22" s="78" t="n">
        <v>140000</v>
      </c>
      <c r="F22" s="78" t="n">
        <v>190000</v>
      </c>
      <c r="G22" s="79">
        <f>IF(OR(C22="",E22&lt;=0,DivMargen&lt;=0),0,IF(Redondeo&gt;0,CEILING(E22/DivMargen,Redondeo),E22/DivMargen))</f>
        <v/>
      </c>
      <c r="H22" s="79">
        <f>IF(OR(C22="",E22&lt;=0,F22&lt;=0),0,F22*DivBase-E22)</f>
        <v/>
      </c>
      <c r="I22" s="80">
        <f>IF(OR(C22="",E22&lt;=0,F22&lt;=0),0,H22/F22)</f>
        <v/>
      </c>
      <c r="J22" s="78" t="n">
        <v>12</v>
      </c>
      <c r="K22" s="79">
        <f>IF(OR(C22="",E22&lt;=0),0,E22*J22)</f>
        <v/>
      </c>
      <c r="L22" s="68">
        <f>IF(OR(C22="",E22&lt;=0),"",IF(F22&lt;=0,"Sin precio",IF(H22&lt;0,"PÉRDIDA",IF(I22&lt;MargenMin,"Margen bajo",IF(I22&lt;MargenObjReal,"Aceptable","Rentable")))))</f>
        <v/>
      </c>
      <c r="M22" s="77" t="n"/>
      <c r="N22" s="81">
        <f>IF(ISNUMBER(W22),RANK(W22,$W$7:$W$206),"")</f>
        <v/>
      </c>
      <c r="W22" s="82">
        <f>IF(AND(C22&lt;&gt;"",E22&gt;0,F22&gt;0),H22+ROW()/1000000000,"")</f>
        <v/>
      </c>
      <c r="X22" s="82">
        <f>IF(AND(C22&lt;&gt;"",E22&gt;0,F22&gt;0,OR(CatSel="Todas",D22=CatSel)),H22+ROW()/1000000000,"")</f>
        <v/>
      </c>
    </row>
    <row r="23">
      <c r="B23" s="77" t="inlineStr">
        <is>
          <t>BL-303</t>
        </is>
      </c>
      <c r="C23" s="77" t="inlineStr">
        <is>
          <t>Esmalte de uñas</t>
        </is>
      </c>
      <c r="D23" s="77" t="inlineStr">
        <is>
          <t>Belleza y cuidado personal</t>
        </is>
      </c>
      <c r="E23" s="78" t="n">
        <v>4500</v>
      </c>
      <c r="F23" s="78" t="n">
        <v>9000</v>
      </c>
      <c r="G23" s="79">
        <f>IF(OR(C23="",E23&lt;=0,DivMargen&lt;=0),0,IF(Redondeo&gt;0,CEILING(E23/DivMargen,Redondeo),E23/DivMargen))</f>
        <v/>
      </c>
      <c r="H23" s="79">
        <f>IF(OR(C23="",E23&lt;=0,F23&lt;=0),0,F23*DivBase-E23)</f>
        <v/>
      </c>
      <c r="I23" s="80">
        <f>IF(OR(C23="",E23&lt;=0,F23&lt;=0),0,H23/F23)</f>
        <v/>
      </c>
      <c r="J23" s="78" t="n">
        <v>150</v>
      </c>
      <c r="K23" s="79">
        <f>IF(OR(C23="",E23&lt;=0),0,E23*J23)</f>
        <v/>
      </c>
      <c r="L23" s="68">
        <f>IF(OR(C23="",E23&lt;=0),"",IF(F23&lt;=0,"Sin precio",IF(H23&lt;0,"PÉRDIDA",IF(I23&lt;MargenMin,"Margen bajo",IF(I23&lt;MargenObjReal,"Aceptable","Rentable")))))</f>
        <v/>
      </c>
      <c r="M23" s="77" t="n"/>
      <c r="N23" s="81">
        <f>IF(ISNUMBER(W23),RANK(W23,$W$7:$W$206),"")</f>
        <v/>
      </c>
      <c r="W23" s="82">
        <f>IF(AND(C23&lt;&gt;"",E23&gt;0,F23&gt;0),H23+ROW()/1000000000,"")</f>
        <v/>
      </c>
      <c r="X23" s="82">
        <f>IF(AND(C23&lt;&gt;"",E23&gt;0,F23&gt;0,OR(CatSel="Todas",D23=CatSel)),H23+ROW()/1000000000,"")</f>
        <v/>
      </c>
    </row>
    <row r="24">
      <c r="B24" s="77" t="inlineStr">
        <is>
          <t>AL-400</t>
        </is>
      </c>
      <c r="C24" s="77" t="inlineStr">
        <is>
          <t>Yerba mate 1 kg</t>
        </is>
      </c>
      <c r="D24" s="77" t="inlineStr">
        <is>
          <t>Alimentos y bebidas</t>
        </is>
      </c>
      <c r="E24" s="78" t="n">
        <v>16500</v>
      </c>
      <c r="F24" s="78" t="n">
        <v>21000</v>
      </c>
      <c r="G24" s="79">
        <f>IF(OR(C24="",E24&lt;=0,DivMargen&lt;=0),0,IF(Redondeo&gt;0,CEILING(E24/DivMargen,Redondeo),E24/DivMargen))</f>
        <v/>
      </c>
      <c r="H24" s="79">
        <f>IF(OR(C24="",E24&lt;=0,F24&lt;=0),0,F24*DivBase-E24)</f>
        <v/>
      </c>
      <c r="I24" s="80">
        <f>IF(OR(C24="",E24&lt;=0,F24&lt;=0),0,H24/F24)</f>
        <v/>
      </c>
      <c r="J24" s="78" t="n">
        <v>100</v>
      </c>
      <c r="K24" s="79">
        <f>IF(OR(C24="",E24&lt;=0),0,E24*J24)</f>
        <v/>
      </c>
      <c r="L24" s="68">
        <f>IF(OR(C24="",E24&lt;=0),"",IF(F24&lt;=0,"Sin precio",IF(H24&lt;0,"PÉRDIDA",IF(I24&lt;MargenMin,"Margen bajo",IF(I24&lt;MargenObjReal,"Aceptable","Rentable")))))</f>
        <v/>
      </c>
      <c r="M24" s="77" t="n"/>
      <c r="N24" s="81">
        <f>IF(ISNUMBER(W24),RANK(W24,$W$7:$W$206),"")</f>
        <v/>
      </c>
      <c r="W24" s="82">
        <f>IF(AND(C24&lt;&gt;"",E24&gt;0,F24&gt;0),H24+ROW()/1000000000,"")</f>
        <v/>
      </c>
      <c r="X24" s="82">
        <f>IF(AND(C24&lt;&gt;"",E24&gt;0,F24&gt;0,OR(CatSel="Todas",D24=CatSel)),H24+ROW()/1000000000,"")</f>
        <v/>
      </c>
    </row>
    <row r="25">
      <c r="B25" s="77" t="inlineStr">
        <is>
          <t>AL-401</t>
        </is>
      </c>
      <c r="C25" s="77" t="inlineStr">
        <is>
          <t>Alfajores artesanales (caja)</t>
        </is>
      </c>
      <c r="D25" s="77" t="inlineStr">
        <is>
          <t>Alimentos y bebidas</t>
        </is>
      </c>
      <c r="E25" s="78" t="n">
        <v>19000</v>
      </c>
      <c r="F25" s="78" t="n">
        <v>38000</v>
      </c>
      <c r="G25" s="79">
        <f>IF(OR(C25="",E25&lt;=0,DivMargen&lt;=0),0,IF(Redondeo&gt;0,CEILING(E25/DivMargen,Redondeo),E25/DivMargen))</f>
        <v/>
      </c>
      <c r="H25" s="79">
        <f>IF(OR(C25="",E25&lt;=0,F25&lt;=0),0,F25*DivBase-E25)</f>
        <v/>
      </c>
      <c r="I25" s="80">
        <f>IF(OR(C25="",E25&lt;=0,F25&lt;=0),0,H25/F25)</f>
        <v/>
      </c>
      <c r="J25" s="78" t="n">
        <v>30</v>
      </c>
      <c r="K25" s="79">
        <f>IF(OR(C25="",E25&lt;=0),0,E25*J25)</f>
        <v/>
      </c>
      <c r="L25" s="68">
        <f>IF(OR(C25="",E25&lt;=0),"",IF(F25&lt;=0,"Sin precio",IF(H25&lt;0,"PÉRDIDA",IF(I25&lt;MargenMin,"Margen bajo",IF(I25&lt;MargenObjReal,"Aceptable","Rentable")))))</f>
        <v/>
      </c>
      <c r="M25" s="77" t="n"/>
      <c r="N25" s="81">
        <f>IF(ISNUMBER(W25),RANK(W25,$W$7:$W$206),"")</f>
        <v/>
      </c>
      <c r="W25" s="82">
        <f>IF(AND(C25&lt;&gt;"",E25&gt;0,F25&gt;0),H25+ROW()/1000000000,"")</f>
        <v/>
      </c>
      <c r="X25" s="82">
        <f>IF(AND(C25&lt;&gt;"",E25&gt;0,F25&gt;0,OR(CatSel="Todas",D25=CatSel)),H25+ROW()/1000000000,"")</f>
        <v/>
      </c>
    </row>
    <row r="26">
      <c r="B26" s="77" t="inlineStr">
        <is>
          <t>AL-402</t>
        </is>
      </c>
      <c r="C26" s="77" t="inlineStr">
        <is>
          <t>Miel de abeja 500 g</t>
        </is>
      </c>
      <c r="D26" s="77" t="inlineStr">
        <is>
          <t>Alimentos y bebidas</t>
        </is>
      </c>
      <c r="E26" s="78" t="n">
        <v>26000</v>
      </c>
      <c r="F26" s="78" t="n">
        <v>42000</v>
      </c>
      <c r="G26" s="79">
        <f>IF(OR(C26="",E26&lt;=0,DivMargen&lt;=0),0,IF(Redondeo&gt;0,CEILING(E26/DivMargen,Redondeo),E26/DivMargen))</f>
        <v/>
      </c>
      <c r="H26" s="79">
        <f>IF(OR(C26="",E26&lt;=0,F26&lt;=0),0,F26*DivBase-E26)</f>
        <v/>
      </c>
      <c r="I26" s="80">
        <f>IF(OR(C26="",E26&lt;=0,F26&lt;=0),0,H26/F26)</f>
        <v/>
      </c>
      <c r="J26" s="78" t="n">
        <v>25</v>
      </c>
      <c r="K26" s="79">
        <f>IF(OR(C26="",E26&lt;=0),0,E26*J26)</f>
        <v/>
      </c>
      <c r="L26" s="68">
        <f>IF(OR(C26="",E26&lt;=0),"",IF(F26&lt;=0,"Sin precio",IF(H26&lt;0,"PÉRDIDA",IF(I26&lt;MargenMin,"Margen bajo",IF(I26&lt;MargenObjReal,"Aceptable","Rentable")))))</f>
        <v/>
      </c>
      <c r="M26" s="77" t="n"/>
      <c r="N26" s="81">
        <f>IF(ISNUMBER(W26),RANK(W26,$W$7:$W$206),"")</f>
        <v/>
      </c>
      <c r="W26" s="82">
        <f>IF(AND(C26&lt;&gt;"",E26&gt;0,F26&gt;0),H26+ROW()/1000000000,"")</f>
        <v/>
      </c>
      <c r="X26" s="82">
        <f>IF(AND(C26&lt;&gt;"",E26&gt;0,F26&gt;0,OR(CatSel="Todas",D26=CatSel)),H26+ROW()/1000000000,"")</f>
        <v/>
      </c>
    </row>
    <row r="27">
      <c r="B27" s="77" t="inlineStr">
        <is>
          <t>AL-403</t>
        </is>
      </c>
      <c r="C27" s="77" t="inlineStr">
        <is>
          <t>Café molido 500 g</t>
        </is>
      </c>
      <c r="D27" s="77" t="inlineStr">
        <is>
          <t>Alimentos y bebidas</t>
        </is>
      </c>
      <c r="E27" s="78" t="n">
        <v>31000</v>
      </c>
      <c r="F27" s="78" t="n">
        <v>34000</v>
      </c>
      <c r="G27" s="79">
        <f>IF(OR(C27="",E27&lt;=0,DivMargen&lt;=0),0,IF(Redondeo&gt;0,CEILING(E27/DivMargen,Redondeo),E27/DivMargen))</f>
        <v/>
      </c>
      <c r="H27" s="79">
        <f>IF(OR(C27="",E27&lt;=0,F27&lt;=0),0,F27*DivBase-E27)</f>
        <v/>
      </c>
      <c r="I27" s="80">
        <f>IF(OR(C27="",E27&lt;=0,F27&lt;=0),0,H27/F27)</f>
        <v/>
      </c>
      <c r="J27" s="78" t="n">
        <v>40</v>
      </c>
      <c r="K27" s="79">
        <f>IF(OR(C27="",E27&lt;=0),0,E27*J27)</f>
        <v/>
      </c>
      <c r="L27" s="68">
        <f>IF(OR(C27="",E27&lt;=0),"",IF(F27&lt;=0,"Sin precio",IF(H27&lt;0,"PÉRDIDA",IF(I27&lt;MargenMin,"Margen bajo",IF(I27&lt;MargenObjReal,"Aceptable","Rentable")))))</f>
        <v/>
      </c>
      <c r="M27" s="77" t="n"/>
      <c r="N27" s="81">
        <f>IF(ISNUMBER(W27),RANK(W27,$W$7:$W$206),"")</f>
        <v/>
      </c>
      <c r="W27" s="82">
        <f>IF(AND(C27&lt;&gt;"",E27&gt;0,F27&gt;0),H27+ROW()/1000000000,"")</f>
        <v/>
      </c>
      <c r="X27" s="82">
        <f>IF(AND(C27&lt;&gt;"",E27&gt;0,F27&gt;0,OR(CatSel="Todas",D27=CatSel)),H27+ROW()/1000000000,"")</f>
        <v/>
      </c>
    </row>
    <row r="28">
      <c r="B28" s="77" t="inlineStr">
        <is>
          <t>FE-500</t>
        </is>
      </c>
      <c r="C28" s="77" t="inlineStr">
        <is>
          <t>Taladro inalámbrico</t>
        </is>
      </c>
      <c r="D28" s="77" t="inlineStr">
        <is>
          <t>Herramientas y ferretería</t>
        </is>
      </c>
      <c r="E28" s="78" t="n">
        <v>260000</v>
      </c>
      <c r="F28" s="78" t="n">
        <v>380000</v>
      </c>
      <c r="G28" s="79">
        <f>IF(OR(C28="",E28&lt;=0,DivMargen&lt;=0),0,IF(Redondeo&gt;0,CEILING(E28/DivMargen,Redondeo),E28/DivMargen))</f>
        <v/>
      </c>
      <c r="H28" s="79">
        <f>IF(OR(C28="",E28&lt;=0,F28&lt;=0),0,F28*DivBase-E28)</f>
        <v/>
      </c>
      <c r="I28" s="80">
        <f>IF(OR(C28="",E28&lt;=0,F28&lt;=0),0,H28/F28)</f>
        <v/>
      </c>
      <c r="J28" s="78" t="n">
        <v>6</v>
      </c>
      <c r="K28" s="79">
        <f>IF(OR(C28="",E28&lt;=0),0,E28*J28)</f>
        <v/>
      </c>
      <c r="L28" s="68">
        <f>IF(OR(C28="",E28&lt;=0),"",IF(F28&lt;=0,"Sin precio",IF(H28&lt;0,"PÉRDIDA",IF(I28&lt;MargenMin,"Margen bajo",IF(I28&lt;MargenObjReal,"Aceptable","Rentable")))))</f>
        <v/>
      </c>
      <c r="M28" s="77" t="n"/>
      <c r="N28" s="81">
        <f>IF(ISNUMBER(W28),RANK(W28,$W$7:$W$206),"")</f>
        <v/>
      </c>
      <c r="W28" s="82">
        <f>IF(AND(C28&lt;&gt;"",E28&gt;0,F28&gt;0),H28+ROW()/1000000000,"")</f>
        <v/>
      </c>
      <c r="X28" s="82">
        <f>IF(AND(C28&lt;&gt;"",E28&gt;0,F28&gt;0,OR(CatSel="Todas",D28=CatSel)),H28+ROW()/1000000000,"")</f>
        <v/>
      </c>
    </row>
    <row r="29">
      <c r="B29" s="77" t="inlineStr">
        <is>
          <t>FE-501</t>
        </is>
      </c>
      <c r="C29" s="77" t="inlineStr">
        <is>
          <t>Juego de destornilladores</t>
        </is>
      </c>
      <c r="D29" s="77" t="inlineStr">
        <is>
          <t>Herramientas y ferretería</t>
        </is>
      </c>
      <c r="E29" s="78" t="n">
        <v>28000</v>
      </c>
      <c r="F29" s="78" t="n">
        <v>52000</v>
      </c>
      <c r="G29" s="79">
        <f>IF(OR(C29="",E29&lt;=0,DivMargen&lt;=0),0,IF(Redondeo&gt;0,CEILING(E29/DivMargen,Redondeo),E29/DivMargen))</f>
        <v/>
      </c>
      <c r="H29" s="79">
        <f>IF(OR(C29="",E29&lt;=0,F29&lt;=0),0,F29*DivBase-E29)</f>
        <v/>
      </c>
      <c r="I29" s="80">
        <f>IF(OR(C29="",E29&lt;=0,F29&lt;=0),0,H29/F29)</f>
        <v/>
      </c>
      <c r="J29" s="78" t="n">
        <v>22</v>
      </c>
      <c r="K29" s="79">
        <f>IF(OR(C29="",E29&lt;=0),0,E29*J29)</f>
        <v/>
      </c>
      <c r="L29" s="68">
        <f>IF(OR(C29="",E29&lt;=0),"",IF(F29&lt;=0,"Sin precio",IF(H29&lt;0,"PÉRDIDA",IF(I29&lt;MargenMin,"Margen bajo",IF(I29&lt;MargenObjReal,"Aceptable","Rentable")))))</f>
        <v/>
      </c>
      <c r="M29" s="77" t="n"/>
      <c r="N29" s="81">
        <f>IF(ISNUMBER(W29),RANK(W29,$W$7:$W$206),"")</f>
        <v/>
      </c>
      <c r="W29" s="82">
        <f>IF(AND(C29&lt;&gt;"",E29&gt;0,F29&gt;0),H29+ROW()/1000000000,"")</f>
        <v/>
      </c>
      <c r="X29" s="82">
        <f>IF(AND(C29&lt;&gt;"",E29&gt;0,F29&gt;0,OR(CatSel="Todas",D29=CatSel)),H29+ROW()/1000000000,"")</f>
        <v/>
      </c>
    </row>
    <row r="30">
      <c r="B30" s="77" t="inlineStr">
        <is>
          <t>FE-502</t>
        </is>
      </c>
      <c r="C30" s="77" t="inlineStr">
        <is>
          <t>Cinta métrica 5 m</t>
        </is>
      </c>
      <c r="D30" s="77" t="inlineStr">
        <is>
          <t>Herramientas y ferretería</t>
        </is>
      </c>
      <c r="E30" s="78" t="n">
        <v>7000</v>
      </c>
      <c r="F30" s="78" t="n">
        <v>15000</v>
      </c>
      <c r="G30" s="79">
        <f>IF(OR(C30="",E30&lt;=0,DivMargen&lt;=0),0,IF(Redondeo&gt;0,CEILING(E30/DivMargen,Redondeo),E30/DivMargen))</f>
        <v/>
      </c>
      <c r="H30" s="79">
        <f>IF(OR(C30="",E30&lt;=0,F30&lt;=0),0,F30*DivBase-E30)</f>
        <v/>
      </c>
      <c r="I30" s="80">
        <f>IF(OR(C30="",E30&lt;=0,F30&lt;=0),0,H30/F30)</f>
        <v/>
      </c>
      <c r="J30" s="78" t="n">
        <v>60</v>
      </c>
      <c r="K30" s="79">
        <f>IF(OR(C30="",E30&lt;=0),0,E30*J30)</f>
        <v/>
      </c>
      <c r="L30" s="68">
        <f>IF(OR(C30="",E30&lt;=0),"",IF(F30&lt;=0,"Sin precio",IF(H30&lt;0,"PÉRDIDA",IF(I30&lt;MargenMin,"Margen bajo",IF(I30&lt;MargenObjReal,"Aceptable","Rentable")))))</f>
        <v/>
      </c>
      <c r="M30" s="77" t="n"/>
      <c r="N30" s="81">
        <f>IF(ISNUMBER(W30),RANK(W30,$W$7:$W$206),"")</f>
        <v/>
      </c>
      <c r="W30" s="82">
        <f>IF(AND(C30&lt;&gt;"",E30&gt;0,F30&gt;0),H30+ROW()/1000000000,"")</f>
        <v/>
      </c>
      <c r="X30" s="82">
        <f>IF(AND(C30&lt;&gt;"",E30&gt;0,F30&gt;0,OR(CatSel="Todas",D30=CatSel)),H30+ROW()/1000000000,"")</f>
        <v/>
      </c>
    </row>
    <row r="31">
      <c r="B31" s="77" t="inlineStr">
        <is>
          <t>PA-600</t>
        </is>
      </c>
      <c r="C31" s="77" t="inlineStr">
        <is>
          <t>Cuaderno universitario</t>
        </is>
      </c>
      <c r="D31" s="77" t="inlineStr">
        <is>
          <t>Papelería y librería</t>
        </is>
      </c>
      <c r="E31" s="78" t="n">
        <v>8000</v>
      </c>
      <c r="F31" s="78" t="n">
        <v>16000</v>
      </c>
      <c r="G31" s="79">
        <f>IF(OR(C31="",E31&lt;=0,DivMargen&lt;=0),0,IF(Redondeo&gt;0,CEILING(E31/DivMargen,Redondeo),E31/DivMargen))</f>
        <v/>
      </c>
      <c r="H31" s="79">
        <f>IF(OR(C31="",E31&lt;=0,F31&lt;=0),0,F31*DivBase-E31)</f>
        <v/>
      </c>
      <c r="I31" s="80">
        <f>IF(OR(C31="",E31&lt;=0,F31&lt;=0),0,H31/F31)</f>
        <v/>
      </c>
      <c r="J31" s="78" t="n">
        <v>90</v>
      </c>
      <c r="K31" s="79">
        <f>IF(OR(C31="",E31&lt;=0),0,E31*J31)</f>
        <v/>
      </c>
      <c r="L31" s="68">
        <f>IF(OR(C31="",E31&lt;=0),"",IF(F31&lt;=0,"Sin precio",IF(H31&lt;0,"PÉRDIDA",IF(I31&lt;MargenMin,"Margen bajo",IF(I31&lt;MargenObjReal,"Aceptable","Rentable")))))</f>
        <v/>
      </c>
      <c r="M31" s="77" t="n"/>
      <c r="N31" s="81">
        <f>IF(ISNUMBER(W31),RANK(W31,$W$7:$W$206),"")</f>
        <v/>
      </c>
      <c r="W31" s="82">
        <f>IF(AND(C31&lt;&gt;"",E31&gt;0,F31&gt;0),H31+ROW()/1000000000,"")</f>
        <v/>
      </c>
      <c r="X31" s="82">
        <f>IF(AND(C31&lt;&gt;"",E31&gt;0,F31&gt;0,OR(CatSel="Todas",D31=CatSel)),H31+ROW()/1000000000,"")</f>
        <v/>
      </c>
    </row>
    <row r="32">
      <c r="B32" s="77" t="inlineStr">
        <is>
          <t>PA-601</t>
        </is>
      </c>
      <c r="C32" s="77" t="inlineStr">
        <is>
          <t>Set de lapiceras x12</t>
        </is>
      </c>
      <c r="D32" s="77" t="inlineStr">
        <is>
          <t>Papelería y librería</t>
        </is>
      </c>
      <c r="E32" s="78" t="n">
        <v>9500</v>
      </c>
      <c r="F32" s="78" t="n">
        <v>18000</v>
      </c>
      <c r="G32" s="79">
        <f>IF(OR(C32="",E32&lt;=0,DivMargen&lt;=0),0,IF(Redondeo&gt;0,CEILING(E32/DivMargen,Redondeo),E32/DivMargen))</f>
        <v/>
      </c>
      <c r="H32" s="79">
        <f>IF(OR(C32="",E32&lt;=0,F32&lt;=0),0,F32*DivBase-E32)</f>
        <v/>
      </c>
      <c r="I32" s="80">
        <f>IF(OR(C32="",E32&lt;=0,F32&lt;=0),0,H32/F32)</f>
        <v/>
      </c>
      <c r="J32" s="78" t="n">
        <v>70</v>
      </c>
      <c r="K32" s="79">
        <f>IF(OR(C32="",E32&lt;=0),0,E32*J32)</f>
        <v/>
      </c>
      <c r="L32" s="68">
        <f>IF(OR(C32="",E32&lt;=0),"",IF(F32&lt;=0,"Sin precio",IF(H32&lt;0,"PÉRDIDA",IF(I32&lt;MargenMin,"Margen bajo",IF(I32&lt;MargenObjReal,"Aceptable","Rentable")))))</f>
        <v/>
      </c>
      <c r="M32" s="77" t="n"/>
      <c r="N32" s="81">
        <f>IF(ISNUMBER(W32),RANK(W32,$W$7:$W$206),"")</f>
        <v/>
      </c>
      <c r="W32" s="82">
        <f>IF(AND(C32&lt;&gt;"",E32&gt;0,F32&gt;0),H32+ROW()/1000000000,"")</f>
        <v/>
      </c>
      <c r="X32" s="82">
        <f>IF(AND(C32&lt;&gt;"",E32&gt;0,F32&gt;0,OR(CatSel="Todas",D32=CatSel)),H32+ROW()/1000000000,"")</f>
        <v/>
      </c>
    </row>
    <row r="33">
      <c r="B33" s="77" t="inlineStr">
        <is>
          <t>PA-602</t>
        </is>
      </c>
      <c r="C33" s="77" t="inlineStr">
        <is>
          <t>Mochila escolar</t>
        </is>
      </c>
      <c r="D33" s="77" t="inlineStr">
        <is>
          <t>Papelería y librería</t>
        </is>
      </c>
      <c r="E33" s="78" t="n">
        <v>70000</v>
      </c>
      <c r="F33" s="78" t="n">
        <v>98000</v>
      </c>
      <c r="G33" s="79">
        <f>IF(OR(C33="",E33&lt;=0,DivMargen&lt;=0),0,IF(Redondeo&gt;0,CEILING(E33/DivMargen,Redondeo),E33/DivMargen))</f>
        <v/>
      </c>
      <c r="H33" s="79">
        <f>IF(OR(C33="",E33&lt;=0,F33&lt;=0),0,F33*DivBase-E33)</f>
        <v/>
      </c>
      <c r="I33" s="80">
        <f>IF(OR(C33="",E33&lt;=0,F33&lt;=0),0,H33/F33)</f>
        <v/>
      </c>
      <c r="J33" s="78" t="n">
        <v>15</v>
      </c>
      <c r="K33" s="79">
        <f>IF(OR(C33="",E33&lt;=0),0,E33*J33)</f>
        <v/>
      </c>
      <c r="L33" s="68">
        <f>IF(OR(C33="",E33&lt;=0),"",IF(F33&lt;=0,"Sin precio",IF(H33&lt;0,"PÉRDIDA",IF(I33&lt;MargenMin,"Margen bajo",IF(I33&lt;MargenObjReal,"Aceptable","Rentable")))))</f>
        <v/>
      </c>
      <c r="M33" s="77" t="n"/>
      <c r="N33" s="81">
        <f>IF(ISNUMBER(W33),RANK(W33,$W$7:$W$206),"")</f>
        <v/>
      </c>
      <c r="W33" s="82">
        <f>IF(AND(C33&lt;&gt;"",E33&gt;0,F33&gt;0),H33+ROW()/1000000000,"")</f>
        <v/>
      </c>
      <c r="X33" s="82">
        <f>IF(AND(C33&lt;&gt;"",E33&gt;0,F33&gt;0,OR(CatSel="Todas",D33=CatSel)),H33+ROW()/1000000000,"")</f>
        <v/>
      </c>
    </row>
    <row r="34">
      <c r="B34" s="77" t="inlineStr">
        <is>
          <t>MA-700</t>
        </is>
      </c>
      <c r="C34" s="77" t="inlineStr">
        <is>
          <t>Alimento para perros 3 kg</t>
        </is>
      </c>
      <c r="D34" s="77" t="inlineStr">
        <is>
          <t>Mascotas</t>
        </is>
      </c>
      <c r="E34" s="78" t="n">
        <v>58000</v>
      </c>
      <c r="F34" s="78" t="n">
        <v>82000</v>
      </c>
      <c r="G34" s="79">
        <f>IF(OR(C34="",E34&lt;=0,DivMargen&lt;=0),0,IF(Redondeo&gt;0,CEILING(E34/DivMargen,Redondeo),E34/DivMargen))</f>
        <v/>
      </c>
      <c r="H34" s="79">
        <f>IF(OR(C34="",E34&lt;=0,F34&lt;=0),0,F34*DivBase-E34)</f>
        <v/>
      </c>
      <c r="I34" s="80">
        <f>IF(OR(C34="",E34&lt;=0,F34&lt;=0),0,H34/F34)</f>
        <v/>
      </c>
      <c r="J34" s="78" t="n">
        <v>28</v>
      </c>
      <c r="K34" s="79">
        <f>IF(OR(C34="",E34&lt;=0),0,E34*J34)</f>
        <v/>
      </c>
      <c r="L34" s="68">
        <f>IF(OR(C34="",E34&lt;=0),"",IF(F34&lt;=0,"Sin precio",IF(H34&lt;0,"PÉRDIDA",IF(I34&lt;MargenMin,"Margen bajo",IF(I34&lt;MargenObjReal,"Aceptable","Rentable")))))</f>
        <v/>
      </c>
      <c r="M34" s="77" t="n"/>
      <c r="N34" s="81">
        <f>IF(ISNUMBER(W34),RANK(W34,$W$7:$W$206),"")</f>
        <v/>
      </c>
      <c r="W34" s="82">
        <f>IF(AND(C34&lt;&gt;"",E34&gt;0,F34&gt;0),H34+ROW()/1000000000,"")</f>
        <v/>
      </c>
      <c r="X34" s="82">
        <f>IF(AND(C34&lt;&gt;"",E34&gt;0,F34&gt;0,OR(CatSel="Todas",D34=CatSel)),H34+ROW()/1000000000,"")</f>
        <v/>
      </c>
    </row>
    <row r="35">
      <c r="B35" s="77" t="inlineStr">
        <is>
          <t>MA-701</t>
        </is>
      </c>
      <c r="C35" s="77" t="inlineStr">
        <is>
          <t>Juguete para gatos</t>
        </is>
      </c>
      <c r="D35" s="77" t="inlineStr">
        <is>
          <t>Mascotas</t>
        </is>
      </c>
      <c r="E35" s="78" t="n">
        <v>5000</v>
      </c>
      <c r="F35" s="78" t="n">
        <v>14000</v>
      </c>
      <c r="G35" s="79">
        <f>IF(OR(C35="",E35&lt;=0,DivMargen&lt;=0),0,IF(Redondeo&gt;0,CEILING(E35/DivMargen,Redondeo),E35/DivMargen))</f>
        <v/>
      </c>
      <c r="H35" s="79">
        <f>IF(OR(C35="",E35&lt;=0,F35&lt;=0),0,F35*DivBase-E35)</f>
        <v/>
      </c>
      <c r="I35" s="80">
        <f>IF(OR(C35="",E35&lt;=0,F35&lt;=0),0,H35/F35)</f>
        <v/>
      </c>
      <c r="J35" s="78" t="n">
        <v>45</v>
      </c>
      <c r="K35" s="79">
        <f>IF(OR(C35="",E35&lt;=0),0,E35*J35)</f>
        <v/>
      </c>
      <c r="L35" s="68">
        <f>IF(OR(C35="",E35&lt;=0),"",IF(F35&lt;=0,"Sin precio",IF(H35&lt;0,"PÉRDIDA",IF(I35&lt;MargenMin,"Margen bajo",IF(I35&lt;MargenObjReal,"Aceptable","Rentable")))))</f>
        <v/>
      </c>
      <c r="M35" s="77" t="n"/>
      <c r="N35" s="81">
        <f>IF(ISNUMBER(W35),RANK(W35,$W$7:$W$206),"")</f>
        <v/>
      </c>
      <c r="W35" s="82">
        <f>IF(AND(C35&lt;&gt;"",E35&gt;0,F35&gt;0),H35+ROW()/1000000000,"")</f>
        <v/>
      </c>
      <c r="X35" s="82">
        <f>IF(AND(C35&lt;&gt;"",E35&gt;0,F35&gt;0,OR(CatSel="Todas",D35=CatSel)),H35+ROW()/1000000000,"")</f>
        <v/>
      </c>
    </row>
    <row r="36">
      <c r="B36" s="77" t="inlineStr">
        <is>
          <t>SV-800</t>
        </is>
      </c>
      <c r="C36" s="77" t="inlineStr">
        <is>
          <t>Diseño de logo (servicio)</t>
        </is>
      </c>
      <c r="D36" s="77" t="inlineStr">
        <is>
          <t>Servicios</t>
        </is>
      </c>
      <c r="E36" s="78" t="n">
        <v>120000</v>
      </c>
      <c r="F36" s="78" t="n">
        <v>300000</v>
      </c>
      <c r="G36" s="79">
        <f>IF(OR(C36="",E36&lt;=0,DivMargen&lt;=0),0,IF(Redondeo&gt;0,CEILING(E36/DivMargen,Redondeo),E36/DivMargen))</f>
        <v/>
      </c>
      <c r="H36" s="79">
        <f>IF(OR(C36="",E36&lt;=0,F36&lt;=0),0,F36*DivBase-E36)</f>
        <v/>
      </c>
      <c r="I36" s="80">
        <f>IF(OR(C36="",E36&lt;=0,F36&lt;=0),0,H36/F36)</f>
        <v/>
      </c>
      <c r="J36" s="78" t="n">
        <v>0</v>
      </c>
      <c r="K36" s="79">
        <f>IF(OR(C36="",E36&lt;=0),0,E36*J36)</f>
        <v/>
      </c>
      <c r="L36" s="68">
        <f>IF(OR(C36="",E36&lt;=0),"",IF(F36&lt;=0,"Sin precio",IF(H36&lt;0,"PÉRDIDA",IF(I36&lt;MargenMin,"Margen bajo",IF(I36&lt;MargenObjReal,"Aceptable","Rentable")))))</f>
        <v/>
      </c>
      <c r="M36" s="77" t="n"/>
      <c r="N36" s="81">
        <f>IF(ISNUMBER(W36),RANK(W36,$W$7:$W$206),"")</f>
        <v/>
      </c>
      <c r="W36" s="82">
        <f>IF(AND(C36&lt;&gt;"",E36&gt;0,F36&gt;0),H36+ROW()/1000000000,"")</f>
        <v/>
      </c>
      <c r="X36" s="82">
        <f>IF(AND(C36&lt;&gt;"",E36&gt;0,F36&gt;0,OR(CatSel="Todas",D36=CatSel)),H36+ROW()/1000000000,"")</f>
        <v/>
      </c>
    </row>
    <row r="37">
      <c r="B37" s="77" t="n"/>
      <c r="C37" s="77" t="n"/>
      <c r="D37" s="77" t="n"/>
      <c r="E37" s="78" t="n"/>
      <c r="F37" s="78" t="n"/>
      <c r="G37" s="79">
        <f>IF(OR(C37="",E37&lt;=0,DivMargen&lt;=0),0,IF(Redondeo&gt;0,CEILING(E37/DivMargen,Redondeo),E37/DivMargen))</f>
        <v/>
      </c>
      <c r="H37" s="79">
        <f>IF(OR(C37="",E37&lt;=0,F37&lt;=0),0,F37*DivBase-E37)</f>
        <v/>
      </c>
      <c r="I37" s="80">
        <f>IF(OR(C37="",E37&lt;=0,F37&lt;=0),0,H37/F37)</f>
        <v/>
      </c>
      <c r="J37" s="78" t="n"/>
      <c r="K37" s="79">
        <f>IF(OR(C37="",E37&lt;=0),0,E37*J37)</f>
        <v/>
      </c>
      <c r="L37" s="68">
        <f>IF(OR(C37="",E37&lt;=0),"",IF(F37&lt;=0,"Sin precio",IF(H37&lt;0,"PÉRDIDA",IF(I37&lt;MargenMin,"Margen bajo",IF(I37&lt;MargenObjReal,"Aceptable","Rentable")))))</f>
        <v/>
      </c>
      <c r="M37" s="77" t="n"/>
      <c r="N37" s="81">
        <f>IF(ISNUMBER(W37),RANK(W37,$W$7:$W$206),"")</f>
        <v/>
      </c>
      <c r="W37" s="82">
        <f>IF(AND(C37&lt;&gt;"",E37&gt;0,F37&gt;0),H37+ROW()/1000000000,"")</f>
        <v/>
      </c>
      <c r="X37" s="82">
        <f>IF(AND(C37&lt;&gt;"",E37&gt;0,F37&gt;0,OR(CatSel="Todas",D37=CatSel)),H37+ROW()/1000000000,"")</f>
        <v/>
      </c>
    </row>
    <row r="38">
      <c r="B38" s="77" t="n"/>
      <c r="C38" s="77" t="n"/>
      <c r="D38" s="77" t="n"/>
      <c r="E38" s="78" t="n"/>
      <c r="F38" s="78" t="n"/>
      <c r="G38" s="79">
        <f>IF(OR(C38="",E38&lt;=0,DivMargen&lt;=0),0,IF(Redondeo&gt;0,CEILING(E38/DivMargen,Redondeo),E38/DivMargen))</f>
        <v/>
      </c>
      <c r="H38" s="79">
        <f>IF(OR(C38="",E38&lt;=0,F38&lt;=0),0,F38*DivBase-E38)</f>
        <v/>
      </c>
      <c r="I38" s="80">
        <f>IF(OR(C38="",E38&lt;=0,F38&lt;=0),0,H38/F38)</f>
        <v/>
      </c>
      <c r="J38" s="78" t="n"/>
      <c r="K38" s="79">
        <f>IF(OR(C38="",E38&lt;=0),0,E38*J38)</f>
        <v/>
      </c>
      <c r="L38" s="68">
        <f>IF(OR(C38="",E38&lt;=0),"",IF(F38&lt;=0,"Sin precio",IF(H38&lt;0,"PÉRDIDA",IF(I38&lt;MargenMin,"Margen bajo",IF(I38&lt;MargenObjReal,"Aceptable","Rentable")))))</f>
        <v/>
      </c>
      <c r="M38" s="77" t="n"/>
      <c r="N38" s="81">
        <f>IF(ISNUMBER(W38),RANK(W38,$W$7:$W$206),"")</f>
        <v/>
      </c>
      <c r="W38" s="82">
        <f>IF(AND(C38&lt;&gt;"",E38&gt;0,F38&gt;0),H38+ROW()/1000000000,"")</f>
        <v/>
      </c>
      <c r="X38" s="82">
        <f>IF(AND(C38&lt;&gt;"",E38&gt;0,F38&gt;0,OR(CatSel="Todas",D38=CatSel)),H38+ROW()/1000000000,"")</f>
        <v/>
      </c>
    </row>
    <row r="39">
      <c r="B39" s="77" t="n"/>
      <c r="C39" s="77" t="n"/>
      <c r="D39" s="77" t="n"/>
      <c r="E39" s="78" t="n"/>
      <c r="F39" s="78" t="n"/>
      <c r="G39" s="79">
        <f>IF(OR(C39="",E39&lt;=0,DivMargen&lt;=0),0,IF(Redondeo&gt;0,CEILING(E39/DivMargen,Redondeo),E39/DivMargen))</f>
        <v/>
      </c>
      <c r="H39" s="79">
        <f>IF(OR(C39="",E39&lt;=0,F39&lt;=0),0,F39*DivBase-E39)</f>
        <v/>
      </c>
      <c r="I39" s="80">
        <f>IF(OR(C39="",E39&lt;=0,F39&lt;=0),0,H39/F39)</f>
        <v/>
      </c>
      <c r="J39" s="78" t="n"/>
      <c r="K39" s="79">
        <f>IF(OR(C39="",E39&lt;=0),0,E39*J39)</f>
        <v/>
      </c>
      <c r="L39" s="68">
        <f>IF(OR(C39="",E39&lt;=0),"",IF(F39&lt;=0,"Sin precio",IF(H39&lt;0,"PÉRDIDA",IF(I39&lt;MargenMin,"Margen bajo",IF(I39&lt;MargenObjReal,"Aceptable","Rentable")))))</f>
        <v/>
      </c>
      <c r="M39" s="77" t="n"/>
      <c r="N39" s="81">
        <f>IF(ISNUMBER(W39),RANK(W39,$W$7:$W$206),"")</f>
        <v/>
      </c>
      <c r="W39" s="82">
        <f>IF(AND(C39&lt;&gt;"",E39&gt;0,F39&gt;0),H39+ROW()/1000000000,"")</f>
        <v/>
      </c>
      <c r="X39" s="82">
        <f>IF(AND(C39&lt;&gt;"",E39&gt;0,F39&gt;0,OR(CatSel="Todas",D39=CatSel)),H39+ROW()/1000000000,"")</f>
        <v/>
      </c>
    </row>
    <row r="40">
      <c r="B40" s="77" t="n"/>
      <c r="C40" s="77" t="n"/>
      <c r="D40" s="77" t="n"/>
      <c r="E40" s="78" t="n"/>
      <c r="F40" s="78" t="n"/>
      <c r="G40" s="79">
        <f>IF(OR(C40="",E40&lt;=0,DivMargen&lt;=0),0,IF(Redondeo&gt;0,CEILING(E40/DivMargen,Redondeo),E40/DivMargen))</f>
        <v/>
      </c>
      <c r="H40" s="79">
        <f>IF(OR(C40="",E40&lt;=0,F40&lt;=0),0,F40*DivBase-E40)</f>
        <v/>
      </c>
      <c r="I40" s="80">
        <f>IF(OR(C40="",E40&lt;=0,F40&lt;=0),0,H40/F40)</f>
        <v/>
      </c>
      <c r="J40" s="78" t="n"/>
      <c r="K40" s="79">
        <f>IF(OR(C40="",E40&lt;=0),0,E40*J40)</f>
        <v/>
      </c>
      <c r="L40" s="68">
        <f>IF(OR(C40="",E40&lt;=0),"",IF(F40&lt;=0,"Sin precio",IF(H40&lt;0,"PÉRDIDA",IF(I40&lt;MargenMin,"Margen bajo",IF(I40&lt;MargenObjReal,"Aceptable","Rentable")))))</f>
        <v/>
      </c>
      <c r="M40" s="77" t="n"/>
      <c r="N40" s="81">
        <f>IF(ISNUMBER(W40),RANK(W40,$W$7:$W$206),"")</f>
        <v/>
      </c>
      <c r="W40" s="82">
        <f>IF(AND(C40&lt;&gt;"",E40&gt;0,F40&gt;0),H40+ROW()/1000000000,"")</f>
        <v/>
      </c>
      <c r="X40" s="82">
        <f>IF(AND(C40&lt;&gt;"",E40&gt;0,F40&gt;0,OR(CatSel="Todas",D40=CatSel)),H40+ROW()/1000000000,"")</f>
        <v/>
      </c>
    </row>
    <row r="41">
      <c r="B41" s="77" t="n"/>
      <c r="C41" s="77" t="n"/>
      <c r="D41" s="77" t="n"/>
      <c r="E41" s="78" t="n"/>
      <c r="F41" s="78" t="n"/>
      <c r="G41" s="79">
        <f>IF(OR(C41="",E41&lt;=0,DivMargen&lt;=0),0,IF(Redondeo&gt;0,CEILING(E41/DivMargen,Redondeo),E41/DivMargen))</f>
        <v/>
      </c>
      <c r="H41" s="79">
        <f>IF(OR(C41="",E41&lt;=0,F41&lt;=0),0,F41*DivBase-E41)</f>
        <v/>
      </c>
      <c r="I41" s="80">
        <f>IF(OR(C41="",E41&lt;=0,F41&lt;=0),0,H41/F41)</f>
        <v/>
      </c>
      <c r="J41" s="78" t="n"/>
      <c r="K41" s="79">
        <f>IF(OR(C41="",E41&lt;=0),0,E41*J41)</f>
        <v/>
      </c>
      <c r="L41" s="68">
        <f>IF(OR(C41="",E41&lt;=0),"",IF(F41&lt;=0,"Sin precio",IF(H41&lt;0,"PÉRDIDA",IF(I41&lt;MargenMin,"Margen bajo",IF(I41&lt;MargenObjReal,"Aceptable","Rentable")))))</f>
        <v/>
      </c>
      <c r="M41" s="77" t="n"/>
      <c r="N41" s="81">
        <f>IF(ISNUMBER(W41),RANK(W41,$W$7:$W$206),"")</f>
        <v/>
      </c>
      <c r="W41" s="82">
        <f>IF(AND(C41&lt;&gt;"",E41&gt;0,F41&gt;0),H41+ROW()/1000000000,"")</f>
        <v/>
      </c>
      <c r="X41" s="82">
        <f>IF(AND(C41&lt;&gt;"",E41&gt;0,F41&gt;0,OR(CatSel="Todas",D41=CatSel)),H41+ROW()/1000000000,"")</f>
        <v/>
      </c>
    </row>
    <row r="42">
      <c r="B42" s="77" t="n"/>
      <c r="C42" s="77" t="n"/>
      <c r="D42" s="77" t="n"/>
      <c r="E42" s="78" t="n"/>
      <c r="F42" s="78" t="n"/>
      <c r="G42" s="79">
        <f>IF(OR(C42="",E42&lt;=0,DivMargen&lt;=0),0,IF(Redondeo&gt;0,CEILING(E42/DivMargen,Redondeo),E42/DivMargen))</f>
        <v/>
      </c>
      <c r="H42" s="79">
        <f>IF(OR(C42="",E42&lt;=0,F42&lt;=0),0,F42*DivBase-E42)</f>
        <v/>
      </c>
      <c r="I42" s="80">
        <f>IF(OR(C42="",E42&lt;=0,F42&lt;=0),0,H42/F42)</f>
        <v/>
      </c>
      <c r="J42" s="78" t="n"/>
      <c r="K42" s="79">
        <f>IF(OR(C42="",E42&lt;=0),0,E42*J42)</f>
        <v/>
      </c>
      <c r="L42" s="68">
        <f>IF(OR(C42="",E42&lt;=0),"",IF(F42&lt;=0,"Sin precio",IF(H42&lt;0,"PÉRDIDA",IF(I42&lt;MargenMin,"Margen bajo",IF(I42&lt;MargenObjReal,"Aceptable","Rentable")))))</f>
        <v/>
      </c>
      <c r="M42" s="77" t="n"/>
      <c r="N42" s="81">
        <f>IF(ISNUMBER(W42),RANK(W42,$W$7:$W$206),"")</f>
        <v/>
      </c>
      <c r="W42" s="82">
        <f>IF(AND(C42&lt;&gt;"",E42&gt;0,F42&gt;0),H42+ROW()/1000000000,"")</f>
        <v/>
      </c>
      <c r="X42" s="82">
        <f>IF(AND(C42&lt;&gt;"",E42&gt;0,F42&gt;0,OR(CatSel="Todas",D42=CatSel)),H42+ROW()/1000000000,"")</f>
        <v/>
      </c>
    </row>
    <row r="43">
      <c r="B43" s="77" t="n"/>
      <c r="C43" s="77" t="n"/>
      <c r="D43" s="77" t="n"/>
      <c r="E43" s="78" t="n"/>
      <c r="F43" s="78" t="n"/>
      <c r="G43" s="79">
        <f>IF(OR(C43="",E43&lt;=0,DivMargen&lt;=0),0,IF(Redondeo&gt;0,CEILING(E43/DivMargen,Redondeo),E43/DivMargen))</f>
        <v/>
      </c>
      <c r="H43" s="79">
        <f>IF(OR(C43="",E43&lt;=0,F43&lt;=0),0,F43*DivBase-E43)</f>
        <v/>
      </c>
      <c r="I43" s="80">
        <f>IF(OR(C43="",E43&lt;=0,F43&lt;=0),0,H43/F43)</f>
        <v/>
      </c>
      <c r="J43" s="78" t="n"/>
      <c r="K43" s="79">
        <f>IF(OR(C43="",E43&lt;=0),0,E43*J43)</f>
        <v/>
      </c>
      <c r="L43" s="68">
        <f>IF(OR(C43="",E43&lt;=0),"",IF(F43&lt;=0,"Sin precio",IF(H43&lt;0,"PÉRDIDA",IF(I43&lt;MargenMin,"Margen bajo",IF(I43&lt;MargenObjReal,"Aceptable","Rentable")))))</f>
        <v/>
      </c>
      <c r="M43" s="77" t="n"/>
      <c r="N43" s="81">
        <f>IF(ISNUMBER(W43),RANK(W43,$W$7:$W$206),"")</f>
        <v/>
      </c>
      <c r="W43" s="82">
        <f>IF(AND(C43&lt;&gt;"",E43&gt;0,F43&gt;0),H43+ROW()/1000000000,"")</f>
        <v/>
      </c>
      <c r="X43" s="82">
        <f>IF(AND(C43&lt;&gt;"",E43&gt;0,F43&gt;0,OR(CatSel="Todas",D43=CatSel)),H43+ROW()/1000000000,"")</f>
        <v/>
      </c>
    </row>
    <row r="44">
      <c r="B44" s="77" t="n"/>
      <c r="C44" s="77" t="n"/>
      <c r="D44" s="77" t="n"/>
      <c r="E44" s="78" t="n"/>
      <c r="F44" s="78" t="n"/>
      <c r="G44" s="79">
        <f>IF(OR(C44="",E44&lt;=0,DivMargen&lt;=0),0,IF(Redondeo&gt;0,CEILING(E44/DivMargen,Redondeo),E44/DivMargen))</f>
        <v/>
      </c>
      <c r="H44" s="79">
        <f>IF(OR(C44="",E44&lt;=0,F44&lt;=0),0,F44*DivBase-E44)</f>
        <v/>
      </c>
      <c r="I44" s="80">
        <f>IF(OR(C44="",E44&lt;=0,F44&lt;=0),0,H44/F44)</f>
        <v/>
      </c>
      <c r="J44" s="78" t="n"/>
      <c r="K44" s="79">
        <f>IF(OR(C44="",E44&lt;=0),0,E44*J44)</f>
        <v/>
      </c>
      <c r="L44" s="68">
        <f>IF(OR(C44="",E44&lt;=0),"",IF(F44&lt;=0,"Sin precio",IF(H44&lt;0,"PÉRDIDA",IF(I44&lt;MargenMin,"Margen bajo",IF(I44&lt;MargenObjReal,"Aceptable","Rentable")))))</f>
        <v/>
      </c>
      <c r="M44" s="77" t="n"/>
      <c r="N44" s="81">
        <f>IF(ISNUMBER(W44),RANK(W44,$W$7:$W$206),"")</f>
        <v/>
      </c>
      <c r="W44" s="82">
        <f>IF(AND(C44&lt;&gt;"",E44&gt;0,F44&gt;0),H44+ROW()/1000000000,"")</f>
        <v/>
      </c>
      <c r="X44" s="82">
        <f>IF(AND(C44&lt;&gt;"",E44&gt;0,F44&gt;0,OR(CatSel="Todas",D44=CatSel)),H44+ROW()/1000000000,"")</f>
        <v/>
      </c>
    </row>
    <row r="45">
      <c r="B45" s="77" t="n"/>
      <c r="C45" s="77" t="n"/>
      <c r="D45" s="77" t="n"/>
      <c r="E45" s="78" t="n"/>
      <c r="F45" s="78" t="n"/>
      <c r="G45" s="79">
        <f>IF(OR(C45="",E45&lt;=0,DivMargen&lt;=0),0,IF(Redondeo&gt;0,CEILING(E45/DivMargen,Redondeo),E45/DivMargen))</f>
        <v/>
      </c>
      <c r="H45" s="79">
        <f>IF(OR(C45="",E45&lt;=0,F45&lt;=0),0,F45*DivBase-E45)</f>
        <v/>
      </c>
      <c r="I45" s="80">
        <f>IF(OR(C45="",E45&lt;=0,F45&lt;=0),0,H45/F45)</f>
        <v/>
      </c>
      <c r="J45" s="78" t="n"/>
      <c r="K45" s="79">
        <f>IF(OR(C45="",E45&lt;=0),0,E45*J45)</f>
        <v/>
      </c>
      <c r="L45" s="68">
        <f>IF(OR(C45="",E45&lt;=0),"",IF(F45&lt;=0,"Sin precio",IF(H45&lt;0,"PÉRDIDA",IF(I45&lt;MargenMin,"Margen bajo",IF(I45&lt;MargenObjReal,"Aceptable","Rentable")))))</f>
        <v/>
      </c>
      <c r="M45" s="77" t="n"/>
      <c r="N45" s="81">
        <f>IF(ISNUMBER(W45),RANK(W45,$W$7:$W$206),"")</f>
        <v/>
      </c>
      <c r="W45" s="82">
        <f>IF(AND(C45&lt;&gt;"",E45&gt;0,F45&gt;0),H45+ROW()/1000000000,"")</f>
        <v/>
      </c>
      <c r="X45" s="82">
        <f>IF(AND(C45&lt;&gt;"",E45&gt;0,F45&gt;0,OR(CatSel="Todas",D45=CatSel)),H45+ROW()/1000000000,"")</f>
        <v/>
      </c>
    </row>
    <row r="46">
      <c r="B46" s="77" t="n"/>
      <c r="C46" s="77" t="n"/>
      <c r="D46" s="77" t="n"/>
      <c r="E46" s="78" t="n"/>
      <c r="F46" s="78" t="n"/>
      <c r="G46" s="79">
        <f>IF(OR(C46="",E46&lt;=0,DivMargen&lt;=0),0,IF(Redondeo&gt;0,CEILING(E46/DivMargen,Redondeo),E46/DivMargen))</f>
        <v/>
      </c>
      <c r="H46" s="79">
        <f>IF(OR(C46="",E46&lt;=0,F46&lt;=0),0,F46*DivBase-E46)</f>
        <v/>
      </c>
      <c r="I46" s="80">
        <f>IF(OR(C46="",E46&lt;=0,F46&lt;=0),0,H46/F46)</f>
        <v/>
      </c>
      <c r="J46" s="78" t="n"/>
      <c r="K46" s="79">
        <f>IF(OR(C46="",E46&lt;=0),0,E46*J46)</f>
        <v/>
      </c>
      <c r="L46" s="68">
        <f>IF(OR(C46="",E46&lt;=0),"",IF(F46&lt;=0,"Sin precio",IF(H46&lt;0,"PÉRDIDA",IF(I46&lt;MargenMin,"Margen bajo",IF(I46&lt;MargenObjReal,"Aceptable","Rentable")))))</f>
        <v/>
      </c>
      <c r="M46" s="77" t="n"/>
      <c r="N46" s="81">
        <f>IF(ISNUMBER(W46),RANK(W46,$W$7:$W$206),"")</f>
        <v/>
      </c>
      <c r="W46" s="82">
        <f>IF(AND(C46&lt;&gt;"",E46&gt;0,F46&gt;0),H46+ROW()/1000000000,"")</f>
        <v/>
      </c>
      <c r="X46" s="82">
        <f>IF(AND(C46&lt;&gt;"",E46&gt;0,F46&gt;0,OR(CatSel="Todas",D46=CatSel)),H46+ROW()/1000000000,"")</f>
        <v/>
      </c>
    </row>
    <row r="47">
      <c r="B47" s="77" t="n"/>
      <c r="C47" s="77" t="n"/>
      <c r="D47" s="77" t="n"/>
      <c r="E47" s="78" t="n"/>
      <c r="F47" s="78" t="n"/>
      <c r="G47" s="79">
        <f>IF(OR(C47="",E47&lt;=0,DivMargen&lt;=0),0,IF(Redondeo&gt;0,CEILING(E47/DivMargen,Redondeo),E47/DivMargen))</f>
        <v/>
      </c>
      <c r="H47" s="79">
        <f>IF(OR(C47="",E47&lt;=0,F47&lt;=0),0,F47*DivBase-E47)</f>
        <v/>
      </c>
      <c r="I47" s="80">
        <f>IF(OR(C47="",E47&lt;=0,F47&lt;=0),0,H47/F47)</f>
        <v/>
      </c>
      <c r="J47" s="78" t="n"/>
      <c r="K47" s="79">
        <f>IF(OR(C47="",E47&lt;=0),0,E47*J47)</f>
        <v/>
      </c>
      <c r="L47" s="68">
        <f>IF(OR(C47="",E47&lt;=0),"",IF(F47&lt;=0,"Sin precio",IF(H47&lt;0,"PÉRDIDA",IF(I47&lt;MargenMin,"Margen bajo",IF(I47&lt;MargenObjReal,"Aceptable","Rentable")))))</f>
        <v/>
      </c>
      <c r="M47" s="77" t="n"/>
      <c r="N47" s="81">
        <f>IF(ISNUMBER(W47),RANK(W47,$W$7:$W$206),"")</f>
        <v/>
      </c>
      <c r="W47" s="82">
        <f>IF(AND(C47&lt;&gt;"",E47&gt;0,F47&gt;0),H47+ROW()/1000000000,"")</f>
        <v/>
      </c>
      <c r="X47" s="82">
        <f>IF(AND(C47&lt;&gt;"",E47&gt;0,F47&gt;0,OR(CatSel="Todas",D47=CatSel)),H47+ROW()/1000000000,"")</f>
        <v/>
      </c>
    </row>
    <row r="48">
      <c r="B48" s="77" t="n"/>
      <c r="C48" s="77" t="n"/>
      <c r="D48" s="77" t="n"/>
      <c r="E48" s="78" t="n"/>
      <c r="F48" s="78" t="n"/>
      <c r="G48" s="79">
        <f>IF(OR(C48="",E48&lt;=0,DivMargen&lt;=0),0,IF(Redondeo&gt;0,CEILING(E48/DivMargen,Redondeo),E48/DivMargen))</f>
        <v/>
      </c>
      <c r="H48" s="79">
        <f>IF(OR(C48="",E48&lt;=0,F48&lt;=0),0,F48*DivBase-E48)</f>
        <v/>
      </c>
      <c r="I48" s="80">
        <f>IF(OR(C48="",E48&lt;=0,F48&lt;=0),0,H48/F48)</f>
        <v/>
      </c>
      <c r="J48" s="78" t="n"/>
      <c r="K48" s="79">
        <f>IF(OR(C48="",E48&lt;=0),0,E48*J48)</f>
        <v/>
      </c>
      <c r="L48" s="68">
        <f>IF(OR(C48="",E48&lt;=0),"",IF(F48&lt;=0,"Sin precio",IF(H48&lt;0,"PÉRDIDA",IF(I48&lt;MargenMin,"Margen bajo",IF(I48&lt;MargenObjReal,"Aceptable","Rentable")))))</f>
        <v/>
      </c>
      <c r="M48" s="77" t="n"/>
      <c r="N48" s="81">
        <f>IF(ISNUMBER(W48),RANK(W48,$W$7:$W$206),"")</f>
        <v/>
      </c>
      <c r="W48" s="82">
        <f>IF(AND(C48&lt;&gt;"",E48&gt;0,F48&gt;0),H48+ROW()/1000000000,"")</f>
        <v/>
      </c>
      <c r="X48" s="82">
        <f>IF(AND(C48&lt;&gt;"",E48&gt;0,F48&gt;0,OR(CatSel="Todas",D48=CatSel)),H48+ROW()/1000000000,"")</f>
        <v/>
      </c>
    </row>
    <row r="49">
      <c r="B49" s="77" t="n"/>
      <c r="C49" s="77" t="n"/>
      <c r="D49" s="77" t="n"/>
      <c r="E49" s="78" t="n"/>
      <c r="F49" s="78" t="n"/>
      <c r="G49" s="79">
        <f>IF(OR(C49="",E49&lt;=0,DivMargen&lt;=0),0,IF(Redondeo&gt;0,CEILING(E49/DivMargen,Redondeo),E49/DivMargen))</f>
        <v/>
      </c>
      <c r="H49" s="79">
        <f>IF(OR(C49="",E49&lt;=0,F49&lt;=0),0,F49*DivBase-E49)</f>
        <v/>
      </c>
      <c r="I49" s="80">
        <f>IF(OR(C49="",E49&lt;=0,F49&lt;=0),0,H49/F49)</f>
        <v/>
      </c>
      <c r="J49" s="78" t="n"/>
      <c r="K49" s="79">
        <f>IF(OR(C49="",E49&lt;=0),0,E49*J49)</f>
        <v/>
      </c>
      <c r="L49" s="68">
        <f>IF(OR(C49="",E49&lt;=0),"",IF(F49&lt;=0,"Sin precio",IF(H49&lt;0,"PÉRDIDA",IF(I49&lt;MargenMin,"Margen bajo",IF(I49&lt;MargenObjReal,"Aceptable","Rentable")))))</f>
        <v/>
      </c>
      <c r="M49" s="77" t="n"/>
      <c r="N49" s="81">
        <f>IF(ISNUMBER(W49),RANK(W49,$W$7:$W$206),"")</f>
        <v/>
      </c>
      <c r="W49" s="82">
        <f>IF(AND(C49&lt;&gt;"",E49&gt;0,F49&gt;0),H49+ROW()/1000000000,"")</f>
        <v/>
      </c>
      <c r="X49" s="82">
        <f>IF(AND(C49&lt;&gt;"",E49&gt;0,F49&gt;0,OR(CatSel="Todas",D49=CatSel)),H49+ROW()/1000000000,"")</f>
        <v/>
      </c>
    </row>
    <row r="50">
      <c r="B50" s="77" t="n"/>
      <c r="C50" s="77" t="n"/>
      <c r="D50" s="77" t="n"/>
      <c r="E50" s="78" t="n"/>
      <c r="F50" s="78" t="n"/>
      <c r="G50" s="79">
        <f>IF(OR(C50="",E50&lt;=0,DivMargen&lt;=0),0,IF(Redondeo&gt;0,CEILING(E50/DivMargen,Redondeo),E50/DivMargen))</f>
        <v/>
      </c>
      <c r="H50" s="79">
        <f>IF(OR(C50="",E50&lt;=0,F50&lt;=0),0,F50*DivBase-E50)</f>
        <v/>
      </c>
      <c r="I50" s="80">
        <f>IF(OR(C50="",E50&lt;=0,F50&lt;=0),0,H50/F50)</f>
        <v/>
      </c>
      <c r="J50" s="78" t="n"/>
      <c r="K50" s="79">
        <f>IF(OR(C50="",E50&lt;=0),0,E50*J50)</f>
        <v/>
      </c>
      <c r="L50" s="68">
        <f>IF(OR(C50="",E50&lt;=0),"",IF(F50&lt;=0,"Sin precio",IF(H50&lt;0,"PÉRDIDA",IF(I50&lt;MargenMin,"Margen bajo",IF(I50&lt;MargenObjReal,"Aceptable","Rentable")))))</f>
        <v/>
      </c>
      <c r="M50" s="77" t="n"/>
      <c r="N50" s="81">
        <f>IF(ISNUMBER(W50),RANK(W50,$W$7:$W$206),"")</f>
        <v/>
      </c>
      <c r="W50" s="82">
        <f>IF(AND(C50&lt;&gt;"",E50&gt;0,F50&gt;0),H50+ROW()/1000000000,"")</f>
        <v/>
      </c>
      <c r="X50" s="82">
        <f>IF(AND(C50&lt;&gt;"",E50&gt;0,F50&gt;0,OR(CatSel="Todas",D50=CatSel)),H50+ROW()/1000000000,"")</f>
        <v/>
      </c>
    </row>
    <row r="51">
      <c r="B51" s="77" t="n"/>
      <c r="C51" s="77" t="n"/>
      <c r="D51" s="77" t="n"/>
      <c r="E51" s="78" t="n"/>
      <c r="F51" s="78" t="n"/>
      <c r="G51" s="79">
        <f>IF(OR(C51="",E51&lt;=0,DivMargen&lt;=0),0,IF(Redondeo&gt;0,CEILING(E51/DivMargen,Redondeo),E51/DivMargen))</f>
        <v/>
      </c>
      <c r="H51" s="79">
        <f>IF(OR(C51="",E51&lt;=0,F51&lt;=0),0,F51*DivBase-E51)</f>
        <v/>
      </c>
      <c r="I51" s="80">
        <f>IF(OR(C51="",E51&lt;=0,F51&lt;=0),0,H51/F51)</f>
        <v/>
      </c>
      <c r="J51" s="78" t="n"/>
      <c r="K51" s="79">
        <f>IF(OR(C51="",E51&lt;=0),0,E51*J51)</f>
        <v/>
      </c>
      <c r="L51" s="68">
        <f>IF(OR(C51="",E51&lt;=0),"",IF(F51&lt;=0,"Sin precio",IF(H51&lt;0,"PÉRDIDA",IF(I51&lt;MargenMin,"Margen bajo",IF(I51&lt;MargenObjReal,"Aceptable","Rentable")))))</f>
        <v/>
      </c>
      <c r="M51" s="77" t="n"/>
      <c r="N51" s="81">
        <f>IF(ISNUMBER(W51),RANK(W51,$W$7:$W$206),"")</f>
        <v/>
      </c>
      <c r="W51" s="82">
        <f>IF(AND(C51&lt;&gt;"",E51&gt;0,F51&gt;0),H51+ROW()/1000000000,"")</f>
        <v/>
      </c>
      <c r="X51" s="82">
        <f>IF(AND(C51&lt;&gt;"",E51&gt;0,F51&gt;0,OR(CatSel="Todas",D51=CatSel)),H51+ROW()/1000000000,"")</f>
        <v/>
      </c>
    </row>
    <row r="52">
      <c r="B52" s="77" t="n"/>
      <c r="C52" s="77" t="n"/>
      <c r="D52" s="77" t="n"/>
      <c r="E52" s="78" t="n"/>
      <c r="F52" s="78" t="n"/>
      <c r="G52" s="79">
        <f>IF(OR(C52="",E52&lt;=0,DivMargen&lt;=0),0,IF(Redondeo&gt;0,CEILING(E52/DivMargen,Redondeo),E52/DivMargen))</f>
        <v/>
      </c>
      <c r="H52" s="79">
        <f>IF(OR(C52="",E52&lt;=0,F52&lt;=0),0,F52*DivBase-E52)</f>
        <v/>
      </c>
      <c r="I52" s="80">
        <f>IF(OR(C52="",E52&lt;=0,F52&lt;=0),0,H52/F52)</f>
        <v/>
      </c>
      <c r="J52" s="78" t="n"/>
      <c r="K52" s="79">
        <f>IF(OR(C52="",E52&lt;=0),0,E52*J52)</f>
        <v/>
      </c>
      <c r="L52" s="68">
        <f>IF(OR(C52="",E52&lt;=0),"",IF(F52&lt;=0,"Sin precio",IF(H52&lt;0,"PÉRDIDA",IF(I52&lt;MargenMin,"Margen bajo",IF(I52&lt;MargenObjReal,"Aceptable","Rentable")))))</f>
        <v/>
      </c>
      <c r="M52" s="77" t="n"/>
      <c r="N52" s="81">
        <f>IF(ISNUMBER(W52),RANK(W52,$W$7:$W$206),"")</f>
        <v/>
      </c>
      <c r="W52" s="82">
        <f>IF(AND(C52&lt;&gt;"",E52&gt;0,F52&gt;0),H52+ROW()/1000000000,"")</f>
        <v/>
      </c>
      <c r="X52" s="82">
        <f>IF(AND(C52&lt;&gt;"",E52&gt;0,F52&gt;0,OR(CatSel="Todas",D52=CatSel)),H52+ROW()/1000000000,"")</f>
        <v/>
      </c>
    </row>
    <row r="53">
      <c r="B53" s="77" t="n"/>
      <c r="C53" s="77" t="n"/>
      <c r="D53" s="77" t="n"/>
      <c r="E53" s="78" t="n"/>
      <c r="F53" s="78" t="n"/>
      <c r="G53" s="79">
        <f>IF(OR(C53="",E53&lt;=0,DivMargen&lt;=0),0,IF(Redondeo&gt;0,CEILING(E53/DivMargen,Redondeo),E53/DivMargen))</f>
        <v/>
      </c>
      <c r="H53" s="79">
        <f>IF(OR(C53="",E53&lt;=0,F53&lt;=0),0,F53*DivBase-E53)</f>
        <v/>
      </c>
      <c r="I53" s="80">
        <f>IF(OR(C53="",E53&lt;=0,F53&lt;=0),0,H53/F53)</f>
        <v/>
      </c>
      <c r="J53" s="78" t="n"/>
      <c r="K53" s="79">
        <f>IF(OR(C53="",E53&lt;=0),0,E53*J53)</f>
        <v/>
      </c>
      <c r="L53" s="68">
        <f>IF(OR(C53="",E53&lt;=0),"",IF(F53&lt;=0,"Sin precio",IF(H53&lt;0,"PÉRDIDA",IF(I53&lt;MargenMin,"Margen bajo",IF(I53&lt;MargenObjReal,"Aceptable","Rentable")))))</f>
        <v/>
      </c>
      <c r="M53" s="77" t="n"/>
      <c r="N53" s="81">
        <f>IF(ISNUMBER(W53),RANK(W53,$W$7:$W$206),"")</f>
        <v/>
      </c>
      <c r="W53" s="82">
        <f>IF(AND(C53&lt;&gt;"",E53&gt;0,F53&gt;0),H53+ROW()/1000000000,"")</f>
        <v/>
      </c>
      <c r="X53" s="82">
        <f>IF(AND(C53&lt;&gt;"",E53&gt;0,F53&gt;0,OR(CatSel="Todas",D53=CatSel)),H53+ROW()/1000000000,"")</f>
        <v/>
      </c>
    </row>
    <row r="54">
      <c r="B54" s="77" t="n"/>
      <c r="C54" s="77" t="n"/>
      <c r="D54" s="77" t="n"/>
      <c r="E54" s="78" t="n"/>
      <c r="F54" s="78" t="n"/>
      <c r="G54" s="79">
        <f>IF(OR(C54="",E54&lt;=0,DivMargen&lt;=0),0,IF(Redondeo&gt;0,CEILING(E54/DivMargen,Redondeo),E54/DivMargen))</f>
        <v/>
      </c>
      <c r="H54" s="79">
        <f>IF(OR(C54="",E54&lt;=0,F54&lt;=0),0,F54*DivBase-E54)</f>
        <v/>
      </c>
      <c r="I54" s="80">
        <f>IF(OR(C54="",E54&lt;=0,F54&lt;=0),0,H54/F54)</f>
        <v/>
      </c>
      <c r="J54" s="78" t="n"/>
      <c r="K54" s="79">
        <f>IF(OR(C54="",E54&lt;=0),0,E54*J54)</f>
        <v/>
      </c>
      <c r="L54" s="68">
        <f>IF(OR(C54="",E54&lt;=0),"",IF(F54&lt;=0,"Sin precio",IF(H54&lt;0,"PÉRDIDA",IF(I54&lt;MargenMin,"Margen bajo",IF(I54&lt;MargenObjReal,"Aceptable","Rentable")))))</f>
        <v/>
      </c>
      <c r="M54" s="77" t="n"/>
      <c r="N54" s="81">
        <f>IF(ISNUMBER(W54),RANK(W54,$W$7:$W$206),"")</f>
        <v/>
      </c>
      <c r="W54" s="82">
        <f>IF(AND(C54&lt;&gt;"",E54&gt;0,F54&gt;0),H54+ROW()/1000000000,"")</f>
        <v/>
      </c>
      <c r="X54" s="82">
        <f>IF(AND(C54&lt;&gt;"",E54&gt;0,F54&gt;0,OR(CatSel="Todas",D54=CatSel)),H54+ROW()/1000000000,"")</f>
        <v/>
      </c>
    </row>
    <row r="55">
      <c r="B55" s="77" t="n"/>
      <c r="C55" s="77" t="n"/>
      <c r="D55" s="77" t="n"/>
      <c r="E55" s="78" t="n"/>
      <c r="F55" s="78" t="n"/>
      <c r="G55" s="79">
        <f>IF(OR(C55="",E55&lt;=0,DivMargen&lt;=0),0,IF(Redondeo&gt;0,CEILING(E55/DivMargen,Redondeo),E55/DivMargen))</f>
        <v/>
      </c>
      <c r="H55" s="79">
        <f>IF(OR(C55="",E55&lt;=0,F55&lt;=0),0,F55*DivBase-E55)</f>
        <v/>
      </c>
      <c r="I55" s="80">
        <f>IF(OR(C55="",E55&lt;=0,F55&lt;=0),0,H55/F55)</f>
        <v/>
      </c>
      <c r="J55" s="78" t="n"/>
      <c r="K55" s="79">
        <f>IF(OR(C55="",E55&lt;=0),0,E55*J55)</f>
        <v/>
      </c>
      <c r="L55" s="68">
        <f>IF(OR(C55="",E55&lt;=0),"",IF(F55&lt;=0,"Sin precio",IF(H55&lt;0,"PÉRDIDA",IF(I55&lt;MargenMin,"Margen bajo",IF(I55&lt;MargenObjReal,"Aceptable","Rentable")))))</f>
        <v/>
      </c>
      <c r="M55" s="77" t="n"/>
      <c r="N55" s="81">
        <f>IF(ISNUMBER(W55),RANK(W55,$W$7:$W$206),"")</f>
        <v/>
      </c>
      <c r="W55" s="82">
        <f>IF(AND(C55&lt;&gt;"",E55&gt;0,F55&gt;0),H55+ROW()/1000000000,"")</f>
        <v/>
      </c>
      <c r="X55" s="82">
        <f>IF(AND(C55&lt;&gt;"",E55&gt;0,F55&gt;0,OR(CatSel="Todas",D55=CatSel)),H55+ROW()/1000000000,"")</f>
        <v/>
      </c>
    </row>
    <row r="56">
      <c r="B56" s="77" t="n"/>
      <c r="C56" s="77" t="n"/>
      <c r="D56" s="77" t="n"/>
      <c r="E56" s="78" t="n"/>
      <c r="F56" s="78" t="n"/>
      <c r="G56" s="79">
        <f>IF(OR(C56="",E56&lt;=0,DivMargen&lt;=0),0,IF(Redondeo&gt;0,CEILING(E56/DivMargen,Redondeo),E56/DivMargen))</f>
        <v/>
      </c>
      <c r="H56" s="79">
        <f>IF(OR(C56="",E56&lt;=0,F56&lt;=0),0,F56*DivBase-E56)</f>
        <v/>
      </c>
      <c r="I56" s="80">
        <f>IF(OR(C56="",E56&lt;=0,F56&lt;=0),0,H56/F56)</f>
        <v/>
      </c>
      <c r="J56" s="78" t="n"/>
      <c r="K56" s="79">
        <f>IF(OR(C56="",E56&lt;=0),0,E56*J56)</f>
        <v/>
      </c>
      <c r="L56" s="68">
        <f>IF(OR(C56="",E56&lt;=0),"",IF(F56&lt;=0,"Sin precio",IF(H56&lt;0,"PÉRDIDA",IF(I56&lt;MargenMin,"Margen bajo",IF(I56&lt;MargenObjReal,"Aceptable","Rentable")))))</f>
        <v/>
      </c>
      <c r="M56" s="77" t="n"/>
      <c r="N56" s="81">
        <f>IF(ISNUMBER(W56),RANK(W56,$W$7:$W$206),"")</f>
        <v/>
      </c>
      <c r="W56" s="82">
        <f>IF(AND(C56&lt;&gt;"",E56&gt;0,F56&gt;0),H56+ROW()/1000000000,"")</f>
        <v/>
      </c>
      <c r="X56" s="82">
        <f>IF(AND(C56&lt;&gt;"",E56&gt;0,F56&gt;0,OR(CatSel="Todas",D56=CatSel)),H56+ROW()/1000000000,"")</f>
        <v/>
      </c>
    </row>
    <row r="57">
      <c r="B57" s="77" t="n"/>
      <c r="C57" s="77" t="n"/>
      <c r="D57" s="77" t="n"/>
      <c r="E57" s="78" t="n"/>
      <c r="F57" s="78" t="n"/>
      <c r="G57" s="79">
        <f>IF(OR(C57="",E57&lt;=0,DivMargen&lt;=0),0,IF(Redondeo&gt;0,CEILING(E57/DivMargen,Redondeo),E57/DivMargen))</f>
        <v/>
      </c>
      <c r="H57" s="79">
        <f>IF(OR(C57="",E57&lt;=0,F57&lt;=0),0,F57*DivBase-E57)</f>
        <v/>
      </c>
      <c r="I57" s="80">
        <f>IF(OR(C57="",E57&lt;=0,F57&lt;=0),0,H57/F57)</f>
        <v/>
      </c>
      <c r="J57" s="78" t="n"/>
      <c r="K57" s="79">
        <f>IF(OR(C57="",E57&lt;=0),0,E57*J57)</f>
        <v/>
      </c>
      <c r="L57" s="68">
        <f>IF(OR(C57="",E57&lt;=0),"",IF(F57&lt;=0,"Sin precio",IF(H57&lt;0,"PÉRDIDA",IF(I57&lt;MargenMin,"Margen bajo",IF(I57&lt;MargenObjReal,"Aceptable","Rentable")))))</f>
        <v/>
      </c>
      <c r="M57" s="77" t="n"/>
      <c r="N57" s="81">
        <f>IF(ISNUMBER(W57),RANK(W57,$W$7:$W$206),"")</f>
        <v/>
      </c>
      <c r="W57" s="82">
        <f>IF(AND(C57&lt;&gt;"",E57&gt;0,F57&gt;0),H57+ROW()/1000000000,"")</f>
        <v/>
      </c>
      <c r="X57" s="82">
        <f>IF(AND(C57&lt;&gt;"",E57&gt;0,F57&gt;0,OR(CatSel="Todas",D57=CatSel)),H57+ROW()/1000000000,"")</f>
        <v/>
      </c>
    </row>
    <row r="58">
      <c r="B58" s="77" t="n"/>
      <c r="C58" s="77" t="n"/>
      <c r="D58" s="77" t="n"/>
      <c r="E58" s="78" t="n"/>
      <c r="F58" s="78" t="n"/>
      <c r="G58" s="79">
        <f>IF(OR(C58="",E58&lt;=0,DivMargen&lt;=0),0,IF(Redondeo&gt;0,CEILING(E58/DivMargen,Redondeo),E58/DivMargen))</f>
        <v/>
      </c>
      <c r="H58" s="79">
        <f>IF(OR(C58="",E58&lt;=0,F58&lt;=0),0,F58*DivBase-E58)</f>
        <v/>
      </c>
      <c r="I58" s="80">
        <f>IF(OR(C58="",E58&lt;=0,F58&lt;=0),0,H58/F58)</f>
        <v/>
      </c>
      <c r="J58" s="78" t="n"/>
      <c r="K58" s="79">
        <f>IF(OR(C58="",E58&lt;=0),0,E58*J58)</f>
        <v/>
      </c>
      <c r="L58" s="68">
        <f>IF(OR(C58="",E58&lt;=0),"",IF(F58&lt;=0,"Sin precio",IF(H58&lt;0,"PÉRDIDA",IF(I58&lt;MargenMin,"Margen bajo",IF(I58&lt;MargenObjReal,"Aceptable","Rentable")))))</f>
        <v/>
      </c>
      <c r="M58" s="77" t="n"/>
      <c r="N58" s="81">
        <f>IF(ISNUMBER(W58),RANK(W58,$W$7:$W$206),"")</f>
        <v/>
      </c>
      <c r="W58" s="82">
        <f>IF(AND(C58&lt;&gt;"",E58&gt;0,F58&gt;0),H58+ROW()/1000000000,"")</f>
        <v/>
      </c>
      <c r="X58" s="82">
        <f>IF(AND(C58&lt;&gt;"",E58&gt;0,F58&gt;0,OR(CatSel="Todas",D58=CatSel)),H58+ROW()/1000000000,"")</f>
        <v/>
      </c>
    </row>
    <row r="59">
      <c r="B59" s="77" t="n"/>
      <c r="C59" s="77" t="n"/>
      <c r="D59" s="77" t="n"/>
      <c r="E59" s="78" t="n"/>
      <c r="F59" s="78" t="n"/>
      <c r="G59" s="79">
        <f>IF(OR(C59="",E59&lt;=0,DivMargen&lt;=0),0,IF(Redondeo&gt;0,CEILING(E59/DivMargen,Redondeo),E59/DivMargen))</f>
        <v/>
      </c>
      <c r="H59" s="79">
        <f>IF(OR(C59="",E59&lt;=0,F59&lt;=0),0,F59*DivBase-E59)</f>
        <v/>
      </c>
      <c r="I59" s="80">
        <f>IF(OR(C59="",E59&lt;=0,F59&lt;=0),0,H59/F59)</f>
        <v/>
      </c>
      <c r="J59" s="78" t="n"/>
      <c r="K59" s="79">
        <f>IF(OR(C59="",E59&lt;=0),0,E59*J59)</f>
        <v/>
      </c>
      <c r="L59" s="68">
        <f>IF(OR(C59="",E59&lt;=0),"",IF(F59&lt;=0,"Sin precio",IF(H59&lt;0,"PÉRDIDA",IF(I59&lt;MargenMin,"Margen bajo",IF(I59&lt;MargenObjReal,"Aceptable","Rentable")))))</f>
        <v/>
      </c>
      <c r="M59" s="77" t="n"/>
      <c r="N59" s="81">
        <f>IF(ISNUMBER(W59),RANK(W59,$W$7:$W$206),"")</f>
        <v/>
      </c>
      <c r="W59" s="82">
        <f>IF(AND(C59&lt;&gt;"",E59&gt;0,F59&gt;0),H59+ROW()/1000000000,"")</f>
        <v/>
      </c>
      <c r="X59" s="82">
        <f>IF(AND(C59&lt;&gt;"",E59&gt;0,F59&gt;0,OR(CatSel="Todas",D59=CatSel)),H59+ROW()/1000000000,"")</f>
        <v/>
      </c>
    </row>
    <row r="60">
      <c r="B60" s="77" t="n"/>
      <c r="C60" s="77" t="n"/>
      <c r="D60" s="77" t="n"/>
      <c r="E60" s="78" t="n"/>
      <c r="F60" s="78" t="n"/>
      <c r="G60" s="79">
        <f>IF(OR(C60="",E60&lt;=0,DivMargen&lt;=0),0,IF(Redondeo&gt;0,CEILING(E60/DivMargen,Redondeo),E60/DivMargen))</f>
        <v/>
      </c>
      <c r="H60" s="79">
        <f>IF(OR(C60="",E60&lt;=0,F60&lt;=0),0,F60*DivBase-E60)</f>
        <v/>
      </c>
      <c r="I60" s="80">
        <f>IF(OR(C60="",E60&lt;=0,F60&lt;=0),0,H60/F60)</f>
        <v/>
      </c>
      <c r="J60" s="78" t="n"/>
      <c r="K60" s="79">
        <f>IF(OR(C60="",E60&lt;=0),0,E60*J60)</f>
        <v/>
      </c>
      <c r="L60" s="68">
        <f>IF(OR(C60="",E60&lt;=0),"",IF(F60&lt;=0,"Sin precio",IF(H60&lt;0,"PÉRDIDA",IF(I60&lt;MargenMin,"Margen bajo",IF(I60&lt;MargenObjReal,"Aceptable","Rentable")))))</f>
        <v/>
      </c>
      <c r="M60" s="77" t="n"/>
      <c r="N60" s="81">
        <f>IF(ISNUMBER(W60),RANK(W60,$W$7:$W$206),"")</f>
        <v/>
      </c>
      <c r="W60" s="82">
        <f>IF(AND(C60&lt;&gt;"",E60&gt;0,F60&gt;0),H60+ROW()/1000000000,"")</f>
        <v/>
      </c>
      <c r="X60" s="82">
        <f>IF(AND(C60&lt;&gt;"",E60&gt;0,F60&gt;0,OR(CatSel="Todas",D60=CatSel)),H60+ROW()/1000000000,"")</f>
        <v/>
      </c>
    </row>
    <row r="61">
      <c r="B61" s="77" t="n"/>
      <c r="C61" s="77" t="n"/>
      <c r="D61" s="77" t="n"/>
      <c r="E61" s="78" t="n"/>
      <c r="F61" s="78" t="n"/>
      <c r="G61" s="79">
        <f>IF(OR(C61="",E61&lt;=0,DivMargen&lt;=0),0,IF(Redondeo&gt;0,CEILING(E61/DivMargen,Redondeo),E61/DivMargen))</f>
        <v/>
      </c>
      <c r="H61" s="79">
        <f>IF(OR(C61="",E61&lt;=0,F61&lt;=0),0,F61*DivBase-E61)</f>
        <v/>
      </c>
      <c r="I61" s="80">
        <f>IF(OR(C61="",E61&lt;=0,F61&lt;=0),0,H61/F61)</f>
        <v/>
      </c>
      <c r="J61" s="78" t="n"/>
      <c r="K61" s="79">
        <f>IF(OR(C61="",E61&lt;=0),0,E61*J61)</f>
        <v/>
      </c>
      <c r="L61" s="68">
        <f>IF(OR(C61="",E61&lt;=0),"",IF(F61&lt;=0,"Sin precio",IF(H61&lt;0,"PÉRDIDA",IF(I61&lt;MargenMin,"Margen bajo",IF(I61&lt;MargenObjReal,"Aceptable","Rentable")))))</f>
        <v/>
      </c>
      <c r="M61" s="77" t="n"/>
      <c r="N61" s="81">
        <f>IF(ISNUMBER(W61),RANK(W61,$W$7:$W$206),"")</f>
        <v/>
      </c>
      <c r="W61" s="82">
        <f>IF(AND(C61&lt;&gt;"",E61&gt;0,F61&gt;0),H61+ROW()/1000000000,"")</f>
        <v/>
      </c>
      <c r="X61" s="82">
        <f>IF(AND(C61&lt;&gt;"",E61&gt;0,F61&gt;0,OR(CatSel="Todas",D61=CatSel)),H61+ROW()/1000000000,"")</f>
        <v/>
      </c>
    </row>
    <row r="62">
      <c r="B62" s="77" t="n"/>
      <c r="C62" s="77" t="n"/>
      <c r="D62" s="77" t="n"/>
      <c r="E62" s="78" t="n"/>
      <c r="F62" s="78" t="n"/>
      <c r="G62" s="79">
        <f>IF(OR(C62="",E62&lt;=0,DivMargen&lt;=0),0,IF(Redondeo&gt;0,CEILING(E62/DivMargen,Redondeo),E62/DivMargen))</f>
        <v/>
      </c>
      <c r="H62" s="79">
        <f>IF(OR(C62="",E62&lt;=0,F62&lt;=0),0,F62*DivBase-E62)</f>
        <v/>
      </c>
      <c r="I62" s="80">
        <f>IF(OR(C62="",E62&lt;=0,F62&lt;=0),0,H62/F62)</f>
        <v/>
      </c>
      <c r="J62" s="78" t="n"/>
      <c r="K62" s="79">
        <f>IF(OR(C62="",E62&lt;=0),0,E62*J62)</f>
        <v/>
      </c>
      <c r="L62" s="68">
        <f>IF(OR(C62="",E62&lt;=0),"",IF(F62&lt;=0,"Sin precio",IF(H62&lt;0,"PÉRDIDA",IF(I62&lt;MargenMin,"Margen bajo",IF(I62&lt;MargenObjReal,"Aceptable","Rentable")))))</f>
        <v/>
      </c>
      <c r="M62" s="77" t="n"/>
      <c r="N62" s="81">
        <f>IF(ISNUMBER(W62),RANK(W62,$W$7:$W$206),"")</f>
        <v/>
      </c>
      <c r="W62" s="82">
        <f>IF(AND(C62&lt;&gt;"",E62&gt;0,F62&gt;0),H62+ROW()/1000000000,"")</f>
        <v/>
      </c>
      <c r="X62" s="82">
        <f>IF(AND(C62&lt;&gt;"",E62&gt;0,F62&gt;0,OR(CatSel="Todas",D62=CatSel)),H62+ROW()/1000000000,"")</f>
        <v/>
      </c>
    </row>
    <row r="63">
      <c r="B63" s="77" t="n"/>
      <c r="C63" s="77" t="n"/>
      <c r="D63" s="77" t="n"/>
      <c r="E63" s="78" t="n"/>
      <c r="F63" s="78" t="n"/>
      <c r="G63" s="79">
        <f>IF(OR(C63="",E63&lt;=0,DivMargen&lt;=0),0,IF(Redondeo&gt;0,CEILING(E63/DivMargen,Redondeo),E63/DivMargen))</f>
        <v/>
      </c>
      <c r="H63" s="79">
        <f>IF(OR(C63="",E63&lt;=0,F63&lt;=0),0,F63*DivBase-E63)</f>
        <v/>
      </c>
      <c r="I63" s="80">
        <f>IF(OR(C63="",E63&lt;=0,F63&lt;=0),0,H63/F63)</f>
        <v/>
      </c>
      <c r="J63" s="78" t="n"/>
      <c r="K63" s="79">
        <f>IF(OR(C63="",E63&lt;=0),0,E63*J63)</f>
        <v/>
      </c>
      <c r="L63" s="68">
        <f>IF(OR(C63="",E63&lt;=0),"",IF(F63&lt;=0,"Sin precio",IF(H63&lt;0,"PÉRDIDA",IF(I63&lt;MargenMin,"Margen bajo",IF(I63&lt;MargenObjReal,"Aceptable","Rentable")))))</f>
        <v/>
      </c>
      <c r="M63" s="77" t="n"/>
      <c r="N63" s="81">
        <f>IF(ISNUMBER(W63),RANK(W63,$W$7:$W$206),"")</f>
        <v/>
      </c>
      <c r="W63" s="82">
        <f>IF(AND(C63&lt;&gt;"",E63&gt;0,F63&gt;0),H63+ROW()/1000000000,"")</f>
        <v/>
      </c>
      <c r="X63" s="82">
        <f>IF(AND(C63&lt;&gt;"",E63&gt;0,F63&gt;0,OR(CatSel="Todas",D63=CatSel)),H63+ROW()/1000000000,"")</f>
        <v/>
      </c>
    </row>
    <row r="64">
      <c r="B64" s="77" t="n"/>
      <c r="C64" s="77" t="n"/>
      <c r="D64" s="77" t="n"/>
      <c r="E64" s="78" t="n"/>
      <c r="F64" s="78" t="n"/>
      <c r="G64" s="79">
        <f>IF(OR(C64="",E64&lt;=0,DivMargen&lt;=0),0,IF(Redondeo&gt;0,CEILING(E64/DivMargen,Redondeo),E64/DivMargen))</f>
        <v/>
      </c>
      <c r="H64" s="79">
        <f>IF(OR(C64="",E64&lt;=0,F64&lt;=0),0,F64*DivBase-E64)</f>
        <v/>
      </c>
      <c r="I64" s="80">
        <f>IF(OR(C64="",E64&lt;=0,F64&lt;=0),0,H64/F64)</f>
        <v/>
      </c>
      <c r="J64" s="78" t="n"/>
      <c r="K64" s="79">
        <f>IF(OR(C64="",E64&lt;=0),0,E64*J64)</f>
        <v/>
      </c>
      <c r="L64" s="68">
        <f>IF(OR(C64="",E64&lt;=0),"",IF(F64&lt;=0,"Sin precio",IF(H64&lt;0,"PÉRDIDA",IF(I64&lt;MargenMin,"Margen bajo",IF(I64&lt;MargenObjReal,"Aceptable","Rentable")))))</f>
        <v/>
      </c>
      <c r="M64" s="77" t="n"/>
      <c r="N64" s="81">
        <f>IF(ISNUMBER(W64),RANK(W64,$W$7:$W$206),"")</f>
        <v/>
      </c>
      <c r="W64" s="82">
        <f>IF(AND(C64&lt;&gt;"",E64&gt;0,F64&gt;0),H64+ROW()/1000000000,"")</f>
        <v/>
      </c>
      <c r="X64" s="82">
        <f>IF(AND(C64&lt;&gt;"",E64&gt;0,F64&gt;0,OR(CatSel="Todas",D64=CatSel)),H64+ROW()/1000000000,"")</f>
        <v/>
      </c>
    </row>
    <row r="65">
      <c r="B65" s="77" t="n"/>
      <c r="C65" s="77" t="n"/>
      <c r="D65" s="77" t="n"/>
      <c r="E65" s="78" t="n"/>
      <c r="F65" s="78" t="n"/>
      <c r="G65" s="79">
        <f>IF(OR(C65="",E65&lt;=0,DivMargen&lt;=0),0,IF(Redondeo&gt;0,CEILING(E65/DivMargen,Redondeo),E65/DivMargen))</f>
        <v/>
      </c>
      <c r="H65" s="79">
        <f>IF(OR(C65="",E65&lt;=0,F65&lt;=0),0,F65*DivBase-E65)</f>
        <v/>
      </c>
      <c r="I65" s="80">
        <f>IF(OR(C65="",E65&lt;=0,F65&lt;=0),0,H65/F65)</f>
        <v/>
      </c>
      <c r="J65" s="78" t="n"/>
      <c r="K65" s="79">
        <f>IF(OR(C65="",E65&lt;=0),0,E65*J65)</f>
        <v/>
      </c>
      <c r="L65" s="68">
        <f>IF(OR(C65="",E65&lt;=0),"",IF(F65&lt;=0,"Sin precio",IF(H65&lt;0,"PÉRDIDA",IF(I65&lt;MargenMin,"Margen bajo",IF(I65&lt;MargenObjReal,"Aceptable","Rentable")))))</f>
        <v/>
      </c>
      <c r="M65" s="77" t="n"/>
      <c r="N65" s="81">
        <f>IF(ISNUMBER(W65),RANK(W65,$W$7:$W$206),"")</f>
        <v/>
      </c>
      <c r="W65" s="82">
        <f>IF(AND(C65&lt;&gt;"",E65&gt;0,F65&gt;0),H65+ROW()/1000000000,"")</f>
        <v/>
      </c>
      <c r="X65" s="82">
        <f>IF(AND(C65&lt;&gt;"",E65&gt;0,F65&gt;0,OR(CatSel="Todas",D65=CatSel)),H65+ROW()/1000000000,"")</f>
        <v/>
      </c>
    </row>
    <row r="66">
      <c r="B66" s="77" t="n"/>
      <c r="C66" s="77" t="n"/>
      <c r="D66" s="77" t="n"/>
      <c r="E66" s="78" t="n"/>
      <c r="F66" s="78" t="n"/>
      <c r="G66" s="79">
        <f>IF(OR(C66="",E66&lt;=0,DivMargen&lt;=0),0,IF(Redondeo&gt;0,CEILING(E66/DivMargen,Redondeo),E66/DivMargen))</f>
        <v/>
      </c>
      <c r="H66" s="79">
        <f>IF(OR(C66="",E66&lt;=0,F66&lt;=0),0,F66*DivBase-E66)</f>
        <v/>
      </c>
      <c r="I66" s="80">
        <f>IF(OR(C66="",E66&lt;=0,F66&lt;=0),0,H66/F66)</f>
        <v/>
      </c>
      <c r="J66" s="78" t="n"/>
      <c r="K66" s="79">
        <f>IF(OR(C66="",E66&lt;=0),0,E66*J66)</f>
        <v/>
      </c>
      <c r="L66" s="68">
        <f>IF(OR(C66="",E66&lt;=0),"",IF(F66&lt;=0,"Sin precio",IF(H66&lt;0,"PÉRDIDA",IF(I66&lt;MargenMin,"Margen bajo",IF(I66&lt;MargenObjReal,"Aceptable","Rentable")))))</f>
        <v/>
      </c>
      <c r="M66" s="77" t="n"/>
      <c r="N66" s="81">
        <f>IF(ISNUMBER(W66),RANK(W66,$W$7:$W$206),"")</f>
        <v/>
      </c>
      <c r="W66" s="82">
        <f>IF(AND(C66&lt;&gt;"",E66&gt;0,F66&gt;0),H66+ROW()/1000000000,"")</f>
        <v/>
      </c>
      <c r="X66" s="82">
        <f>IF(AND(C66&lt;&gt;"",E66&gt;0,F66&gt;0,OR(CatSel="Todas",D66=CatSel)),H66+ROW()/1000000000,"")</f>
        <v/>
      </c>
    </row>
    <row r="67">
      <c r="B67" s="77" t="n"/>
      <c r="C67" s="77" t="n"/>
      <c r="D67" s="77" t="n"/>
      <c r="E67" s="78" t="n"/>
      <c r="F67" s="78" t="n"/>
      <c r="G67" s="79">
        <f>IF(OR(C67="",E67&lt;=0,DivMargen&lt;=0),0,IF(Redondeo&gt;0,CEILING(E67/DivMargen,Redondeo),E67/DivMargen))</f>
        <v/>
      </c>
      <c r="H67" s="79">
        <f>IF(OR(C67="",E67&lt;=0,F67&lt;=0),0,F67*DivBase-E67)</f>
        <v/>
      </c>
      <c r="I67" s="80">
        <f>IF(OR(C67="",E67&lt;=0,F67&lt;=0),0,H67/F67)</f>
        <v/>
      </c>
      <c r="J67" s="78" t="n"/>
      <c r="K67" s="79">
        <f>IF(OR(C67="",E67&lt;=0),0,E67*J67)</f>
        <v/>
      </c>
      <c r="L67" s="68">
        <f>IF(OR(C67="",E67&lt;=0),"",IF(F67&lt;=0,"Sin precio",IF(H67&lt;0,"PÉRDIDA",IF(I67&lt;MargenMin,"Margen bajo",IF(I67&lt;MargenObjReal,"Aceptable","Rentable")))))</f>
        <v/>
      </c>
      <c r="M67" s="77" t="n"/>
      <c r="N67" s="81">
        <f>IF(ISNUMBER(W67),RANK(W67,$W$7:$W$206),"")</f>
        <v/>
      </c>
      <c r="W67" s="82">
        <f>IF(AND(C67&lt;&gt;"",E67&gt;0,F67&gt;0),H67+ROW()/1000000000,"")</f>
        <v/>
      </c>
      <c r="X67" s="82">
        <f>IF(AND(C67&lt;&gt;"",E67&gt;0,F67&gt;0,OR(CatSel="Todas",D67=CatSel)),H67+ROW()/1000000000,"")</f>
        <v/>
      </c>
    </row>
    <row r="68">
      <c r="B68" s="77" t="n"/>
      <c r="C68" s="77" t="n"/>
      <c r="D68" s="77" t="n"/>
      <c r="E68" s="78" t="n"/>
      <c r="F68" s="78" t="n"/>
      <c r="G68" s="79">
        <f>IF(OR(C68="",E68&lt;=0,DivMargen&lt;=0),0,IF(Redondeo&gt;0,CEILING(E68/DivMargen,Redondeo),E68/DivMargen))</f>
        <v/>
      </c>
      <c r="H68" s="79">
        <f>IF(OR(C68="",E68&lt;=0,F68&lt;=0),0,F68*DivBase-E68)</f>
        <v/>
      </c>
      <c r="I68" s="80">
        <f>IF(OR(C68="",E68&lt;=0,F68&lt;=0),0,H68/F68)</f>
        <v/>
      </c>
      <c r="J68" s="78" t="n"/>
      <c r="K68" s="79">
        <f>IF(OR(C68="",E68&lt;=0),0,E68*J68)</f>
        <v/>
      </c>
      <c r="L68" s="68">
        <f>IF(OR(C68="",E68&lt;=0),"",IF(F68&lt;=0,"Sin precio",IF(H68&lt;0,"PÉRDIDA",IF(I68&lt;MargenMin,"Margen bajo",IF(I68&lt;MargenObjReal,"Aceptable","Rentable")))))</f>
        <v/>
      </c>
      <c r="M68" s="77" t="n"/>
      <c r="N68" s="81">
        <f>IF(ISNUMBER(W68),RANK(W68,$W$7:$W$206),"")</f>
        <v/>
      </c>
      <c r="W68" s="82">
        <f>IF(AND(C68&lt;&gt;"",E68&gt;0,F68&gt;0),H68+ROW()/1000000000,"")</f>
        <v/>
      </c>
      <c r="X68" s="82">
        <f>IF(AND(C68&lt;&gt;"",E68&gt;0,F68&gt;0,OR(CatSel="Todas",D68=CatSel)),H68+ROW()/1000000000,"")</f>
        <v/>
      </c>
    </row>
    <row r="69">
      <c r="B69" s="77" t="n"/>
      <c r="C69" s="77" t="n"/>
      <c r="D69" s="77" t="n"/>
      <c r="E69" s="78" t="n"/>
      <c r="F69" s="78" t="n"/>
      <c r="G69" s="79">
        <f>IF(OR(C69="",E69&lt;=0,DivMargen&lt;=0),0,IF(Redondeo&gt;0,CEILING(E69/DivMargen,Redondeo),E69/DivMargen))</f>
        <v/>
      </c>
      <c r="H69" s="79">
        <f>IF(OR(C69="",E69&lt;=0,F69&lt;=0),0,F69*DivBase-E69)</f>
        <v/>
      </c>
      <c r="I69" s="80">
        <f>IF(OR(C69="",E69&lt;=0,F69&lt;=0),0,H69/F69)</f>
        <v/>
      </c>
      <c r="J69" s="78" t="n"/>
      <c r="K69" s="79">
        <f>IF(OR(C69="",E69&lt;=0),0,E69*J69)</f>
        <v/>
      </c>
      <c r="L69" s="68">
        <f>IF(OR(C69="",E69&lt;=0),"",IF(F69&lt;=0,"Sin precio",IF(H69&lt;0,"PÉRDIDA",IF(I69&lt;MargenMin,"Margen bajo",IF(I69&lt;MargenObjReal,"Aceptable","Rentable")))))</f>
        <v/>
      </c>
      <c r="M69" s="77" t="n"/>
      <c r="N69" s="81">
        <f>IF(ISNUMBER(W69),RANK(W69,$W$7:$W$206),"")</f>
        <v/>
      </c>
      <c r="W69" s="82">
        <f>IF(AND(C69&lt;&gt;"",E69&gt;0,F69&gt;0),H69+ROW()/1000000000,"")</f>
        <v/>
      </c>
      <c r="X69" s="82">
        <f>IF(AND(C69&lt;&gt;"",E69&gt;0,F69&gt;0,OR(CatSel="Todas",D69=CatSel)),H69+ROW()/1000000000,"")</f>
        <v/>
      </c>
    </row>
    <row r="70">
      <c r="B70" s="77" t="n"/>
      <c r="C70" s="77" t="n"/>
      <c r="D70" s="77" t="n"/>
      <c r="E70" s="78" t="n"/>
      <c r="F70" s="78" t="n"/>
      <c r="G70" s="79">
        <f>IF(OR(C70="",E70&lt;=0,DivMargen&lt;=0),0,IF(Redondeo&gt;0,CEILING(E70/DivMargen,Redondeo),E70/DivMargen))</f>
        <v/>
      </c>
      <c r="H70" s="79">
        <f>IF(OR(C70="",E70&lt;=0,F70&lt;=0),0,F70*DivBase-E70)</f>
        <v/>
      </c>
      <c r="I70" s="80">
        <f>IF(OR(C70="",E70&lt;=0,F70&lt;=0),0,H70/F70)</f>
        <v/>
      </c>
      <c r="J70" s="78" t="n"/>
      <c r="K70" s="79">
        <f>IF(OR(C70="",E70&lt;=0),0,E70*J70)</f>
        <v/>
      </c>
      <c r="L70" s="68">
        <f>IF(OR(C70="",E70&lt;=0),"",IF(F70&lt;=0,"Sin precio",IF(H70&lt;0,"PÉRDIDA",IF(I70&lt;MargenMin,"Margen bajo",IF(I70&lt;MargenObjReal,"Aceptable","Rentable")))))</f>
        <v/>
      </c>
      <c r="M70" s="77" t="n"/>
      <c r="N70" s="81">
        <f>IF(ISNUMBER(W70),RANK(W70,$W$7:$W$206),"")</f>
        <v/>
      </c>
      <c r="W70" s="82">
        <f>IF(AND(C70&lt;&gt;"",E70&gt;0,F70&gt;0),H70+ROW()/1000000000,"")</f>
        <v/>
      </c>
      <c r="X70" s="82">
        <f>IF(AND(C70&lt;&gt;"",E70&gt;0,F70&gt;0,OR(CatSel="Todas",D70=CatSel)),H70+ROW()/1000000000,"")</f>
        <v/>
      </c>
    </row>
    <row r="71">
      <c r="B71" s="77" t="n"/>
      <c r="C71" s="77" t="n"/>
      <c r="D71" s="77" t="n"/>
      <c r="E71" s="78" t="n"/>
      <c r="F71" s="78" t="n"/>
      <c r="G71" s="79">
        <f>IF(OR(C71="",E71&lt;=0,DivMargen&lt;=0),0,IF(Redondeo&gt;0,CEILING(E71/DivMargen,Redondeo),E71/DivMargen))</f>
        <v/>
      </c>
      <c r="H71" s="79">
        <f>IF(OR(C71="",E71&lt;=0,F71&lt;=0),0,F71*DivBase-E71)</f>
        <v/>
      </c>
      <c r="I71" s="80">
        <f>IF(OR(C71="",E71&lt;=0,F71&lt;=0),0,H71/F71)</f>
        <v/>
      </c>
      <c r="J71" s="78" t="n"/>
      <c r="K71" s="79">
        <f>IF(OR(C71="",E71&lt;=0),0,E71*J71)</f>
        <v/>
      </c>
      <c r="L71" s="68">
        <f>IF(OR(C71="",E71&lt;=0),"",IF(F71&lt;=0,"Sin precio",IF(H71&lt;0,"PÉRDIDA",IF(I71&lt;MargenMin,"Margen bajo",IF(I71&lt;MargenObjReal,"Aceptable","Rentable")))))</f>
        <v/>
      </c>
      <c r="M71" s="77" t="n"/>
      <c r="N71" s="81">
        <f>IF(ISNUMBER(W71),RANK(W71,$W$7:$W$206),"")</f>
        <v/>
      </c>
      <c r="W71" s="82">
        <f>IF(AND(C71&lt;&gt;"",E71&gt;0,F71&gt;0),H71+ROW()/1000000000,"")</f>
        <v/>
      </c>
      <c r="X71" s="82">
        <f>IF(AND(C71&lt;&gt;"",E71&gt;0,F71&gt;0,OR(CatSel="Todas",D71=CatSel)),H71+ROW()/1000000000,"")</f>
        <v/>
      </c>
    </row>
    <row r="72">
      <c r="B72" s="77" t="n"/>
      <c r="C72" s="77" t="n"/>
      <c r="D72" s="77" t="n"/>
      <c r="E72" s="78" t="n"/>
      <c r="F72" s="78" t="n"/>
      <c r="G72" s="79">
        <f>IF(OR(C72="",E72&lt;=0,DivMargen&lt;=0),0,IF(Redondeo&gt;0,CEILING(E72/DivMargen,Redondeo),E72/DivMargen))</f>
        <v/>
      </c>
      <c r="H72" s="79">
        <f>IF(OR(C72="",E72&lt;=0,F72&lt;=0),0,F72*DivBase-E72)</f>
        <v/>
      </c>
      <c r="I72" s="80">
        <f>IF(OR(C72="",E72&lt;=0,F72&lt;=0),0,H72/F72)</f>
        <v/>
      </c>
      <c r="J72" s="78" t="n"/>
      <c r="K72" s="79">
        <f>IF(OR(C72="",E72&lt;=0),0,E72*J72)</f>
        <v/>
      </c>
      <c r="L72" s="68">
        <f>IF(OR(C72="",E72&lt;=0),"",IF(F72&lt;=0,"Sin precio",IF(H72&lt;0,"PÉRDIDA",IF(I72&lt;MargenMin,"Margen bajo",IF(I72&lt;MargenObjReal,"Aceptable","Rentable")))))</f>
        <v/>
      </c>
      <c r="M72" s="77" t="n"/>
      <c r="N72" s="81">
        <f>IF(ISNUMBER(W72),RANK(W72,$W$7:$W$206),"")</f>
        <v/>
      </c>
      <c r="W72" s="82">
        <f>IF(AND(C72&lt;&gt;"",E72&gt;0,F72&gt;0),H72+ROW()/1000000000,"")</f>
        <v/>
      </c>
      <c r="X72" s="82">
        <f>IF(AND(C72&lt;&gt;"",E72&gt;0,F72&gt;0,OR(CatSel="Todas",D72=CatSel)),H72+ROW()/1000000000,"")</f>
        <v/>
      </c>
    </row>
    <row r="73">
      <c r="B73" s="77" t="n"/>
      <c r="C73" s="77" t="n"/>
      <c r="D73" s="77" t="n"/>
      <c r="E73" s="78" t="n"/>
      <c r="F73" s="78" t="n"/>
      <c r="G73" s="79">
        <f>IF(OR(C73="",E73&lt;=0,DivMargen&lt;=0),0,IF(Redondeo&gt;0,CEILING(E73/DivMargen,Redondeo),E73/DivMargen))</f>
        <v/>
      </c>
      <c r="H73" s="79">
        <f>IF(OR(C73="",E73&lt;=0,F73&lt;=0),0,F73*DivBase-E73)</f>
        <v/>
      </c>
      <c r="I73" s="80">
        <f>IF(OR(C73="",E73&lt;=0,F73&lt;=0),0,H73/F73)</f>
        <v/>
      </c>
      <c r="J73" s="78" t="n"/>
      <c r="K73" s="79">
        <f>IF(OR(C73="",E73&lt;=0),0,E73*J73)</f>
        <v/>
      </c>
      <c r="L73" s="68">
        <f>IF(OR(C73="",E73&lt;=0),"",IF(F73&lt;=0,"Sin precio",IF(H73&lt;0,"PÉRDIDA",IF(I73&lt;MargenMin,"Margen bajo",IF(I73&lt;MargenObjReal,"Aceptable","Rentable")))))</f>
        <v/>
      </c>
      <c r="M73" s="77" t="n"/>
      <c r="N73" s="81">
        <f>IF(ISNUMBER(W73),RANK(W73,$W$7:$W$206),"")</f>
        <v/>
      </c>
      <c r="W73" s="82">
        <f>IF(AND(C73&lt;&gt;"",E73&gt;0,F73&gt;0),H73+ROW()/1000000000,"")</f>
        <v/>
      </c>
      <c r="X73" s="82">
        <f>IF(AND(C73&lt;&gt;"",E73&gt;0,F73&gt;0,OR(CatSel="Todas",D73=CatSel)),H73+ROW()/1000000000,"")</f>
        <v/>
      </c>
    </row>
    <row r="74">
      <c r="B74" s="77" t="n"/>
      <c r="C74" s="77" t="n"/>
      <c r="D74" s="77" t="n"/>
      <c r="E74" s="78" t="n"/>
      <c r="F74" s="78" t="n"/>
      <c r="G74" s="79">
        <f>IF(OR(C74="",E74&lt;=0,DivMargen&lt;=0),0,IF(Redondeo&gt;0,CEILING(E74/DivMargen,Redondeo),E74/DivMargen))</f>
        <v/>
      </c>
      <c r="H74" s="79">
        <f>IF(OR(C74="",E74&lt;=0,F74&lt;=0),0,F74*DivBase-E74)</f>
        <v/>
      </c>
      <c r="I74" s="80">
        <f>IF(OR(C74="",E74&lt;=0,F74&lt;=0),0,H74/F74)</f>
        <v/>
      </c>
      <c r="J74" s="78" t="n"/>
      <c r="K74" s="79">
        <f>IF(OR(C74="",E74&lt;=0),0,E74*J74)</f>
        <v/>
      </c>
      <c r="L74" s="68">
        <f>IF(OR(C74="",E74&lt;=0),"",IF(F74&lt;=0,"Sin precio",IF(H74&lt;0,"PÉRDIDA",IF(I74&lt;MargenMin,"Margen bajo",IF(I74&lt;MargenObjReal,"Aceptable","Rentable")))))</f>
        <v/>
      </c>
      <c r="M74" s="77" t="n"/>
      <c r="N74" s="81">
        <f>IF(ISNUMBER(W74),RANK(W74,$W$7:$W$206),"")</f>
        <v/>
      </c>
      <c r="W74" s="82">
        <f>IF(AND(C74&lt;&gt;"",E74&gt;0,F74&gt;0),H74+ROW()/1000000000,"")</f>
        <v/>
      </c>
      <c r="X74" s="82">
        <f>IF(AND(C74&lt;&gt;"",E74&gt;0,F74&gt;0,OR(CatSel="Todas",D74=CatSel)),H74+ROW()/1000000000,"")</f>
        <v/>
      </c>
    </row>
    <row r="75">
      <c r="B75" s="77" t="n"/>
      <c r="C75" s="77" t="n"/>
      <c r="D75" s="77" t="n"/>
      <c r="E75" s="78" t="n"/>
      <c r="F75" s="78" t="n"/>
      <c r="G75" s="79">
        <f>IF(OR(C75="",E75&lt;=0,DivMargen&lt;=0),0,IF(Redondeo&gt;0,CEILING(E75/DivMargen,Redondeo),E75/DivMargen))</f>
        <v/>
      </c>
      <c r="H75" s="79">
        <f>IF(OR(C75="",E75&lt;=0,F75&lt;=0),0,F75*DivBase-E75)</f>
        <v/>
      </c>
      <c r="I75" s="80">
        <f>IF(OR(C75="",E75&lt;=0,F75&lt;=0),0,H75/F75)</f>
        <v/>
      </c>
      <c r="J75" s="78" t="n"/>
      <c r="K75" s="79">
        <f>IF(OR(C75="",E75&lt;=0),0,E75*J75)</f>
        <v/>
      </c>
      <c r="L75" s="68">
        <f>IF(OR(C75="",E75&lt;=0),"",IF(F75&lt;=0,"Sin precio",IF(H75&lt;0,"PÉRDIDA",IF(I75&lt;MargenMin,"Margen bajo",IF(I75&lt;MargenObjReal,"Aceptable","Rentable")))))</f>
        <v/>
      </c>
      <c r="M75" s="77" t="n"/>
      <c r="N75" s="81">
        <f>IF(ISNUMBER(W75),RANK(W75,$W$7:$W$206),"")</f>
        <v/>
      </c>
      <c r="W75" s="82">
        <f>IF(AND(C75&lt;&gt;"",E75&gt;0,F75&gt;0),H75+ROW()/1000000000,"")</f>
        <v/>
      </c>
      <c r="X75" s="82">
        <f>IF(AND(C75&lt;&gt;"",E75&gt;0,F75&gt;0,OR(CatSel="Todas",D75=CatSel)),H75+ROW()/1000000000,"")</f>
        <v/>
      </c>
    </row>
    <row r="76">
      <c r="B76" s="77" t="n"/>
      <c r="C76" s="77" t="n"/>
      <c r="D76" s="77" t="n"/>
      <c r="E76" s="78" t="n"/>
      <c r="F76" s="78" t="n"/>
      <c r="G76" s="79">
        <f>IF(OR(C76="",E76&lt;=0,DivMargen&lt;=0),0,IF(Redondeo&gt;0,CEILING(E76/DivMargen,Redondeo),E76/DivMargen))</f>
        <v/>
      </c>
      <c r="H76" s="79">
        <f>IF(OR(C76="",E76&lt;=0,F76&lt;=0),0,F76*DivBase-E76)</f>
        <v/>
      </c>
      <c r="I76" s="80">
        <f>IF(OR(C76="",E76&lt;=0,F76&lt;=0),0,H76/F76)</f>
        <v/>
      </c>
      <c r="J76" s="78" t="n"/>
      <c r="K76" s="79">
        <f>IF(OR(C76="",E76&lt;=0),0,E76*J76)</f>
        <v/>
      </c>
      <c r="L76" s="68">
        <f>IF(OR(C76="",E76&lt;=0),"",IF(F76&lt;=0,"Sin precio",IF(H76&lt;0,"PÉRDIDA",IF(I76&lt;MargenMin,"Margen bajo",IF(I76&lt;MargenObjReal,"Aceptable","Rentable")))))</f>
        <v/>
      </c>
      <c r="M76" s="77" t="n"/>
      <c r="N76" s="81">
        <f>IF(ISNUMBER(W76),RANK(W76,$W$7:$W$206),"")</f>
        <v/>
      </c>
      <c r="W76" s="82">
        <f>IF(AND(C76&lt;&gt;"",E76&gt;0,F76&gt;0),H76+ROW()/1000000000,"")</f>
        <v/>
      </c>
      <c r="X76" s="82">
        <f>IF(AND(C76&lt;&gt;"",E76&gt;0,F76&gt;0,OR(CatSel="Todas",D76=CatSel)),H76+ROW()/1000000000,"")</f>
        <v/>
      </c>
    </row>
    <row r="77">
      <c r="B77" s="77" t="n"/>
      <c r="C77" s="77" t="n"/>
      <c r="D77" s="77" t="n"/>
      <c r="E77" s="78" t="n"/>
      <c r="F77" s="78" t="n"/>
      <c r="G77" s="79">
        <f>IF(OR(C77="",E77&lt;=0,DivMargen&lt;=0),0,IF(Redondeo&gt;0,CEILING(E77/DivMargen,Redondeo),E77/DivMargen))</f>
        <v/>
      </c>
      <c r="H77" s="79">
        <f>IF(OR(C77="",E77&lt;=0,F77&lt;=0),0,F77*DivBase-E77)</f>
        <v/>
      </c>
      <c r="I77" s="80">
        <f>IF(OR(C77="",E77&lt;=0,F77&lt;=0),0,H77/F77)</f>
        <v/>
      </c>
      <c r="J77" s="78" t="n"/>
      <c r="K77" s="79">
        <f>IF(OR(C77="",E77&lt;=0),0,E77*J77)</f>
        <v/>
      </c>
      <c r="L77" s="68">
        <f>IF(OR(C77="",E77&lt;=0),"",IF(F77&lt;=0,"Sin precio",IF(H77&lt;0,"PÉRDIDA",IF(I77&lt;MargenMin,"Margen bajo",IF(I77&lt;MargenObjReal,"Aceptable","Rentable")))))</f>
        <v/>
      </c>
      <c r="M77" s="77" t="n"/>
      <c r="N77" s="81">
        <f>IF(ISNUMBER(W77),RANK(W77,$W$7:$W$206),"")</f>
        <v/>
      </c>
      <c r="W77" s="82">
        <f>IF(AND(C77&lt;&gt;"",E77&gt;0,F77&gt;0),H77+ROW()/1000000000,"")</f>
        <v/>
      </c>
      <c r="X77" s="82">
        <f>IF(AND(C77&lt;&gt;"",E77&gt;0,F77&gt;0,OR(CatSel="Todas",D77=CatSel)),H77+ROW()/1000000000,"")</f>
        <v/>
      </c>
    </row>
    <row r="78">
      <c r="B78" s="77" t="n"/>
      <c r="C78" s="77" t="n"/>
      <c r="D78" s="77" t="n"/>
      <c r="E78" s="78" t="n"/>
      <c r="F78" s="78" t="n"/>
      <c r="G78" s="79">
        <f>IF(OR(C78="",E78&lt;=0,DivMargen&lt;=0),0,IF(Redondeo&gt;0,CEILING(E78/DivMargen,Redondeo),E78/DivMargen))</f>
        <v/>
      </c>
      <c r="H78" s="79">
        <f>IF(OR(C78="",E78&lt;=0,F78&lt;=0),0,F78*DivBase-E78)</f>
        <v/>
      </c>
      <c r="I78" s="80">
        <f>IF(OR(C78="",E78&lt;=0,F78&lt;=0),0,H78/F78)</f>
        <v/>
      </c>
      <c r="J78" s="78" t="n"/>
      <c r="K78" s="79">
        <f>IF(OR(C78="",E78&lt;=0),0,E78*J78)</f>
        <v/>
      </c>
      <c r="L78" s="68">
        <f>IF(OR(C78="",E78&lt;=0),"",IF(F78&lt;=0,"Sin precio",IF(H78&lt;0,"PÉRDIDA",IF(I78&lt;MargenMin,"Margen bajo",IF(I78&lt;MargenObjReal,"Aceptable","Rentable")))))</f>
        <v/>
      </c>
      <c r="M78" s="77" t="n"/>
      <c r="N78" s="81">
        <f>IF(ISNUMBER(W78),RANK(W78,$W$7:$W$206),"")</f>
        <v/>
      </c>
      <c r="W78" s="82">
        <f>IF(AND(C78&lt;&gt;"",E78&gt;0,F78&gt;0),H78+ROW()/1000000000,"")</f>
        <v/>
      </c>
      <c r="X78" s="82">
        <f>IF(AND(C78&lt;&gt;"",E78&gt;0,F78&gt;0,OR(CatSel="Todas",D78=CatSel)),H78+ROW()/1000000000,"")</f>
        <v/>
      </c>
    </row>
    <row r="79">
      <c r="B79" s="77" t="n"/>
      <c r="C79" s="77" t="n"/>
      <c r="D79" s="77" t="n"/>
      <c r="E79" s="78" t="n"/>
      <c r="F79" s="78" t="n"/>
      <c r="G79" s="79">
        <f>IF(OR(C79="",E79&lt;=0,DivMargen&lt;=0),0,IF(Redondeo&gt;0,CEILING(E79/DivMargen,Redondeo),E79/DivMargen))</f>
        <v/>
      </c>
      <c r="H79" s="79">
        <f>IF(OR(C79="",E79&lt;=0,F79&lt;=0),0,F79*DivBase-E79)</f>
        <v/>
      </c>
      <c r="I79" s="80">
        <f>IF(OR(C79="",E79&lt;=0,F79&lt;=0),0,H79/F79)</f>
        <v/>
      </c>
      <c r="J79" s="78" t="n"/>
      <c r="K79" s="79">
        <f>IF(OR(C79="",E79&lt;=0),0,E79*J79)</f>
        <v/>
      </c>
      <c r="L79" s="68">
        <f>IF(OR(C79="",E79&lt;=0),"",IF(F79&lt;=0,"Sin precio",IF(H79&lt;0,"PÉRDIDA",IF(I79&lt;MargenMin,"Margen bajo",IF(I79&lt;MargenObjReal,"Aceptable","Rentable")))))</f>
        <v/>
      </c>
      <c r="M79" s="77" t="n"/>
      <c r="N79" s="81">
        <f>IF(ISNUMBER(W79),RANK(W79,$W$7:$W$206),"")</f>
        <v/>
      </c>
      <c r="W79" s="82">
        <f>IF(AND(C79&lt;&gt;"",E79&gt;0,F79&gt;0),H79+ROW()/1000000000,"")</f>
        <v/>
      </c>
      <c r="X79" s="82">
        <f>IF(AND(C79&lt;&gt;"",E79&gt;0,F79&gt;0,OR(CatSel="Todas",D79=CatSel)),H79+ROW()/1000000000,"")</f>
        <v/>
      </c>
    </row>
    <row r="80">
      <c r="B80" s="77" t="n"/>
      <c r="C80" s="77" t="n"/>
      <c r="D80" s="77" t="n"/>
      <c r="E80" s="78" t="n"/>
      <c r="F80" s="78" t="n"/>
      <c r="G80" s="79">
        <f>IF(OR(C80="",E80&lt;=0,DivMargen&lt;=0),0,IF(Redondeo&gt;0,CEILING(E80/DivMargen,Redondeo),E80/DivMargen))</f>
        <v/>
      </c>
      <c r="H80" s="79">
        <f>IF(OR(C80="",E80&lt;=0,F80&lt;=0),0,F80*DivBase-E80)</f>
        <v/>
      </c>
      <c r="I80" s="80">
        <f>IF(OR(C80="",E80&lt;=0,F80&lt;=0),0,H80/F80)</f>
        <v/>
      </c>
      <c r="J80" s="78" t="n"/>
      <c r="K80" s="79">
        <f>IF(OR(C80="",E80&lt;=0),0,E80*J80)</f>
        <v/>
      </c>
      <c r="L80" s="68">
        <f>IF(OR(C80="",E80&lt;=0),"",IF(F80&lt;=0,"Sin precio",IF(H80&lt;0,"PÉRDIDA",IF(I80&lt;MargenMin,"Margen bajo",IF(I80&lt;MargenObjReal,"Aceptable","Rentable")))))</f>
        <v/>
      </c>
      <c r="M80" s="77" t="n"/>
      <c r="N80" s="81">
        <f>IF(ISNUMBER(W80),RANK(W80,$W$7:$W$206),"")</f>
        <v/>
      </c>
      <c r="W80" s="82">
        <f>IF(AND(C80&lt;&gt;"",E80&gt;0,F80&gt;0),H80+ROW()/1000000000,"")</f>
        <v/>
      </c>
      <c r="X80" s="82">
        <f>IF(AND(C80&lt;&gt;"",E80&gt;0,F80&gt;0,OR(CatSel="Todas",D80=CatSel)),H80+ROW()/1000000000,"")</f>
        <v/>
      </c>
    </row>
    <row r="81">
      <c r="B81" s="77" t="n"/>
      <c r="C81" s="77" t="n"/>
      <c r="D81" s="77" t="n"/>
      <c r="E81" s="78" t="n"/>
      <c r="F81" s="78" t="n"/>
      <c r="G81" s="79">
        <f>IF(OR(C81="",E81&lt;=0,DivMargen&lt;=0),0,IF(Redondeo&gt;0,CEILING(E81/DivMargen,Redondeo),E81/DivMargen))</f>
        <v/>
      </c>
      <c r="H81" s="79">
        <f>IF(OR(C81="",E81&lt;=0,F81&lt;=0),0,F81*DivBase-E81)</f>
        <v/>
      </c>
      <c r="I81" s="80">
        <f>IF(OR(C81="",E81&lt;=0,F81&lt;=0),0,H81/F81)</f>
        <v/>
      </c>
      <c r="J81" s="78" t="n"/>
      <c r="K81" s="79">
        <f>IF(OR(C81="",E81&lt;=0),0,E81*J81)</f>
        <v/>
      </c>
      <c r="L81" s="68">
        <f>IF(OR(C81="",E81&lt;=0),"",IF(F81&lt;=0,"Sin precio",IF(H81&lt;0,"PÉRDIDA",IF(I81&lt;MargenMin,"Margen bajo",IF(I81&lt;MargenObjReal,"Aceptable","Rentable")))))</f>
        <v/>
      </c>
      <c r="M81" s="77" t="n"/>
      <c r="N81" s="81">
        <f>IF(ISNUMBER(W81),RANK(W81,$W$7:$W$206),"")</f>
        <v/>
      </c>
      <c r="W81" s="82">
        <f>IF(AND(C81&lt;&gt;"",E81&gt;0,F81&gt;0),H81+ROW()/1000000000,"")</f>
        <v/>
      </c>
      <c r="X81" s="82">
        <f>IF(AND(C81&lt;&gt;"",E81&gt;0,F81&gt;0,OR(CatSel="Todas",D81=CatSel)),H81+ROW()/1000000000,"")</f>
        <v/>
      </c>
    </row>
    <row r="82">
      <c r="B82" s="77" t="n"/>
      <c r="C82" s="77" t="n"/>
      <c r="D82" s="77" t="n"/>
      <c r="E82" s="78" t="n"/>
      <c r="F82" s="78" t="n"/>
      <c r="G82" s="79">
        <f>IF(OR(C82="",E82&lt;=0,DivMargen&lt;=0),0,IF(Redondeo&gt;0,CEILING(E82/DivMargen,Redondeo),E82/DivMargen))</f>
        <v/>
      </c>
      <c r="H82" s="79">
        <f>IF(OR(C82="",E82&lt;=0,F82&lt;=0),0,F82*DivBase-E82)</f>
        <v/>
      </c>
      <c r="I82" s="80">
        <f>IF(OR(C82="",E82&lt;=0,F82&lt;=0),0,H82/F82)</f>
        <v/>
      </c>
      <c r="J82" s="78" t="n"/>
      <c r="K82" s="79">
        <f>IF(OR(C82="",E82&lt;=0),0,E82*J82)</f>
        <v/>
      </c>
      <c r="L82" s="68">
        <f>IF(OR(C82="",E82&lt;=0),"",IF(F82&lt;=0,"Sin precio",IF(H82&lt;0,"PÉRDIDA",IF(I82&lt;MargenMin,"Margen bajo",IF(I82&lt;MargenObjReal,"Aceptable","Rentable")))))</f>
        <v/>
      </c>
      <c r="M82" s="77" t="n"/>
      <c r="N82" s="81">
        <f>IF(ISNUMBER(W82),RANK(W82,$W$7:$W$206),"")</f>
        <v/>
      </c>
      <c r="W82" s="82">
        <f>IF(AND(C82&lt;&gt;"",E82&gt;0,F82&gt;0),H82+ROW()/1000000000,"")</f>
        <v/>
      </c>
      <c r="X82" s="82">
        <f>IF(AND(C82&lt;&gt;"",E82&gt;0,F82&gt;0,OR(CatSel="Todas",D82=CatSel)),H82+ROW()/1000000000,"")</f>
        <v/>
      </c>
    </row>
    <row r="83">
      <c r="B83" s="77" t="n"/>
      <c r="C83" s="77" t="n"/>
      <c r="D83" s="77" t="n"/>
      <c r="E83" s="78" t="n"/>
      <c r="F83" s="78" t="n"/>
      <c r="G83" s="79">
        <f>IF(OR(C83="",E83&lt;=0,DivMargen&lt;=0),0,IF(Redondeo&gt;0,CEILING(E83/DivMargen,Redondeo),E83/DivMargen))</f>
        <v/>
      </c>
      <c r="H83" s="79">
        <f>IF(OR(C83="",E83&lt;=0,F83&lt;=0),0,F83*DivBase-E83)</f>
        <v/>
      </c>
      <c r="I83" s="80">
        <f>IF(OR(C83="",E83&lt;=0,F83&lt;=0),0,H83/F83)</f>
        <v/>
      </c>
      <c r="J83" s="78" t="n"/>
      <c r="K83" s="79">
        <f>IF(OR(C83="",E83&lt;=0),0,E83*J83)</f>
        <v/>
      </c>
      <c r="L83" s="68">
        <f>IF(OR(C83="",E83&lt;=0),"",IF(F83&lt;=0,"Sin precio",IF(H83&lt;0,"PÉRDIDA",IF(I83&lt;MargenMin,"Margen bajo",IF(I83&lt;MargenObjReal,"Aceptable","Rentable")))))</f>
        <v/>
      </c>
      <c r="M83" s="77" t="n"/>
      <c r="N83" s="81">
        <f>IF(ISNUMBER(W83),RANK(W83,$W$7:$W$206),"")</f>
        <v/>
      </c>
      <c r="W83" s="82">
        <f>IF(AND(C83&lt;&gt;"",E83&gt;0,F83&gt;0),H83+ROW()/1000000000,"")</f>
        <v/>
      </c>
      <c r="X83" s="82">
        <f>IF(AND(C83&lt;&gt;"",E83&gt;0,F83&gt;0,OR(CatSel="Todas",D83=CatSel)),H83+ROW()/1000000000,"")</f>
        <v/>
      </c>
    </row>
    <row r="84">
      <c r="B84" s="77" t="n"/>
      <c r="C84" s="77" t="n"/>
      <c r="D84" s="77" t="n"/>
      <c r="E84" s="78" t="n"/>
      <c r="F84" s="78" t="n"/>
      <c r="G84" s="79">
        <f>IF(OR(C84="",E84&lt;=0,DivMargen&lt;=0),0,IF(Redondeo&gt;0,CEILING(E84/DivMargen,Redondeo),E84/DivMargen))</f>
        <v/>
      </c>
      <c r="H84" s="79">
        <f>IF(OR(C84="",E84&lt;=0,F84&lt;=0),0,F84*DivBase-E84)</f>
        <v/>
      </c>
      <c r="I84" s="80">
        <f>IF(OR(C84="",E84&lt;=0,F84&lt;=0),0,H84/F84)</f>
        <v/>
      </c>
      <c r="J84" s="78" t="n"/>
      <c r="K84" s="79">
        <f>IF(OR(C84="",E84&lt;=0),0,E84*J84)</f>
        <v/>
      </c>
      <c r="L84" s="68">
        <f>IF(OR(C84="",E84&lt;=0),"",IF(F84&lt;=0,"Sin precio",IF(H84&lt;0,"PÉRDIDA",IF(I84&lt;MargenMin,"Margen bajo",IF(I84&lt;MargenObjReal,"Aceptable","Rentable")))))</f>
        <v/>
      </c>
      <c r="M84" s="77" t="n"/>
      <c r="N84" s="81">
        <f>IF(ISNUMBER(W84),RANK(W84,$W$7:$W$206),"")</f>
        <v/>
      </c>
      <c r="W84" s="82">
        <f>IF(AND(C84&lt;&gt;"",E84&gt;0,F84&gt;0),H84+ROW()/1000000000,"")</f>
        <v/>
      </c>
      <c r="X84" s="82">
        <f>IF(AND(C84&lt;&gt;"",E84&gt;0,F84&gt;0,OR(CatSel="Todas",D84=CatSel)),H84+ROW()/1000000000,"")</f>
        <v/>
      </c>
    </row>
    <row r="85">
      <c r="B85" s="77" t="n"/>
      <c r="C85" s="77" t="n"/>
      <c r="D85" s="77" t="n"/>
      <c r="E85" s="78" t="n"/>
      <c r="F85" s="78" t="n"/>
      <c r="G85" s="79">
        <f>IF(OR(C85="",E85&lt;=0,DivMargen&lt;=0),0,IF(Redondeo&gt;0,CEILING(E85/DivMargen,Redondeo),E85/DivMargen))</f>
        <v/>
      </c>
      <c r="H85" s="79">
        <f>IF(OR(C85="",E85&lt;=0,F85&lt;=0),0,F85*DivBase-E85)</f>
        <v/>
      </c>
      <c r="I85" s="80">
        <f>IF(OR(C85="",E85&lt;=0,F85&lt;=0),0,H85/F85)</f>
        <v/>
      </c>
      <c r="J85" s="78" t="n"/>
      <c r="K85" s="79">
        <f>IF(OR(C85="",E85&lt;=0),0,E85*J85)</f>
        <v/>
      </c>
      <c r="L85" s="68">
        <f>IF(OR(C85="",E85&lt;=0),"",IF(F85&lt;=0,"Sin precio",IF(H85&lt;0,"PÉRDIDA",IF(I85&lt;MargenMin,"Margen bajo",IF(I85&lt;MargenObjReal,"Aceptable","Rentable")))))</f>
        <v/>
      </c>
      <c r="M85" s="77" t="n"/>
      <c r="N85" s="81">
        <f>IF(ISNUMBER(W85),RANK(W85,$W$7:$W$206),"")</f>
        <v/>
      </c>
      <c r="W85" s="82">
        <f>IF(AND(C85&lt;&gt;"",E85&gt;0,F85&gt;0),H85+ROW()/1000000000,"")</f>
        <v/>
      </c>
      <c r="X85" s="82">
        <f>IF(AND(C85&lt;&gt;"",E85&gt;0,F85&gt;0,OR(CatSel="Todas",D85=CatSel)),H85+ROW()/1000000000,"")</f>
        <v/>
      </c>
    </row>
    <row r="86">
      <c r="B86" s="77" t="n"/>
      <c r="C86" s="77" t="n"/>
      <c r="D86" s="77" t="n"/>
      <c r="E86" s="78" t="n"/>
      <c r="F86" s="78" t="n"/>
      <c r="G86" s="79">
        <f>IF(OR(C86="",E86&lt;=0,DivMargen&lt;=0),0,IF(Redondeo&gt;0,CEILING(E86/DivMargen,Redondeo),E86/DivMargen))</f>
        <v/>
      </c>
      <c r="H86" s="79">
        <f>IF(OR(C86="",E86&lt;=0,F86&lt;=0),0,F86*DivBase-E86)</f>
        <v/>
      </c>
      <c r="I86" s="80">
        <f>IF(OR(C86="",E86&lt;=0,F86&lt;=0),0,H86/F86)</f>
        <v/>
      </c>
      <c r="J86" s="78" t="n"/>
      <c r="K86" s="79">
        <f>IF(OR(C86="",E86&lt;=0),0,E86*J86)</f>
        <v/>
      </c>
      <c r="L86" s="68">
        <f>IF(OR(C86="",E86&lt;=0),"",IF(F86&lt;=0,"Sin precio",IF(H86&lt;0,"PÉRDIDA",IF(I86&lt;MargenMin,"Margen bajo",IF(I86&lt;MargenObjReal,"Aceptable","Rentable")))))</f>
        <v/>
      </c>
      <c r="M86" s="77" t="n"/>
      <c r="N86" s="81">
        <f>IF(ISNUMBER(W86),RANK(W86,$W$7:$W$206),"")</f>
        <v/>
      </c>
      <c r="W86" s="82">
        <f>IF(AND(C86&lt;&gt;"",E86&gt;0,F86&gt;0),H86+ROW()/1000000000,"")</f>
        <v/>
      </c>
      <c r="X86" s="82">
        <f>IF(AND(C86&lt;&gt;"",E86&gt;0,F86&gt;0,OR(CatSel="Todas",D86=CatSel)),H86+ROW()/1000000000,"")</f>
        <v/>
      </c>
    </row>
    <row r="87">
      <c r="B87" s="77" t="n"/>
      <c r="C87" s="77" t="n"/>
      <c r="D87" s="77" t="n"/>
      <c r="E87" s="78" t="n"/>
      <c r="F87" s="78" t="n"/>
      <c r="G87" s="79">
        <f>IF(OR(C87="",E87&lt;=0,DivMargen&lt;=0),0,IF(Redondeo&gt;0,CEILING(E87/DivMargen,Redondeo),E87/DivMargen))</f>
        <v/>
      </c>
      <c r="H87" s="79">
        <f>IF(OR(C87="",E87&lt;=0,F87&lt;=0),0,F87*DivBase-E87)</f>
        <v/>
      </c>
      <c r="I87" s="80">
        <f>IF(OR(C87="",E87&lt;=0,F87&lt;=0),0,H87/F87)</f>
        <v/>
      </c>
      <c r="J87" s="78" t="n"/>
      <c r="K87" s="79">
        <f>IF(OR(C87="",E87&lt;=0),0,E87*J87)</f>
        <v/>
      </c>
      <c r="L87" s="68">
        <f>IF(OR(C87="",E87&lt;=0),"",IF(F87&lt;=0,"Sin precio",IF(H87&lt;0,"PÉRDIDA",IF(I87&lt;MargenMin,"Margen bajo",IF(I87&lt;MargenObjReal,"Aceptable","Rentable")))))</f>
        <v/>
      </c>
      <c r="M87" s="77" t="n"/>
      <c r="N87" s="81">
        <f>IF(ISNUMBER(W87),RANK(W87,$W$7:$W$206),"")</f>
        <v/>
      </c>
      <c r="W87" s="82">
        <f>IF(AND(C87&lt;&gt;"",E87&gt;0,F87&gt;0),H87+ROW()/1000000000,"")</f>
        <v/>
      </c>
      <c r="X87" s="82">
        <f>IF(AND(C87&lt;&gt;"",E87&gt;0,F87&gt;0,OR(CatSel="Todas",D87=CatSel)),H87+ROW()/1000000000,"")</f>
        <v/>
      </c>
    </row>
    <row r="88">
      <c r="B88" s="77" t="n"/>
      <c r="C88" s="77" t="n"/>
      <c r="D88" s="77" t="n"/>
      <c r="E88" s="78" t="n"/>
      <c r="F88" s="78" t="n"/>
      <c r="G88" s="79">
        <f>IF(OR(C88="",E88&lt;=0,DivMargen&lt;=0),0,IF(Redondeo&gt;0,CEILING(E88/DivMargen,Redondeo),E88/DivMargen))</f>
        <v/>
      </c>
      <c r="H88" s="79">
        <f>IF(OR(C88="",E88&lt;=0,F88&lt;=0),0,F88*DivBase-E88)</f>
        <v/>
      </c>
      <c r="I88" s="80">
        <f>IF(OR(C88="",E88&lt;=0,F88&lt;=0),0,H88/F88)</f>
        <v/>
      </c>
      <c r="J88" s="78" t="n"/>
      <c r="K88" s="79">
        <f>IF(OR(C88="",E88&lt;=0),0,E88*J88)</f>
        <v/>
      </c>
      <c r="L88" s="68">
        <f>IF(OR(C88="",E88&lt;=0),"",IF(F88&lt;=0,"Sin precio",IF(H88&lt;0,"PÉRDIDA",IF(I88&lt;MargenMin,"Margen bajo",IF(I88&lt;MargenObjReal,"Aceptable","Rentable")))))</f>
        <v/>
      </c>
      <c r="M88" s="77" t="n"/>
      <c r="N88" s="81">
        <f>IF(ISNUMBER(W88),RANK(W88,$W$7:$W$206),"")</f>
        <v/>
      </c>
      <c r="W88" s="82">
        <f>IF(AND(C88&lt;&gt;"",E88&gt;0,F88&gt;0),H88+ROW()/1000000000,"")</f>
        <v/>
      </c>
      <c r="X88" s="82">
        <f>IF(AND(C88&lt;&gt;"",E88&gt;0,F88&gt;0,OR(CatSel="Todas",D88=CatSel)),H88+ROW()/1000000000,"")</f>
        <v/>
      </c>
    </row>
    <row r="89">
      <c r="B89" s="77" t="n"/>
      <c r="C89" s="77" t="n"/>
      <c r="D89" s="77" t="n"/>
      <c r="E89" s="78" t="n"/>
      <c r="F89" s="78" t="n"/>
      <c r="G89" s="79">
        <f>IF(OR(C89="",E89&lt;=0,DivMargen&lt;=0),0,IF(Redondeo&gt;0,CEILING(E89/DivMargen,Redondeo),E89/DivMargen))</f>
        <v/>
      </c>
      <c r="H89" s="79">
        <f>IF(OR(C89="",E89&lt;=0,F89&lt;=0),0,F89*DivBase-E89)</f>
        <v/>
      </c>
      <c r="I89" s="80">
        <f>IF(OR(C89="",E89&lt;=0,F89&lt;=0),0,H89/F89)</f>
        <v/>
      </c>
      <c r="J89" s="78" t="n"/>
      <c r="K89" s="79">
        <f>IF(OR(C89="",E89&lt;=0),0,E89*J89)</f>
        <v/>
      </c>
      <c r="L89" s="68">
        <f>IF(OR(C89="",E89&lt;=0),"",IF(F89&lt;=0,"Sin precio",IF(H89&lt;0,"PÉRDIDA",IF(I89&lt;MargenMin,"Margen bajo",IF(I89&lt;MargenObjReal,"Aceptable","Rentable")))))</f>
        <v/>
      </c>
      <c r="M89" s="77" t="n"/>
      <c r="N89" s="81">
        <f>IF(ISNUMBER(W89),RANK(W89,$W$7:$W$206),"")</f>
        <v/>
      </c>
      <c r="W89" s="82">
        <f>IF(AND(C89&lt;&gt;"",E89&gt;0,F89&gt;0),H89+ROW()/1000000000,"")</f>
        <v/>
      </c>
      <c r="X89" s="82">
        <f>IF(AND(C89&lt;&gt;"",E89&gt;0,F89&gt;0,OR(CatSel="Todas",D89=CatSel)),H89+ROW()/1000000000,"")</f>
        <v/>
      </c>
    </row>
    <row r="90">
      <c r="B90" s="77" t="n"/>
      <c r="C90" s="77" t="n"/>
      <c r="D90" s="77" t="n"/>
      <c r="E90" s="78" t="n"/>
      <c r="F90" s="78" t="n"/>
      <c r="G90" s="79">
        <f>IF(OR(C90="",E90&lt;=0,DivMargen&lt;=0),0,IF(Redondeo&gt;0,CEILING(E90/DivMargen,Redondeo),E90/DivMargen))</f>
        <v/>
      </c>
      <c r="H90" s="79">
        <f>IF(OR(C90="",E90&lt;=0,F90&lt;=0),0,F90*DivBase-E90)</f>
        <v/>
      </c>
      <c r="I90" s="80">
        <f>IF(OR(C90="",E90&lt;=0,F90&lt;=0),0,H90/F90)</f>
        <v/>
      </c>
      <c r="J90" s="78" t="n"/>
      <c r="K90" s="79">
        <f>IF(OR(C90="",E90&lt;=0),0,E90*J90)</f>
        <v/>
      </c>
      <c r="L90" s="68">
        <f>IF(OR(C90="",E90&lt;=0),"",IF(F90&lt;=0,"Sin precio",IF(H90&lt;0,"PÉRDIDA",IF(I90&lt;MargenMin,"Margen bajo",IF(I90&lt;MargenObjReal,"Aceptable","Rentable")))))</f>
        <v/>
      </c>
      <c r="M90" s="77" t="n"/>
      <c r="N90" s="81">
        <f>IF(ISNUMBER(W90),RANK(W90,$W$7:$W$206),"")</f>
        <v/>
      </c>
      <c r="W90" s="82">
        <f>IF(AND(C90&lt;&gt;"",E90&gt;0,F90&gt;0),H90+ROW()/1000000000,"")</f>
        <v/>
      </c>
      <c r="X90" s="82">
        <f>IF(AND(C90&lt;&gt;"",E90&gt;0,F90&gt;0,OR(CatSel="Todas",D90=CatSel)),H90+ROW()/1000000000,"")</f>
        <v/>
      </c>
    </row>
    <row r="91">
      <c r="B91" s="77" t="n"/>
      <c r="C91" s="77" t="n"/>
      <c r="D91" s="77" t="n"/>
      <c r="E91" s="78" t="n"/>
      <c r="F91" s="78" t="n"/>
      <c r="G91" s="79">
        <f>IF(OR(C91="",E91&lt;=0,DivMargen&lt;=0),0,IF(Redondeo&gt;0,CEILING(E91/DivMargen,Redondeo),E91/DivMargen))</f>
        <v/>
      </c>
      <c r="H91" s="79">
        <f>IF(OR(C91="",E91&lt;=0,F91&lt;=0),0,F91*DivBase-E91)</f>
        <v/>
      </c>
      <c r="I91" s="80">
        <f>IF(OR(C91="",E91&lt;=0,F91&lt;=0),0,H91/F91)</f>
        <v/>
      </c>
      <c r="J91" s="78" t="n"/>
      <c r="K91" s="79">
        <f>IF(OR(C91="",E91&lt;=0),0,E91*J91)</f>
        <v/>
      </c>
      <c r="L91" s="68">
        <f>IF(OR(C91="",E91&lt;=0),"",IF(F91&lt;=0,"Sin precio",IF(H91&lt;0,"PÉRDIDA",IF(I91&lt;MargenMin,"Margen bajo",IF(I91&lt;MargenObjReal,"Aceptable","Rentable")))))</f>
        <v/>
      </c>
      <c r="M91" s="77" t="n"/>
      <c r="N91" s="81">
        <f>IF(ISNUMBER(W91),RANK(W91,$W$7:$W$206),"")</f>
        <v/>
      </c>
      <c r="W91" s="82">
        <f>IF(AND(C91&lt;&gt;"",E91&gt;0,F91&gt;0),H91+ROW()/1000000000,"")</f>
        <v/>
      </c>
      <c r="X91" s="82">
        <f>IF(AND(C91&lt;&gt;"",E91&gt;0,F91&gt;0,OR(CatSel="Todas",D91=CatSel)),H91+ROW()/1000000000,"")</f>
        <v/>
      </c>
    </row>
    <row r="92">
      <c r="B92" s="77" t="n"/>
      <c r="C92" s="77" t="n"/>
      <c r="D92" s="77" t="n"/>
      <c r="E92" s="78" t="n"/>
      <c r="F92" s="78" t="n"/>
      <c r="G92" s="79">
        <f>IF(OR(C92="",E92&lt;=0,DivMargen&lt;=0),0,IF(Redondeo&gt;0,CEILING(E92/DivMargen,Redondeo),E92/DivMargen))</f>
        <v/>
      </c>
      <c r="H92" s="79">
        <f>IF(OR(C92="",E92&lt;=0,F92&lt;=0),0,F92*DivBase-E92)</f>
        <v/>
      </c>
      <c r="I92" s="80">
        <f>IF(OR(C92="",E92&lt;=0,F92&lt;=0),0,H92/F92)</f>
        <v/>
      </c>
      <c r="J92" s="78" t="n"/>
      <c r="K92" s="79">
        <f>IF(OR(C92="",E92&lt;=0),0,E92*J92)</f>
        <v/>
      </c>
      <c r="L92" s="68">
        <f>IF(OR(C92="",E92&lt;=0),"",IF(F92&lt;=0,"Sin precio",IF(H92&lt;0,"PÉRDIDA",IF(I92&lt;MargenMin,"Margen bajo",IF(I92&lt;MargenObjReal,"Aceptable","Rentable")))))</f>
        <v/>
      </c>
      <c r="M92" s="77" t="n"/>
      <c r="N92" s="81">
        <f>IF(ISNUMBER(W92),RANK(W92,$W$7:$W$206),"")</f>
        <v/>
      </c>
      <c r="W92" s="82">
        <f>IF(AND(C92&lt;&gt;"",E92&gt;0,F92&gt;0),H92+ROW()/1000000000,"")</f>
        <v/>
      </c>
      <c r="X92" s="82">
        <f>IF(AND(C92&lt;&gt;"",E92&gt;0,F92&gt;0,OR(CatSel="Todas",D92=CatSel)),H92+ROW()/1000000000,"")</f>
        <v/>
      </c>
    </row>
    <row r="93">
      <c r="B93" s="77" t="n"/>
      <c r="C93" s="77" t="n"/>
      <c r="D93" s="77" t="n"/>
      <c r="E93" s="78" t="n"/>
      <c r="F93" s="78" t="n"/>
      <c r="G93" s="79">
        <f>IF(OR(C93="",E93&lt;=0,DivMargen&lt;=0),0,IF(Redondeo&gt;0,CEILING(E93/DivMargen,Redondeo),E93/DivMargen))</f>
        <v/>
      </c>
      <c r="H93" s="79">
        <f>IF(OR(C93="",E93&lt;=0,F93&lt;=0),0,F93*DivBase-E93)</f>
        <v/>
      </c>
      <c r="I93" s="80">
        <f>IF(OR(C93="",E93&lt;=0,F93&lt;=0),0,H93/F93)</f>
        <v/>
      </c>
      <c r="J93" s="78" t="n"/>
      <c r="K93" s="79">
        <f>IF(OR(C93="",E93&lt;=0),0,E93*J93)</f>
        <v/>
      </c>
      <c r="L93" s="68">
        <f>IF(OR(C93="",E93&lt;=0),"",IF(F93&lt;=0,"Sin precio",IF(H93&lt;0,"PÉRDIDA",IF(I93&lt;MargenMin,"Margen bajo",IF(I93&lt;MargenObjReal,"Aceptable","Rentable")))))</f>
        <v/>
      </c>
      <c r="M93" s="77" t="n"/>
      <c r="N93" s="81">
        <f>IF(ISNUMBER(W93),RANK(W93,$W$7:$W$206),"")</f>
        <v/>
      </c>
      <c r="W93" s="82">
        <f>IF(AND(C93&lt;&gt;"",E93&gt;0,F93&gt;0),H93+ROW()/1000000000,"")</f>
        <v/>
      </c>
      <c r="X93" s="82">
        <f>IF(AND(C93&lt;&gt;"",E93&gt;0,F93&gt;0,OR(CatSel="Todas",D93=CatSel)),H93+ROW()/1000000000,"")</f>
        <v/>
      </c>
    </row>
    <row r="94">
      <c r="B94" s="77" t="n"/>
      <c r="C94" s="77" t="n"/>
      <c r="D94" s="77" t="n"/>
      <c r="E94" s="78" t="n"/>
      <c r="F94" s="78" t="n"/>
      <c r="G94" s="79">
        <f>IF(OR(C94="",E94&lt;=0,DivMargen&lt;=0),0,IF(Redondeo&gt;0,CEILING(E94/DivMargen,Redondeo),E94/DivMargen))</f>
        <v/>
      </c>
      <c r="H94" s="79">
        <f>IF(OR(C94="",E94&lt;=0,F94&lt;=0),0,F94*DivBase-E94)</f>
        <v/>
      </c>
      <c r="I94" s="80">
        <f>IF(OR(C94="",E94&lt;=0,F94&lt;=0),0,H94/F94)</f>
        <v/>
      </c>
      <c r="J94" s="78" t="n"/>
      <c r="K94" s="79">
        <f>IF(OR(C94="",E94&lt;=0),0,E94*J94)</f>
        <v/>
      </c>
      <c r="L94" s="68">
        <f>IF(OR(C94="",E94&lt;=0),"",IF(F94&lt;=0,"Sin precio",IF(H94&lt;0,"PÉRDIDA",IF(I94&lt;MargenMin,"Margen bajo",IF(I94&lt;MargenObjReal,"Aceptable","Rentable")))))</f>
        <v/>
      </c>
      <c r="M94" s="77" t="n"/>
      <c r="N94" s="81">
        <f>IF(ISNUMBER(W94),RANK(W94,$W$7:$W$206),"")</f>
        <v/>
      </c>
      <c r="W94" s="82">
        <f>IF(AND(C94&lt;&gt;"",E94&gt;0,F94&gt;0),H94+ROW()/1000000000,"")</f>
        <v/>
      </c>
      <c r="X94" s="82">
        <f>IF(AND(C94&lt;&gt;"",E94&gt;0,F94&gt;0,OR(CatSel="Todas",D94=CatSel)),H94+ROW()/1000000000,"")</f>
        <v/>
      </c>
    </row>
    <row r="95">
      <c r="B95" s="77" t="n"/>
      <c r="C95" s="77" t="n"/>
      <c r="D95" s="77" t="n"/>
      <c r="E95" s="78" t="n"/>
      <c r="F95" s="78" t="n"/>
      <c r="G95" s="79">
        <f>IF(OR(C95="",E95&lt;=0,DivMargen&lt;=0),0,IF(Redondeo&gt;0,CEILING(E95/DivMargen,Redondeo),E95/DivMargen))</f>
        <v/>
      </c>
      <c r="H95" s="79">
        <f>IF(OR(C95="",E95&lt;=0,F95&lt;=0),0,F95*DivBase-E95)</f>
        <v/>
      </c>
      <c r="I95" s="80">
        <f>IF(OR(C95="",E95&lt;=0,F95&lt;=0),0,H95/F95)</f>
        <v/>
      </c>
      <c r="J95" s="78" t="n"/>
      <c r="K95" s="79">
        <f>IF(OR(C95="",E95&lt;=0),0,E95*J95)</f>
        <v/>
      </c>
      <c r="L95" s="68">
        <f>IF(OR(C95="",E95&lt;=0),"",IF(F95&lt;=0,"Sin precio",IF(H95&lt;0,"PÉRDIDA",IF(I95&lt;MargenMin,"Margen bajo",IF(I95&lt;MargenObjReal,"Aceptable","Rentable")))))</f>
        <v/>
      </c>
      <c r="M95" s="77" t="n"/>
      <c r="N95" s="81">
        <f>IF(ISNUMBER(W95),RANK(W95,$W$7:$W$206),"")</f>
        <v/>
      </c>
      <c r="W95" s="82">
        <f>IF(AND(C95&lt;&gt;"",E95&gt;0,F95&gt;0),H95+ROW()/1000000000,"")</f>
        <v/>
      </c>
      <c r="X95" s="82">
        <f>IF(AND(C95&lt;&gt;"",E95&gt;0,F95&gt;0,OR(CatSel="Todas",D95=CatSel)),H95+ROW()/1000000000,"")</f>
        <v/>
      </c>
    </row>
    <row r="96">
      <c r="B96" s="77" t="n"/>
      <c r="C96" s="77" t="n"/>
      <c r="D96" s="77" t="n"/>
      <c r="E96" s="78" t="n"/>
      <c r="F96" s="78" t="n"/>
      <c r="G96" s="79">
        <f>IF(OR(C96="",E96&lt;=0,DivMargen&lt;=0),0,IF(Redondeo&gt;0,CEILING(E96/DivMargen,Redondeo),E96/DivMargen))</f>
        <v/>
      </c>
      <c r="H96" s="79">
        <f>IF(OR(C96="",E96&lt;=0,F96&lt;=0),0,F96*DivBase-E96)</f>
        <v/>
      </c>
      <c r="I96" s="80">
        <f>IF(OR(C96="",E96&lt;=0,F96&lt;=0),0,H96/F96)</f>
        <v/>
      </c>
      <c r="J96" s="78" t="n"/>
      <c r="K96" s="79">
        <f>IF(OR(C96="",E96&lt;=0),0,E96*J96)</f>
        <v/>
      </c>
      <c r="L96" s="68">
        <f>IF(OR(C96="",E96&lt;=0),"",IF(F96&lt;=0,"Sin precio",IF(H96&lt;0,"PÉRDIDA",IF(I96&lt;MargenMin,"Margen bajo",IF(I96&lt;MargenObjReal,"Aceptable","Rentable")))))</f>
        <v/>
      </c>
      <c r="M96" s="77" t="n"/>
      <c r="N96" s="81">
        <f>IF(ISNUMBER(W96),RANK(W96,$W$7:$W$206),"")</f>
        <v/>
      </c>
      <c r="W96" s="82">
        <f>IF(AND(C96&lt;&gt;"",E96&gt;0,F96&gt;0),H96+ROW()/1000000000,"")</f>
        <v/>
      </c>
      <c r="X96" s="82">
        <f>IF(AND(C96&lt;&gt;"",E96&gt;0,F96&gt;0,OR(CatSel="Todas",D96=CatSel)),H96+ROW()/1000000000,"")</f>
        <v/>
      </c>
    </row>
    <row r="97">
      <c r="B97" s="77" t="n"/>
      <c r="C97" s="77" t="n"/>
      <c r="D97" s="77" t="n"/>
      <c r="E97" s="78" t="n"/>
      <c r="F97" s="78" t="n"/>
      <c r="G97" s="79">
        <f>IF(OR(C97="",E97&lt;=0,DivMargen&lt;=0),0,IF(Redondeo&gt;0,CEILING(E97/DivMargen,Redondeo),E97/DivMargen))</f>
        <v/>
      </c>
      <c r="H97" s="79">
        <f>IF(OR(C97="",E97&lt;=0,F97&lt;=0),0,F97*DivBase-E97)</f>
        <v/>
      </c>
      <c r="I97" s="80">
        <f>IF(OR(C97="",E97&lt;=0,F97&lt;=0),0,H97/F97)</f>
        <v/>
      </c>
      <c r="J97" s="78" t="n"/>
      <c r="K97" s="79">
        <f>IF(OR(C97="",E97&lt;=0),0,E97*J97)</f>
        <v/>
      </c>
      <c r="L97" s="68">
        <f>IF(OR(C97="",E97&lt;=0),"",IF(F97&lt;=0,"Sin precio",IF(H97&lt;0,"PÉRDIDA",IF(I97&lt;MargenMin,"Margen bajo",IF(I97&lt;MargenObjReal,"Aceptable","Rentable")))))</f>
        <v/>
      </c>
      <c r="M97" s="77" t="n"/>
      <c r="N97" s="81">
        <f>IF(ISNUMBER(W97),RANK(W97,$W$7:$W$206),"")</f>
        <v/>
      </c>
      <c r="W97" s="82">
        <f>IF(AND(C97&lt;&gt;"",E97&gt;0,F97&gt;0),H97+ROW()/1000000000,"")</f>
        <v/>
      </c>
      <c r="X97" s="82">
        <f>IF(AND(C97&lt;&gt;"",E97&gt;0,F97&gt;0,OR(CatSel="Todas",D97=CatSel)),H97+ROW()/1000000000,"")</f>
        <v/>
      </c>
    </row>
    <row r="98">
      <c r="B98" s="77" t="n"/>
      <c r="C98" s="77" t="n"/>
      <c r="D98" s="77" t="n"/>
      <c r="E98" s="78" t="n"/>
      <c r="F98" s="78" t="n"/>
      <c r="G98" s="79">
        <f>IF(OR(C98="",E98&lt;=0,DivMargen&lt;=0),0,IF(Redondeo&gt;0,CEILING(E98/DivMargen,Redondeo),E98/DivMargen))</f>
        <v/>
      </c>
      <c r="H98" s="79">
        <f>IF(OR(C98="",E98&lt;=0,F98&lt;=0),0,F98*DivBase-E98)</f>
        <v/>
      </c>
      <c r="I98" s="80">
        <f>IF(OR(C98="",E98&lt;=0,F98&lt;=0),0,H98/F98)</f>
        <v/>
      </c>
      <c r="J98" s="78" t="n"/>
      <c r="K98" s="79">
        <f>IF(OR(C98="",E98&lt;=0),0,E98*J98)</f>
        <v/>
      </c>
      <c r="L98" s="68">
        <f>IF(OR(C98="",E98&lt;=0),"",IF(F98&lt;=0,"Sin precio",IF(H98&lt;0,"PÉRDIDA",IF(I98&lt;MargenMin,"Margen bajo",IF(I98&lt;MargenObjReal,"Aceptable","Rentable")))))</f>
        <v/>
      </c>
      <c r="M98" s="77" t="n"/>
      <c r="N98" s="81">
        <f>IF(ISNUMBER(W98),RANK(W98,$W$7:$W$206),"")</f>
        <v/>
      </c>
      <c r="W98" s="82">
        <f>IF(AND(C98&lt;&gt;"",E98&gt;0,F98&gt;0),H98+ROW()/1000000000,"")</f>
        <v/>
      </c>
      <c r="X98" s="82">
        <f>IF(AND(C98&lt;&gt;"",E98&gt;0,F98&gt;0,OR(CatSel="Todas",D98=CatSel)),H98+ROW()/1000000000,"")</f>
        <v/>
      </c>
    </row>
    <row r="99">
      <c r="B99" s="77" t="n"/>
      <c r="C99" s="77" t="n"/>
      <c r="D99" s="77" t="n"/>
      <c r="E99" s="78" t="n"/>
      <c r="F99" s="78" t="n"/>
      <c r="G99" s="79">
        <f>IF(OR(C99="",E99&lt;=0,DivMargen&lt;=0),0,IF(Redondeo&gt;0,CEILING(E99/DivMargen,Redondeo),E99/DivMargen))</f>
        <v/>
      </c>
      <c r="H99" s="79">
        <f>IF(OR(C99="",E99&lt;=0,F99&lt;=0),0,F99*DivBase-E99)</f>
        <v/>
      </c>
      <c r="I99" s="80">
        <f>IF(OR(C99="",E99&lt;=0,F99&lt;=0),0,H99/F99)</f>
        <v/>
      </c>
      <c r="J99" s="78" t="n"/>
      <c r="K99" s="79">
        <f>IF(OR(C99="",E99&lt;=0),0,E99*J99)</f>
        <v/>
      </c>
      <c r="L99" s="68">
        <f>IF(OR(C99="",E99&lt;=0),"",IF(F99&lt;=0,"Sin precio",IF(H99&lt;0,"PÉRDIDA",IF(I99&lt;MargenMin,"Margen bajo",IF(I99&lt;MargenObjReal,"Aceptable","Rentable")))))</f>
        <v/>
      </c>
      <c r="M99" s="77" t="n"/>
      <c r="N99" s="81">
        <f>IF(ISNUMBER(W99),RANK(W99,$W$7:$W$206),"")</f>
        <v/>
      </c>
      <c r="W99" s="82">
        <f>IF(AND(C99&lt;&gt;"",E99&gt;0,F99&gt;0),H99+ROW()/1000000000,"")</f>
        <v/>
      </c>
      <c r="X99" s="82">
        <f>IF(AND(C99&lt;&gt;"",E99&gt;0,F99&gt;0,OR(CatSel="Todas",D99=CatSel)),H99+ROW()/1000000000,"")</f>
        <v/>
      </c>
    </row>
    <row r="100">
      <c r="B100" s="77" t="n"/>
      <c r="C100" s="77" t="n"/>
      <c r="D100" s="77" t="n"/>
      <c r="E100" s="78" t="n"/>
      <c r="F100" s="78" t="n"/>
      <c r="G100" s="79">
        <f>IF(OR(C100="",E100&lt;=0,DivMargen&lt;=0),0,IF(Redondeo&gt;0,CEILING(E100/DivMargen,Redondeo),E100/DivMargen))</f>
        <v/>
      </c>
      <c r="H100" s="79">
        <f>IF(OR(C100="",E100&lt;=0,F100&lt;=0),0,F100*DivBase-E100)</f>
        <v/>
      </c>
      <c r="I100" s="80">
        <f>IF(OR(C100="",E100&lt;=0,F100&lt;=0),0,H100/F100)</f>
        <v/>
      </c>
      <c r="J100" s="78" t="n"/>
      <c r="K100" s="79">
        <f>IF(OR(C100="",E100&lt;=0),0,E100*J100)</f>
        <v/>
      </c>
      <c r="L100" s="68">
        <f>IF(OR(C100="",E100&lt;=0),"",IF(F100&lt;=0,"Sin precio",IF(H100&lt;0,"PÉRDIDA",IF(I100&lt;MargenMin,"Margen bajo",IF(I100&lt;MargenObjReal,"Aceptable","Rentable")))))</f>
        <v/>
      </c>
      <c r="M100" s="77" t="n"/>
      <c r="N100" s="81">
        <f>IF(ISNUMBER(W100),RANK(W100,$W$7:$W$206),"")</f>
        <v/>
      </c>
      <c r="W100" s="82">
        <f>IF(AND(C100&lt;&gt;"",E100&gt;0,F100&gt;0),H100+ROW()/1000000000,"")</f>
        <v/>
      </c>
      <c r="X100" s="82">
        <f>IF(AND(C100&lt;&gt;"",E100&gt;0,F100&gt;0,OR(CatSel="Todas",D100=CatSel)),H100+ROW()/1000000000,"")</f>
        <v/>
      </c>
    </row>
    <row r="101">
      <c r="B101" s="77" t="n"/>
      <c r="C101" s="77" t="n"/>
      <c r="D101" s="77" t="n"/>
      <c r="E101" s="78" t="n"/>
      <c r="F101" s="78" t="n"/>
      <c r="G101" s="79">
        <f>IF(OR(C101="",E101&lt;=0,DivMargen&lt;=0),0,IF(Redondeo&gt;0,CEILING(E101/DivMargen,Redondeo),E101/DivMargen))</f>
        <v/>
      </c>
      <c r="H101" s="79">
        <f>IF(OR(C101="",E101&lt;=0,F101&lt;=0),0,F101*DivBase-E101)</f>
        <v/>
      </c>
      <c r="I101" s="80">
        <f>IF(OR(C101="",E101&lt;=0,F101&lt;=0),0,H101/F101)</f>
        <v/>
      </c>
      <c r="J101" s="78" t="n"/>
      <c r="K101" s="79">
        <f>IF(OR(C101="",E101&lt;=0),0,E101*J101)</f>
        <v/>
      </c>
      <c r="L101" s="68">
        <f>IF(OR(C101="",E101&lt;=0),"",IF(F101&lt;=0,"Sin precio",IF(H101&lt;0,"PÉRDIDA",IF(I101&lt;MargenMin,"Margen bajo",IF(I101&lt;MargenObjReal,"Aceptable","Rentable")))))</f>
        <v/>
      </c>
      <c r="M101" s="77" t="n"/>
      <c r="N101" s="81">
        <f>IF(ISNUMBER(W101),RANK(W101,$W$7:$W$206),"")</f>
        <v/>
      </c>
      <c r="W101" s="82">
        <f>IF(AND(C101&lt;&gt;"",E101&gt;0,F101&gt;0),H101+ROW()/1000000000,"")</f>
        <v/>
      </c>
      <c r="X101" s="82">
        <f>IF(AND(C101&lt;&gt;"",E101&gt;0,F101&gt;0,OR(CatSel="Todas",D101=CatSel)),H101+ROW()/1000000000,"")</f>
        <v/>
      </c>
    </row>
    <row r="102">
      <c r="B102" s="77" t="n"/>
      <c r="C102" s="77" t="n"/>
      <c r="D102" s="77" t="n"/>
      <c r="E102" s="78" t="n"/>
      <c r="F102" s="78" t="n"/>
      <c r="G102" s="79">
        <f>IF(OR(C102="",E102&lt;=0,DivMargen&lt;=0),0,IF(Redondeo&gt;0,CEILING(E102/DivMargen,Redondeo),E102/DivMargen))</f>
        <v/>
      </c>
      <c r="H102" s="79">
        <f>IF(OR(C102="",E102&lt;=0,F102&lt;=0),0,F102*DivBase-E102)</f>
        <v/>
      </c>
      <c r="I102" s="80">
        <f>IF(OR(C102="",E102&lt;=0,F102&lt;=0),0,H102/F102)</f>
        <v/>
      </c>
      <c r="J102" s="78" t="n"/>
      <c r="K102" s="79">
        <f>IF(OR(C102="",E102&lt;=0),0,E102*J102)</f>
        <v/>
      </c>
      <c r="L102" s="68">
        <f>IF(OR(C102="",E102&lt;=0),"",IF(F102&lt;=0,"Sin precio",IF(H102&lt;0,"PÉRDIDA",IF(I102&lt;MargenMin,"Margen bajo",IF(I102&lt;MargenObjReal,"Aceptable","Rentable")))))</f>
        <v/>
      </c>
      <c r="M102" s="77" t="n"/>
      <c r="N102" s="81">
        <f>IF(ISNUMBER(W102),RANK(W102,$W$7:$W$206),"")</f>
        <v/>
      </c>
      <c r="W102" s="82">
        <f>IF(AND(C102&lt;&gt;"",E102&gt;0,F102&gt;0),H102+ROW()/1000000000,"")</f>
        <v/>
      </c>
      <c r="X102" s="82">
        <f>IF(AND(C102&lt;&gt;"",E102&gt;0,F102&gt;0,OR(CatSel="Todas",D102=CatSel)),H102+ROW()/1000000000,"")</f>
        <v/>
      </c>
    </row>
    <row r="103">
      <c r="B103" s="77" t="n"/>
      <c r="C103" s="77" t="n"/>
      <c r="D103" s="77" t="n"/>
      <c r="E103" s="78" t="n"/>
      <c r="F103" s="78" t="n"/>
      <c r="G103" s="79">
        <f>IF(OR(C103="",E103&lt;=0,DivMargen&lt;=0),0,IF(Redondeo&gt;0,CEILING(E103/DivMargen,Redondeo),E103/DivMargen))</f>
        <v/>
      </c>
      <c r="H103" s="79">
        <f>IF(OR(C103="",E103&lt;=0,F103&lt;=0),0,F103*DivBase-E103)</f>
        <v/>
      </c>
      <c r="I103" s="80">
        <f>IF(OR(C103="",E103&lt;=0,F103&lt;=0),0,H103/F103)</f>
        <v/>
      </c>
      <c r="J103" s="78" t="n"/>
      <c r="K103" s="79">
        <f>IF(OR(C103="",E103&lt;=0),0,E103*J103)</f>
        <v/>
      </c>
      <c r="L103" s="68">
        <f>IF(OR(C103="",E103&lt;=0),"",IF(F103&lt;=0,"Sin precio",IF(H103&lt;0,"PÉRDIDA",IF(I103&lt;MargenMin,"Margen bajo",IF(I103&lt;MargenObjReal,"Aceptable","Rentable")))))</f>
        <v/>
      </c>
      <c r="M103" s="77" t="n"/>
      <c r="N103" s="81">
        <f>IF(ISNUMBER(W103),RANK(W103,$W$7:$W$206),"")</f>
        <v/>
      </c>
      <c r="W103" s="82">
        <f>IF(AND(C103&lt;&gt;"",E103&gt;0,F103&gt;0),H103+ROW()/1000000000,"")</f>
        <v/>
      </c>
      <c r="X103" s="82">
        <f>IF(AND(C103&lt;&gt;"",E103&gt;0,F103&gt;0,OR(CatSel="Todas",D103=CatSel)),H103+ROW()/1000000000,"")</f>
        <v/>
      </c>
    </row>
    <row r="104">
      <c r="B104" s="77" t="n"/>
      <c r="C104" s="77" t="n"/>
      <c r="D104" s="77" t="n"/>
      <c r="E104" s="78" t="n"/>
      <c r="F104" s="78" t="n"/>
      <c r="G104" s="79">
        <f>IF(OR(C104="",E104&lt;=0,DivMargen&lt;=0),0,IF(Redondeo&gt;0,CEILING(E104/DivMargen,Redondeo),E104/DivMargen))</f>
        <v/>
      </c>
      <c r="H104" s="79">
        <f>IF(OR(C104="",E104&lt;=0,F104&lt;=0),0,F104*DivBase-E104)</f>
        <v/>
      </c>
      <c r="I104" s="80">
        <f>IF(OR(C104="",E104&lt;=0,F104&lt;=0),0,H104/F104)</f>
        <v/>
      </c>
      <c r="J104" s="78" t="n"/>
      <c r="K104" s="79">
        <f>IF(OR(C104="",E104&lt;=0),0,E104*J104)</f>
        <v/>
      </c>
      <c r="L104" s="68">
        <f>IF(OR(C104="",E104&lt;=0),"",IF(F104&lt;=0,"Sin precio",IF(H104&lt;0,"PÉRDIDA",IF(I104&lt;MargenMin,"Margen bajo",IF(I104&lt;MargenObjReal,"Aceptable","Rentable")))))</f>
        <v/>
      </c>
      <c r="M104" s="77" t="n"/>
      <c r="N104" s="81">
        <f>IF(ISNUMBER(W104),RANK(W104,$W$7:$W$206),"")</f>
        <v/>
      </c>
      <c r="W104" s="82">
        <f>IF(AND(C104&lt;&gt;"",E104&gt;0,F104&gt;0),H104+ROW()/1000000000,"")</f>
        <v/>
      </c>
      <c r="X104" s="82">
        <f>IF(AND(C104&lt;&gt;"",E104&gt;0,F104&gt;0,OR(CatSel="Todas",D104=CatSel)),H104+ROW()/1000000000,"")</f>
        <v/>
      </c>
    </row>
    <row r="105">
      <c r="B105" s="77" t="n"/>
      <c r="C105" s="77" t="n"/>
      <c r="D105" s="77" t="n"/>
      <c r="E105" s="78" t="n"/>
      <c r="F105" s="78" t="n"/>
      <c r="G105" s="79">
        <f>IF(OR(C105="",E105&lt;=0,DivMargen&lt;=0),0,IF(Redondeo&gt;0,CEILING(E105/DivMargen,Redondeo),E105/DivMargen))</f>
        <v/>
      </c>
      <c r="H105" s="79">
        <f>IF(OR(C105="",E105&lt;=0,F105&lt;=0),0,F105*DivBase-E105)</f>
        <v/>
      </c>
      <c r="I105" s="80">
        <f>IF(OR(C105="",E105&lt;=0,F105&lt;=0),0,H105/F105)</f>
        <v/>
      </c>
      <c r="J105" s="78" t="n"/>
      <c r="K105" s="79">
        <f>IF(OR(C105="",E105&lt;=0),0,E105*J105)</f>
        <v/>
      </c>
      <c r="L105" s="68">
        <f>IF(OR(C105="",E105&lt;=0),"",IF(F105&lt;=0,"Sin precio",IF(H105&lt;0,"PÉRDIDA",IF(I105&lt;MargenMin,"Margen bajo",IF(I105&lt;MargenObjReal,"Aceptable","Rentable")))))</f>
        <v/>
      </c>
      <c r="M105" s="77" t="n"/>
      <c r="N105" s="81">
        <f>IF(ISNUMBER(W105),RANK(W105,$W$7:$W$206),"")</f>
        <v/>
      </c>
      <c r="W105" s="82">
        <f>IF(AND(C105&lt;&gt;"",E105&gt;0,F105&gt;0),H105+ROW()/1000000000,"")</f>
        <v/>
      </c>
      <c r="X105" s="82">
        <f>IF(AND(C105&lt;&gt;"",E105&gt;0,F105&gt;0,OR(CatSel="Todas",D105=CatSel)),H105+ROW()/1000000000,"")</f>
        <v/>
      </c>
    </row>
    <row r="106">
      <c r="B106" s="77" t="n"/>
      <c r="C106" s="77" t="n"/>
      <c r="D106" s="77" t="n"/>
      <c r="E106" s="78" t="n"/>
      <c r="F106" s="78" t="n"/>
      <c r="G106" s="79">
        <f>IF(OR(C106="",E106&lt;=0,DivMargen&lt;=0),0,IF(Redondeo&gt;0,CEILING(E106/DivMargen,Redondeo),E106/DivMargen))</f>
        <v/>
      </c>
      <c r="H106" s="79">
        <f>IF(OR(C106="",E106&lt;=0,F106&lt;=0),0,F106*DivBase-E106)</f>
        <v/>
      </c>
      <c r="I106" s="80">
        <f>IF(OR(C106="",E106&lt;=0,F106&lt;=0),0,H106/F106)</f>
        <v/>
      </c>
      <c r="J106" s="78" t="n"/>
      <c r="K106" s="79">
        <f>IF(OR(C106="",E106&lt;=0),0,E106*J106)</f>
        <v/>
      </c>
      <c r="L106" s="68">
        <f>IF(OR(C106="",E106&lt;=0),"",IF(F106&lt;=0,"Sin precio",IF(H106&lt;0,"PÉRDIDA",IF(I106&lt;MargenMin,"Margen bajo",IF(I106&lt;MargenObjReal,"Aceptable","Rentable")))))</f>
        <v/>
      </c>
      <c r="M106" s="77" t="n"/>
      <c r="N106" s="81">
        <f>IF(ISNUMBER(W106),RANK(W106,$W$7:$W$206),"")</f>
        <v/>
      </c>
      <c r="W106" s="82">
        <f>IF(AND(C106&lt;&gt;"",E106&gt;0,F106&gt;0),H106+ROW()/1000000000,"")</f>
        <v/>
      </c>
      <c r="X106" s="82">
        <f>IF(AND(C106&lt;&gt;"",E106&gt;0,F106&gt;0,OR(CatSel="Todas",D106=CatSel)),H106+ROW()/1000000000,"")</f>
        <v/>
      </c>
    </row>
    <row r="107">
      <c r="B107" s="77" t="n"/>
      <c r="C107" s="77" t="n"/>
      <c r="D107" s="77" t="n"/>
      <c r="E107" s="78" t="n"/>
      <c r="F107" s="78" t="n"/>
      <c r="G107" s="79">
        <f>IF(OR(C107="",E107&lt;=0,DivMargen&lt;=0),0,IF(Redondeo&gt;0,CEILING(E107/DivMargen,Redondeo),E107/DivMargen))</f>
        <v/>
      </c>
      <c r="H107" s="79">
        <f>IF(OR(C107="",E107&lt;=0,F107&lt;=0),0,F107*DivBase-E107)</f>
        <v/>
      </c>
      <c r="I107" s="80">
        <f>IF(OR(C107="",E107&lt;=0,F107&lt;=0),0,H107/F107)</f>
        <v/>
      </c>
      <c r="J107" s="78" t="n"/>
      <c r="K107" s="79">
        <f>IF(OR(C107="",E107&lt;=0),0,E107*J107)</f>
        <v/>
      </c>
      <c r="L107" s="68">
        <f>IF(OR(C107="",E107&lt;=0),"",IF(F107&lt;=0,"Sin precio",IF(H107&lt;0,"PÉRDIDA",IF(I107&lt;MargenMin,"Margen bajo",IF(I107&lt;MargenObjReal,"Aceptable","Rentable")))))</f>
        <v/>
      </c>
      <c r="M107" s="77" t="n"/>
      <c r="N107" s="81">
        <f>IF(ISNUMBER(W107),RANK(W107,$W$7:$W$206),"")</f>
        <v/>
      </c>
      <c r="W107" s="82">
        <f>IF(AND(C107&lt;&gt;"",E107&gt;0,F107&gt;0),H107+ROW()/1000000000,"")</f>
        <v/>
      </c>
      <c r="X107" s="82">
        <f>IF(AND(C107&lt;&gt;"",E107&gt;0,F107&gt;0,OR(CatSel="Todas",D107=CatSel)),H107+ROW()/1000000000,"")</f>
        <v/>
      </c>
    </row>
    <row r="108">
      <c r="B108" s="77" t="n"/>
      <c r="C108" s="77" t="n"/>
      <c r="D108" s="77" t="n"/>
      <c r="E108" s="78" t="n"/>
      <c r="F108" s="78" t="n"/>
      <c r="G108" s="79">
        <f>IF(OR(C108="",E108&lt;=0,DivMargen&lt;=0),0,IF(Redondeo&gt;0,CEILING(E108/DivMargen,Redondeo),E108/DivMargen))</f>
        <v/>
      </c>
      <c r="H108" s="79">
        <f>IF(OR(C108="",E108&lt;=0,F108&lt;=0),0,F108*DivBase-E108)</f>
        <v/>
      </c>
      <c r="I108" s="80">
        <f>IF(OR(C108="",E108&lt;=0,F108&lt;=0),0,H108/F108)</f>
        <v/>
      </c>
      <c r="J108" s="78" t="n"/>
      <c r="K108" s="79">
        <f>IF(OR(C108="",E108&lt;=0),0,E108*J108)</f>
        <v/>
      </c>
      <c r="L108" s="68">
        <f>IF(OR(C108="",E108&lt;=0),"",IF(F108&lt;=0,"Sin precio",IF(H108&lt;0,"PÉRDIDA",IF(I108&lt;MargenMin,"Margen bajo",IF(I108&lt;MargenObjReal,"Aceptable","Rentable")))))</f>
        <v/>
      </c>
      <c r="M108" s="77" t="n"/>
      <c r="N108" s="81">
        <f>IF(ISNUMBER(W108),RANK(W108,$W$7:$W$206),"")</f>
        <v/>
      </c>
      <c r="W108" s="82">
        <f>IF(AND(C108&lt;&gt;"",E108&gt;0,F108&gt;0),H108+ROW()/1000000000,"")</f>
        <v/>
      </c>
      <c r="X108" s="82">
        <f>IF(AND(C108&lt;&gt;"",E108&gt;0,F108&gt;0,OR(CatSel="Todas",D108=CatSel)),H108+ROW()/1000000000,"")</f>
        <v/>
      </c>
    </row>
    <row r="109">
      <c r="B109" s="77" t="n"/>
      <c r="C109" s="77" t="n"/>
      <c r="D109" s="77" t="n"/>
      <c r="E109" s="78" t="n"/>
      <c r="F109" s="78" t="n"/>
      <c r="G109" s="79">
        <f>IF(OR(C109="",E109&lt;=0,DivMargen&lt;=0),0,IF(Redondeo&gt;0,CEILING(E109/DivMargen,Redondeo),E109/DivMargen))</f>
        <v/>
      </c>
      <c r="H109" s="79">
        <f>IF(OR(C109="",E109&lt;=0,F109&lt;=0),0,F109*DivBase-E109)</f>
        <v/>
      </c>
      <c r="I109" s="80">
        <f>IF(OR(C109="",E109&lt;=0,F109&lt;=0),0,H109/F109)</f>
        <v/>
      </c>
      <c r="J109" s="78" t="n"/>
      <c r="K109" s="79">
        <f>IF(OR(C109="",E109&lt;=0),0,E109*J109)</f>
        <v/>
      </c>
      <c r="L109" s="68">
        <f>IF(OR(C109="",E109&lt;=0),"",IF(F109&lt;=0,"Sin precio",IF(H109&lt;0,"PÉRDIDA",IF(I109&lt;MargenMin,"Margen bajo",IF(I109&lt;MargenObjReal,"Aceptable","Rentable")))))</f>
        <v/>
      </c>
      <c r="M109" s="77" t="n"/>
      <c r="N109" s="81">
        <f>IF(ISNUMBER(W109),RANK(W109,$W$7:$W$206),"")</f>
        <v/>
      </c>
      <c r="W109" s="82">
        <f>IF(AND(C109&lt;&gt;"",E109&gt;0,F109&gt;0),H109+ROW()/1000000000,"")</f>
        <v/>
      </c>
      <c r="X109" s="82">
        <f>IF(AND(C109&lt;&gt;"",E109&gt;0,F109&gt;0,OR(CatSel="Todas",D109=CatSel)),H109+ROW()/1000000000,"")</f>
        <v/>
      </c>
    </row>
    <row r="110">
      <c r="B110" s="77" t="n"/>
      <c r="C110" s="77" t="n"/>
      <c r="D110" s="77" t="n"/>
      <c r="E110" s="78" t="n"/>
      <c r="F110" s="78" t="n"/>
      <c r="G110" s="79">
        <f>IF(OR(C110="",E110&lt;=0,DivMargen&lt;=0),0,IF(Redondeo&gt;0,CEILING(E110/DivMargen,Redondeo),E110/DivMargen))</f>
        <v/>
      </c>
      <c r="H110" s="79">
        <f>IF(OR(C110="",E110&lt;=0,F110&lt;=0),0,F110*DivBase-E110)</f>
        <v/>
      </c>
      <c r="I110" s="80">
        <f>IF(OR(C110="",E110&lt;=0,F110&lt;=0),0,H110/F110)</f>
        <v/>
      </c>
      <c r="J110" s="78" t="n"/>
      <c r="K110" s="79">
        <f>IF(OR(C110="",E110&lt;=0),0,E110*J110)</f>
        <v/>
      </c>
      <c r="L110" s="68">
        <f>IF(OR(C110="",E110&lt;=0),"",IF(F110&lt;=0,"Sin precio",IF(H110&lt;0,"PÉRDIDA",IF(I110&lt;MargenMin,"Margen bajo",IF(I110&lt;MargenObjReal,"Aceptable","Rentable")))))</f>
        <v/>
      </c>
      <c r="M110" s="77" t="n"/>
      <c r="N110" s="81">
        <f>IF(ISNUMBER(W110),RANK(W110,$W$7:$W$206),"")</f>
        <v/>
      </c>
      <c r="W110" s="82">
        <f>IF(AND(C110&lt;&gt;"",E110&gt;0,F110&gt;0),H110+ROW()/1000000000,"")</f>
        <v/>
      </c>
      <c r="X110" s="82">
        <f>IF(AND(C110&lt;&gt;"",E110&gt;0,F110&gt;0,OR(CatSel="Todas",D110=CatSel)),H110+ROW()/1000000000,"")</f>
        <v/>
      </c>
    </row>
    <row r="111">
      <c r="B111" s="77" t="n"/>
      <c r="C111" s="77" t="n"/>
      <c r="D111" s="77" t="n"/>
      <c r="E111" s="78" t="n"/>
      <c r="F111" s="78" t="n"/>
      <c r="G111" s="79">
        <f>IF(OR(C111="",E111&lt;=0,DivMargen&lt;=0),0,IF(Redondeo&gt;0,CEILING(E111/DivMargen,Redondeo),E111/DivMargen))</f>
        <v/>
      </c>
      <c r="H111" s="79">
        <f>IF(OR(C111="",E111&lt;=0,F111&lt;=0),0,F111*DivBase-E111)</f>
        <v/>
      </c>
      <c r="I111" s="80">
        <f>IF(OR(C111="",E111&lt;=0,F111&lt;=0),0,H111/F111)</f>
        <v/>
      </c>
      <c r="J111" s="78" t="n"/>
      <c r="K111" s="79">
        <f>IF(OR(C111="",E111&lt;=0),0,E111*J111)</f>
        <v/>
      </c>
      <c r="L111" s="68">
        <f>IF(OR(C111="",E111&lt;=0),"",IF(F111&lt;=0,"Sin precio",IF(H111&lt;0,"PÉRDIDA",IF(I111&lt;MargenMin,"Margen bajo",IF(I111&lt;MargenObjReal,"Aceptable","Rentable")))))</f>
        <v/>
      </c>
      <c r="M111" s="77" t="n"/>
      <c r="N111" s="81">
        <f>IF(ISNUMBER(W111),RANK(W111,$W$7:$W$206),"")</f>
        <v/>
      </c>
      <c r="W111" s="82">
        <f>IF(AND(C111&lt;&gt;"",E111&gt;0,F111&gt;0),H111+ROW()/1000000000,"")</f>
        <v/>
      </c>
      <c r="X111" s="82">
        <f>IF(AND(C111&lt;&gt;"",E111&gt;0,F111&gt;0,OR(CatSel="Todas",D111=CatSel)),H111+ROW()/1000000000,"")</f>
        <v/>
      </c>
    </row>
    <row r="112">
      <c r="B112" s="77" t="n"/>
      <c r="C112" s="77" t="n"/>
      <c r="D112" s="77" t="n"/>
      <c r="E112" s="78" t="n"/>
      <c r="F112" s="78" t="n"/>
      <c r="G112" s="79">
        <f>IF(OR(C112="",E112&lt;=0,DivMargen&lt;=0),0,IF(Redondeo&gt;0,CEILING(E112/DivMargen,Redondeo),E112/DivMargen))</f>
        <v/>
      </c>
      <c r="H112" s="79">
        <f>IF(OR(C112="",E112&lt;=0,F112&lt;=0),0,F112*DivBase-E112)</f>
        <v/>
      </c>
      <c r="I112" s="80">
        <f>IF(OR(C112="",E112&lt;=0,F112&lt;=0),0,H112/F112)</f>
        <v/>
      </c>
      <c r="J112" s="78" t="n"/>
      <c r="K112" s="79">
        <f>IF(OR(C112="",E112&lt;=0),0,E112*J112)</f>
        <v/>
      </c>
      <c r="L112" s="68">
        <f>IF(OR(C112="",E112&lt;=0),"",IF(F112&lt;=0,"Sin precio",IF(H112&lt;0,"PÉRDIDA",IF(I112&lt;MargenMin,"Margen bajo",IF(I112&lt;MargenObjReal,"Aceptable","Rentable")))))</f>
        <v/>
      </c>
      <c r="M112" s="77" t="n"/>
      <c r="N112" s="81">
        <f>IF(ISNUMBER(W112),RANK(W112,$W$7:$W$206),"")</f>
        <v/>
      </c>
      <c r="W112" s="82">
        <f>IF(AND(C112&lt;&gt;"",E112&gt;0,F112&gt;0),H112+ROW()/1000000000,"")</f>
        <v/>
      </c>
      <c r="X112" s="82">
        <f>IF(AND(C112&lt;&gt;"",E112&gt;0,F112&gt;0,OR(CatSel="Todas",D112=CatSel)),H112+ROW()/1000000000,"")</f>
        <v/>
      </c>
    </row>
    <row r="113">
      <c r="B113" s="77" t="n"/>
      <c r="C113" s="77" t="n"/>
      <c r="D113" s="77" t="n"/>
      <c r="E113" s="78" t="n"/>
      <c r="F113" s="78" t="n"/>
      <c r="G113" s="79">
        <f>IF(OR(C113="",E113&lt;=0,DivMargen&lt;=0),0,IF(Redondeo&gt;0,CEILING(E113/DivMargen,Redondeo),E113/DivMargen))</f>
        <v/>
      </c>
      <c r="H113" s="79">
        <f>IF(OR(C113="",E113&lt;=0,F113&lt;=0),0,F113*DivBase-E113)</f>
        <v/>
      </c>
      <c r="I113" s="80">
        <f>IF(OR(C113="",E113&lt;=0,F113&lt;=0),0,H113/F113)</f>
        <v/>
      </c>
      <c r="J113" s="78" t="n"/>
      <c r="K113" s="79">
        <f>IF(OR(C113="",E113&lt;=0),0,E113*J113)</f>
        <v/>
      </c>
      <c r="L113" s="68">
        <f>IF(OR(C113="",E113&lt;=0),"",IF(F113&lt;=0,"Sin precio",IF(H113&lt;0,"PÉRDIDA",IF(I113&lt;MargenMin,"Margen bajo",IF(I113&lt;MargenObjReal,"Aceptable","Rentable")))))</f>
        <v/>
      </c>
      <c r="M113" s="77" t="n"/>
      <c r="N113" s="81">
        <f>IF(ISNUMBER(W113),RANK(W113,$W$7:$W$206),"")</f>
        <v/>
      </c>
      <c r="W113" s="82">
        <f>IF(AND(C113&lt;&gt;"",E113&gt;0,F113&gt;0),H113+ROW()/1000000000,"")</f>
        <v/>
      </c>
      <c r="X113" s="82">
        <f>IF(AND(C113&lt;&gt;"",E113&gt;0,F113&gt;0,OR(CatSel="Todas",D113=CatSel)),H113+ROW()/1000000000,"")</f>
        <v/>
      </c>
    </row>
    <row r="114">
      <c r="B114" s="77" t="n"/>
      <c r="C114" s="77" t="n"/>
      <c r="D114" s="77" t="n"/>
      <c r="E114" s="78" t="n"/>
      <c r="F114" s="78" t="n"/>
      <c r="G114" s="79">
        <f>IF(OR(C114="",E114&lt;=0,DivMargen&lt;=0),0,IF(Redondeo&gt;0,CEILING(E114/DivMargen,Redondeo),E114/DivMargen))</f>
        <v/>
      </c>
      <c r="H114" s="79">
        <f>IF(OR(C114="",E114&lt;=0,F114&lt;=0),0,F114*DivBase-E114)</f>
        <v/>
      </c>
      <c r="I114" s="80">
        <f>IF(OR(C114="",E114&lt;=0,F114&lt;=0),0,H114/F114)</f>
        <v/>
      </c>
      <c r="J114" s="78" t="n"/>
      <c r="K114" s="79">
        <f>IF(OR(C114="",E114&lt;=0),0,E114*J114)</f>
        <v/>
      </c>
      <c r="L114" s="68">
        <f>IF(OR(C114="",E114&lt;=0),"",IF(F114&lt;=0,"Sin precio",IF(H114&lt;0,"PÉRDIDA",IF(I114&lt;MargenMin,"Margen bajo",IF(I114&lt;MargenObjReal,"Aceptable","Rentable")))))</f>
        <v/>
      </c>
      <c r="M114" s="77" t="n"/>
      <c r="N114" s="81">
        <f>IF(ISNUMBER(W114),RANK(W114,$W$7:$W$206),"")</f>
        <v/>
      </c>
      <c r="W114" s="82">
        <f>IF(AND(C114&lt;&gt;"",E114&gt;0,F114&gt;0),H114+ROW()/1000000000,"")</f>
        <v/>
      </c>
      <c r="X114" s="82">
        <f>IF(AND(C114&lt;&gt;"",E114&gt;0,F114&gt;0,OR(CatSel="Todas",D114=CatSel)),H114+ROW()/1000000000,"")</f>
        <v/>
      </c>
    </row>
    <row r="115">
      <c r="B115" s="77" t="n"/>
      <c r="C115" s="77" t="n"/>
      <c r="D115" s="77" t="n"/>
      <c r="E115" s="78" t="n"/>
      <c r="F115" s="78" t="n"/>
      <c r="G115" s="79">
        <f>IF(OR(C115="",E115&lt;=0,DivMargen&lt;=0),0,IF(Redondeo&gt;0,CEILING(E115/DivMargen,Redondeo),E115/DivMargen))</f>
        <v/>
      </c>
      <c r="H115" s="79">
        <f>IF(OR(C115="",E115&lt;=0,F115&lt;=0),0,F115*DivBase-E115)</f>
        <v/>
      </c>
      <c r="I115" s="80">
        <f>IF(OR(C115="",E115&lt;=0,F115&lt;=0),0,H115/F115)</f>
        <v/>
      </c>
      <c r="J115" s="78" t="n"/>
      <c r="K115" s="79">
        <f>IF(OR(C115="",E115&lt;=0),0,E115*J115)</f>
        <v/>
      </c>
      <c r="L115" s="68">
        <f>IF(OR(C115="",E115&lt;=0),"",IF(F115&lt;=0,"Sin precio",IF(H115&lt;0,"PÉRDIDA",IF(I115&lt;MargenMin,"Margen bajo",IF(I115&lt;MargenObjReal,"Aceptable","Rentable")))))</f>
        <v/>
      </c>
      <c r="M115" s="77" t="n"/>
      <c r="N115" s="81">
        <f>IF(ISNUMBER(W115),RANK(W115,$W$7:$W$206),"")</f>
        <v/>
      </c>
      <c r="W115" s="82">
        <f>IF(AND(C115&lt;&gt;"",E115&gt;0,F115&gt;0),H115+ROW()/1000000000,"")</f>
        <v/>
      </c>
      <c r="X115" s="82">
        <f>IF(AND(C115&lt;&gt;"",E115&gt;0,F115&gt;0,OR(CatSel="Todas",D115=CatSel)),H115+ROW()/1000000000,"")</f>
        <v/>
      </c>
    </row>
    <row r="116">
      <c r="B116" s="77" t="n"/>
      <c r="C116" s="77" t="n"/>
      <c r="D116" s="77" t="n"/>
      <c r="E116" s="78" t="n"/>
      <c r="F116" s="78" t="n"/>
      <c r="G116" s="79">
        <f>IF(OR(C116="",E116&lt;=0,DivMargen&lt;=0),0,IF(Redondeo&gt;0,CEILING(E116/DivMargen,Redondeo),E116/DivMargen))</f>
        <v/>
      </c>
      <c r="H116" s="79">
        <f>IF(OR(C116="",E116&lt;=0,F116&lt;=0),0,F116*DivBase-E116)</f>
        <v/>
      </c>
      <c r="I116" s="80">
        <f>IF(OR(C116="",E116&lt;=0,F116&lt;=0),0,H116/F116)</f>
        <v/>
      </c>
      <c r="J116" s="78" t="n"/>
      <c r="K116" s="79">
        <f>IF(OR(C116="",E116&lt;=0),0,E116*J116)</f>
        <v/>
      </c>
      <c r="L116" s="68">
        <f>IF(OR(C116="",E116&lt;=0),"",IF(F116&lt;=0,"Sin precio",IF(H116&lt;0,"PÉRDIDA",IF(I116&lt;MargenMin,"Margen bajo",IF(I116&lt;MargenObjReal,"Aceptable","Rentable")))))</f>
        <v/>
      </c>
      <c r="M116" s="77" t="n"/>
      <c r="N116" s="81">
        <f>IF(ISNUMBER(W116),RANK(W116,$W$7:$W$206),"")</f>
        <v/>
      </c>
      <c r="W116" s="82">
        <f>IF(AND(C116&lt;&gt;"",E116&gt;0,F116&gt;0),H116+ROW()/1000000000,"")</f>
        <v/>
      </c>
      <c r="X116" s="82">
        <f>IF(AND(C116&lt;&gt;"",E116&gt;0,F116&gt;0,OR(CatSel="Todas",D116=CatSel)),H116+ROW()/1000000000,"")</f>
        <v/>
      </c>
    </row>
    <row r="117">
      <c r="B117" s="77" t="n"/>
      <c r="C117" s="77" t="n"/>
      <c r="D117" s="77" t="n"/>
      <c r="E117" s="78" t="n"/>
      <c r="F117" s="78" t="n"/>
      <c r="G117" s="79">
        <f>IF(OR(C117="",E117&lt;=0,DivMargen&lt;=0),0,IF(Redondeo&gt;0,CEILING(E117/DivMargen,Redondeo),E117/DivMargen))</f>
        <v/>
      </c>
      <c r="H117" s="79">
        <f>IF(OR(C117="",E117&lt;=0,F117&lt;=0),0,F117*DivBase-E117)</f>
        <v/>
      </c>
      <c r="I117" s="80">
        <f>IF(OR(C117="",E117&lt;=0,F117&lt;=0),0,H117/F117)</f>
        <v/>
      </c>
      <c r="J117" s="78" t="n"/>
      <c r="K117" s="79">
        <f>IF(OR(C117="",E117&lt;=0),0,E117*J117)</f>
        <v/>
      </c>
      <c r="L117" s="68">
        <f>IF(OR(C117="",E117&lt;=0),"",IF(F117&lt;=0,"Sin precio",IF(H117&lt;0,"PÉRDIDA",IF(I117&lt;MargenMin,"Margen bajo",IF(I117&lt;MargenObjReal,"Aceptable","Rentable")))))</f>
        <v/>
      </c>
      <c r="M117" s="77" t="n"/>
      <c r="N117" s="81">
        <f>IF(ISNUMBER(W117),RANK(W117,$W$7:$W$206),"")</f>
        <v/>
      </c>
      <c r="W117" s="82">
        <f>IF(AND(C117&lt;&gt;"",E117&gt;0,F117&gt;0),H117+ROW()/1000000000,"")</f>
        <v/>
      </c>
      <c r="X117" s="82">
        <f>IF(AND(C117&lt;&gt;"",E117&gt;0,F117&gt;0,OR(CatSel="Todas",D117=CatSel)),H117+ROW()/1000000000,"")</f>
        <v/>
      </c>
    </row>
    <row r="118">
      <c r="B118" s="77" t="n"/>
      <c r="C118" s="77" t="n"/>
      <c r="D118" s="77" t="n"/>
      <c r="E118" s="78" t="n"/>
      <c r="F118" s="78" t="n"/>
      <c r="G118" s="79">
        <f>IF(OR(C118="",E118&lt;=0,DivMargen&lt;=0),0,IF(Redondeo&gt;0,CEILING(E118/DivMargen,Redondeo),E118/DivMargen))</f>
        <v/>
      </c>
      <c r="H118" s="79">
        <f>IF(OR(C118="",E118&lt;=0,F118&lt;=0),0,F118*DivBase-E118)</f>
        <v/>
      </c>
      <c r="I118" s="80">
        <f>IF(OR(C118="",E118&lt;=0,F118&lt;=0),0,H118/F118)</f>
        <v/>
      </c>
      <c r="J118" s="78" t="n"/>
      <c r="K118" s="79">
        <f>IF(OR(C118="",E118&lt;=0),0,E118*J118)</f>
        <v/>
      </c>
      <c r="L118" s="68">
        <f>IF(OR(C118="",E118&lt;=0),"",IF(F118&lt;=0,"Sin precio",IF(H118&lt;0,"PÉRDIDA",IF(I118&lt;MargenMin,"Margen bajo",IF(I118&lt;MargenObjReal,"Aceptable","Rentable")))))</f>
        <v/>
      </c>
      <c r="M118" s="77" t="n"/>
      <c r="N118" s="81">
        <f>IF(ISNUMBER(W118),RANK(W118,$W$7:$W$206),"")</f>
        <v/>
      </c>
      <c r="W118" s="82">
        <f>IF(AND(C118&lt;&gt;"",E118&gt;0,F118&gt;0),H118+ROW()/1000000000,"")</f>
        <v/>
      </c>
      <c r="X118" s="82">
        <f>IF(AND(C118&lt;&gt;"",E118&gt;0,F118&gt;0,OR(CatSel="Todas",D118=CatSel)),H118+ROW()/1000000000,"")</f>
        <v/>
      </c>
    </row>
    <row r="119">
      <c r="B119" s="77" t="n"/>
      <c r="C119" s="77" t="n"/>
      <c r="D119" s="77" t="n"/>
      <c r="E119" s="78" t="n"/>
      <c r="F119" s="78" t="n"/>
      <c r="G119" s="79">
        <f>IF(OR(C119="",E119&lt;=0,DivMargen&lt;=0),0,IF(Redondeo&gt;0,CEILING(E119/DivMargen,Redondeo),E119/DivMargen))</f>
        <v/>
      </c>
      <c r="H119" s="79">
        <f>IF(OR(C119="",E119&lt;=0,F119&lt;=0),0,F119*DivBase-E119)</f>
        <v/>
      </c>
      <c r="I119" s="80">
        <f>IF(OR(C119="",E119&lt;=0,F119&lt;=0),0,H119/F119)</f>
        <v/>
      </c>
      <c r="J119" s="78" t="n"/>
      <c r="K119" s="79">
        <f>IF(OR(C119="",E119&lt;=0),0,E119*J119)</f>
        <v/>
      </c>
      <c r="L119" s="68">
        <f>IF(OR(C119="",E119&lt;=0),"",IF(F119&lt;=0,"Sin precio",IF(H119&lt;0,"PÉRDIDA",IF(I119&lt;MargenMin,"Margen bajo",IF(I119&lt;MargenObjReal,"Aceptable","Rentable")))))</f>
        <v/>
      </c>
      <c r="M119" s="77" t="n"/>
      <c r="N119" s="81">
        <f>IF(ISNUMBER(W119),RANK(W119,$W$7:$W$206),"")</f>
        <v/>
      </c>
      <c r="W119" s="82">
        <f>IF(AND(C119&lt;&gt;"",E119&gt;0,F119&gt;0),H119+ROW()/1000000000,"")</f>
        <v/>
      </c>
      <c r="X119" s="82">
        <f>IF(AND(C119&lt;&gt;"",E119&gt;0,F119&gt;0,OR(CatSel="Todas",D119=CatSel)),H119+ROW()/1000000000,"")</f>
        <v/>
      </c>
    </row>
    <row r="120">
      <c r="B120" s="77" t="n"/>
      <c r="C120" s="77" t="n"/>
      <c r="D120" s="77" t="n"/>
      <c r="E120" s="78" t="n"/>
      <c r="F120" s="78" t="n"/>
      <c r="G120" s="79">
        <f>IF(OR(C120="",E120&lt;=0,DivMargen&lt;=0),0,IF(Redondeo&gt;0,CEILING(E120/DivMargen,Redondeo),E120/DivMargen))</f>
        <v/>
      </c>
      <c r="H120" s="79">
        <f>IF(OR(C120="",E120&lt;=0,F120&lt;=0),0,F120*DivBase-E120)</f>
        <v/>
      </c>
      <c r="I120" s="80">
        <f>IF(OR(C120="",E120&lt;=0,F120&lt;=0),0,H120/F120)</f>
        <v/>
      </c>
      <c r="J120" s="78" t="n"/>
      <c r="K120" s="79">
        <f>IF(OR(C120="",E120&lt;=0),0,E120*J120)</f>
        <v/>
      </c>
      <c r="L120" s="68">
        <f>IF(OR(C120="",E120&lt;=0),"",IF(F120&lt;=0,"Sin precio",IF(H120&lt;0,"PÉRDIDA",IF(I120&lt;MargenMin,"Margen bajo",IF(I120&lt;MargenObjReal,"Aceptable","Rentable")))))</f>
        <v/>
      </c>
      <c r="M120" s="77" t="n"/>
      <c r="N120" s="81">
        <f>IF(ISNUMBER(W120),RANK(W120,$W$7:$W$206),"")</f>
        <v/>
      </c>
      <c r="W120" s="82">
        <f>IF(AND(C120&lt;&gt;"",E120&gt;0,F120&gt;0),H120+ROW()/1000000000,"")</f>
        <v/>
      </c>
      <c r="X120" s="82">
        <f>IF(AND(C120&lt;&gt;"",E120&gt;0,F120&gt;0,OR(CatSel="Todas",D120=CatSel)),H120+ROW()/1000000000,"")</f>
        <v/>
      </c>
    </row>
    <row r="121">
      <c r="B121" s="77" t="n"/>
      <c r="C121" s="77" t="n"/>
      <c r="D121" s="77" t="n"/>
      <c r="E121" s="78" t="n"/>
      <c r="F121" s="78" t="n"/>
      <c r="G121" s="79">
        <f>IF(OR(C121="",E121&lt;=0,DivMargen&lt;=0),0,IF(Redondeo&gt;0,CEILING(E121/DivMargen,Redondeo),E121/DivMargen))</f>
        <v/>
      </c>
      <c r="H121" s="79">
        <f>IF(OR(C121="",E121&lt;=0,F121&lt;=0),0,F121*DivBase-E121)</f>
        <v/>
      </c>
      <c r="I121" s="80">
        <f>IF(OR(C121="",E121&lt;=0,F121&lt;=0),0,H121/F121)</f>
        <v/>
      </c>
      <c r="J121" s="78" t="n"/>
      <c r="K121" s="79">
        <f>IF(OR(C121="",E121&lt;=0),0,E121*J121)</f>
        <v/>
      </c>
      <c r="L121" s="68">
        <f>IF(OR(C121="",E121&lt;=0),"",IF(F121&lt;=0,"Sin precio",IF(H121&lt;0,"PÉRDIDA",IF(I121&lt;MargenMin,"Margen bajo",IF(I121&lt;MargenObjReal,"Aceptable","Rentable")))))</f>
        <v/>
      </c>
      <c r="M121" s="77" t="n"/>
      <c r="N121" s="81">
        <f>IF(ISNUMBER(W121),RANK(W121,$W$7:$W$206),"")</f>
        <v/>
      </c>
      <c r="W121" s="82">
        <f>IF(AND(C121&lt;&gt;"",E121&gt;0,F121&gt;0),H121+ROW()/1000000000,"")</f>
        <v/>
      </c>
      <c r="X121" s="82">
        <f>IF(AND(C121&lt;&gt;"",E121&gt;0,F121&gt;0,OR(CatSel="Todas",D121=CatSel)),H121+ROW()/1000000000,"")</f>
        <v/>
      </c>
    </row>
    <row r="122">
      <c r="B122" s="77" t="n"/>
      <c r="C122" s="77" t="n"/>
      <c r="D122" s="77" t="n"/>
      <c r="E122" s="78" t="n"/>
      <c r="F122" s="78" t="n"/>
      <c r="G122" s="79">
        <f>IF(OR(C122="",E122&lt;=0,DivMargen&lt;=0),0,IF(Redondeo&gt;0,CEILING(E122/DivMargen,Redondeo),E122/DivMargen))</f>
        <v/>
      </c>
      <c r="H122" s="79">
        <f>IF(OR(C122="",E122&lt;=0,F122&lt;=0),0,F122*DivBase-E122)</f>
        <v/>
      </c>
      <c r="I122" s="80">
        <f>IF(OR(C122="",E122&lt;=0,F122&lt;=0),0,H122/F122)</f>
        <v/>
      </c>
      <c r="J122" s="78" t="n"/>
      <c r="K122" s="79">
        <f>IF(OR(C122="",E122&lt;=0),0,E122*J122)</f>
        <v/>
      </c>
      <c r="L122" s="68">
        <f>IF(OR(C122="",E122&lt;=0),"",IF(F122&lt;=0,"Sin precio",IF(H122&lt;0,"PÉRDIDA",IF(I122&lt;MargenMin,"Margen bajo",IF(I122&lt;MargenObjReal,"Aceptable","Rentable")))))</f>
        <v/>
      </c>
      <c r="M122" s="77" t="n"/>
      <c r="N122" s="81">
        <f>IF(ISNUMBER(W122),RANK(W122,$W$7:$W$206),"")</f>
        <v/>
      </c>
      <c r="W122" s="82">
        <f>IF(AND(C122&lt;&gt;"",E122&gt;0,F122&gt;0),H122+ROW()/1000000000,"")</f>
        <v/>
      </c>
      <c r="X122" s="82">
        <f>IF(AND(C122&lt;&gt;"",E122&gt;0,F122&gt;0,OR(CatSel="Todas",D122=CatSel)),H122+ROW()/1000000000,"")</f>
        <v/>
      </c>
    </row>
    <row r="123">
      <c r="B123" s="77" t="n"/>
      <c r="C123" s="77" t="n"/>
      <c r="D123" s="77" t="n"/>
      <c r="E123" s="78" t="n"/>
      <c r="F123" s="78" t="n"/>
      <c r="G123" s="79">
        <f>IF(OR(C123="",E123&lt;=0,DivMargen&lt;=0),0,IF(Redondeo&gt;0,CEILING(E123/DivMargen,Redondeo),E123/DivMargen))</f>
        <v/>
      </c>
      <c r="H123" s="79">
        <f>IF(OR(C123="",E123&lt;=0,F123&lt;=0),0,F123*DivBase-E123)</f>
        <v/>
      </c>
      <c r="I123" s="80">
        <f>IF(OR(C123="",E123&lt;=0,F123&lt;=0),0,H123/F123)</f>
        <v/>
      </c>
      <c r="J123" s="78" t="n"/>
      <c r="K123" s="79">
        <f>IF(OR(C123="",E123&lt;=0),0,E123*J123)</f>
        <v/>
      </c>
      <c r="L123" s="68">
        <f>IF(OR(C123="",E123&lt;=0),"",IF(F123&lt;=0,"Sin precio",IF(H123&lt;0,"PÉRDIDA",IF(I123&lt;MargenMin,"Margen bajo",IF(I123&lt;MargenObjReal,"Aceptable","Rentable")))))</f>
        <v/>
      </c>
      <c r="M123" s="77" t="n"/>
      <c r="N123" s="81">
        <f>IF(ISNUMBER(W123),RANK(W123,$W$7:$W$206),"")</f>
        <v/>
      </c>
      <c r="W123" s="82">
        <f>IF(AND(C123&lt;&gt;"",E123&gt;0,F123&gt;0),H123+ROW()/1000000000,"")</f>
        <v/>
      </c>
      <c r="X123" s="82">
        <f>IF(AND(C123&lt;&gt;"",E123&gt;0,F123&gt;0,OR(CatSel="Todas",D123=CatSel)),H123+ROW()/1000000000,"")</f>
        <v/>
      </c>
    </row>
    <row r="124">
      <c r="B124" s="77" t="n"/>
      <c r="C124" s="77" t="n"/>
      <c r="D124" s="77" t="n"/>
      <c r="E124" s="78" t="n"/>
      <c r="F124" s="78" t="n"/>
      <c r="G124" s="79">
        <f>IF(OR(C124="",E124&lt;=0,DivMargen&lt;=0),0,IF(Redondeo&gt;0,CEILING(E124/DivMargen,Redondeo),E124/DivMargen))</f>
        <v/>
      </c>
      <c r="H124" s="79">
        <f>IF(OR(C124="",E124&lt;=0,F124&lt;=0),0,F124*DivBase-E124)</f>
        <v/>
      </c>
      <c r="I124" s="80">
        <f>IF(OR(C124="",E124&lt;=0,F124&lt;=0),0,H124/F124)</f>
        <v/>
      </c>
      <c r="J124" s="78" t="n"/>
      <c r="K124" s="79">
        <f>IF(OR(C124="",E124&lt;=0),0,E124*J124)</f>
        <v/>
      </c>
      <c r="L124" s="68">
        <f>IF(OR(C124="",E124&lt;=0),"",IF(F124&lt;=0,"Sin precio",IF(H124&lt;0,"PÉRDIDA",IF(I124&lt;MargenMin,"Margen bajo",IF(I124&lt;MargenObjReal,"Aceptable","Rentable")))))</f>
        <v/>
      </c>
      <c r="M124" s="77" t="n"/>
      <c r="N124" s="81">
        <f>IF(ISNUMBER(W124),RANK(W124,$W$7:$W$206),"")</f>
        <v/>
      </c>
      <c r="W124" s="82">
        <f>IF(AND(C124&lt;&gt;"",E124&gt;0,F124&gt;0),H124+ROW()/1000000000,"")</f>
        <v/>
      </c>
      <c r="X124" s="82">
        <f>IF(AND(C124&lt;&gt;"",E124&gt;0,F124&gt;0,OR(CatSel="Todas",D124=CatSel)),H124+ROW()/1000000000,"")</f>
        <v/>
      </c>
    </row>
    <row r="125">
      <c r="B125" s="77" t="n"/>
      <c r="C125" s="77" t="n"/>
      <c r="D125" s="77" t="n"/>
      <c r="E125" s="78" t="n"/>
      <c r="F125" s="78" t="n"/>
      <c r="G125" s="79">
        <f>IF(OR(C125="",E125&lt;=0,DivMargen&lt;=0),0,IF(Redondeo&gt;0,CEILING(E125/DivMargen,Redondeo),E125/DivMargen))</f>
        <v/>
      </c>
      <c r="H125" s="79">
        <f>IF(OR(C125="",E125&lt;=0,F125&lt;=0),0,F125*DivBase-E125)</f>
        <v/>
      </c>
      <c r="I125" s="80">
        <f>IF(OR(C125="",E125&lt;=0,F125&lt;=0),0,H125/F125)</f>
        <v/>
      </c>
      <c r="J125" s="78" t="n"/>
      <c r="K125" s="79">
        <f>IF(OR(C125="",E125&lt;=0),0,E125*J125)</f>
        <v/>
      </c>
      <c r="L125" s="68">
        <f>IF(OR(C125="",E125&lt;=0),"",IF(F125&lt;=0,"Sin precio",IF(H125&lt;0,"PÉRDIDA",IF(I125&lt;MargenMin,"Margen bajo",IF(I125&lt;MargenObjReal,"Aceptable","Rentable")))))</f>
        <v/>
      </c>
      <c r="M125" s="77" t="n"/>
      <c r="N125" s="81">
        <f>IF(ISNUMBER(W125),RANK(W125,$W$7:$W$206),"")</f>
        <v/>
      </c>
      <c r="W125" s="82">
        <f>IF(AND(C125&lt;&gt;"",E125&gt;0,F125&gt;0),H125+ROW()/1000000000,"")</f>
        <v/>
      </c>
      <c r="X125" s="82">
        <f>IF(AND(C125&lt;&gt;"",E125&gt;0,F125&gt;0,OR(CatSel="Todas",D125=CatSel)),H125+ROW()/1000000000,"")</f>
        <v/>
      </c>
    </row>
    <row r="126">
      <c r="B126" s="77" t="n"/>
      <c r="C126" s="77" t="n"/>
      <c r="D126" s="77" t="n"/>
      <c r="E126" s="78" t="n"/>
      <c r="F126" s="78" t="n"/>
      <c r="G126" s="79">
        <f>IF(OR(C126="",E126&lt;=0,DivMargen&lt;=0),0,IF(Redondeo&gt;0,CEILING(E126/DivMargen,Redondeo),E126/DivMargen))</f>
        <v/>
      </c>
      <c r="H126" s="79">
        <f>IF(OR(C126="",E126&lt;=0,F126&lt;=0),0,F126*DivBase-E126)</f>
        <v/>
      </c>
      <c r="I126" s="80">
        <f>IF(OR(C126="",E126&lt;=0,F126&lt;=0),0,H126/F126)</f>
        <v/>
      </c>
      <c r="J126" s="78" t="n"/>
      <c r="K126" s="79">
        <f>IF(OR(C126="",E126&lt;=0),0,E126*J126)</f>
        <v/>
      </c>
      <c r="L126" s="68">
        <f>IF(OR(C126="",E126&lt;=0),"",IF(F126&lt;=0,"Sin precio",IF(H126&lt;0,"PÉRDIDA",IF(I126&lt;MargenMin,"Margen bajo",IF(I126&lt;MargenObjReal,"Aceptable","Rentable")))))</f>
        <v/>
      </c>
      <c r="M126" s="77" t="n"/>
      <c r="N126" s="81">
        <f>IF(ISNUMBER(W126),RANK(W126,$W$7:$W$206),"")</f>
        <v/>
      </c>
      <c r="W126" s="82">
        <f>IF(AND(C126&lt;&gt;"",E126&gt;0,F126&gt;0),H126+ROW()/1000000000,"")</f>
        <v/>
      </c>
      <c r="X126" s="82">
        <f>IF(AND(C126&lt;&gt;"",E126&gt;0,F126&gt;0,OR(CatSel="Todas",D126=CatSel)),H126+ROW()/1000000000,"")</f>
        <v/>
      </c>
    </row>
    <row r="127">
      <c r="B127" s="77" t="n"/>
      <c r="C127" s="77" t="n"/>
      <c r="D127" s="77" t="n"/>
      <c r="E127" s="78" t="n"/>
      <c r="F127" s="78" t="n"/>
      <c r="G127" s="79">
        <f>IF(OR(C127="",E127&lt;=0,DivMargen&lt;=0),0,IF(Redondeo&gt;0,CEILING(E127/DivMargen,Redondeo),E127/DivMargen))</f>
        <v/>
      </c>
      <c r="H127" s="79">
        <f>IF(OR(C127="",E127&lt;=0,F127&lt;=0),0,F127*DivBase-E127)</f>
        <v/>
      </c>
      <c r="I127" s="80">
        <f>IF(OR(C127="",E127&lt;=0,F127&lt;=0),0,H127/F127)</f>
        <v/>
      </c>
      <c r="J127" s="78" t="n"/>
      <c r="K127" s="79">
        <f>IF(OR(C127="",E127&lt;=0),0,E127*J127)</f>
        <v/>
      </c>
      <c r="L127" s="68">
        <f>IF(OR(C127="",E127&lt;=0),"",IF(F127&lt;=0,"Sin precio",IF(H127&lt;0,"PÉRDIDA",IF(I127&lt;MargenMin,"Margen bajo",IF(I127&lt;MargenObjReal,"Aceptable","Rentable")))))</f>
        <v/>
      </c>
      <c r="M127" s="77" t="n"/>
      <c r="N127" s="81">
        <f>IF(ISNUMBER(W127),RANK(W127,$W$7:$W$206),"")</f>
        <v/>
      </c>
      <c r="W127" s="82">
        <f>IF(AND(C127&lt;&gt;"",E127&gt;0,F127&gt;0),H127+ROW()/1000000000,"")</f>
        <v/>
      </c>
      <c r="X127" s="82">
        <f>IF(AND(C127&lt;&gt;"",E127&gt;0,F127&gt;0,OR(CatSel="Todas",D127=CatSel)),H127+ROW()/1000000000,"")</f>
        <v/>
      </c>
    </row>
    <row r="128">
      <c r="B128" s="77" t="n"/>
      <c r="C128" s="77" t="n"/>
      <c r="D128" s="77" t="n"/>
      <c r="E128" s="78" t="n"/>
      <c r="F128" s="78" t="n"/>
      <c r="G128" s="79">
        <f>IF(OR(C128="",E128&lt;=0,DivMargen&lt;=0),0,IF(Redondeo&gt;0,CEILING(E128/DivMargen,Redondeo),E128/DivMargen))</f>
        <v/>
      </c>
      <c r="H128" s="79">
        <f>IF(OR(C128="",E128&lt;=0,F128&lt;=0),0,F128*DivBase-E128)</f>
        <v/>
      </c>
      <c r="I128" s="80">
        <f>IF(OR(C128="",E128&lt;=0,F128&lt;=0),0,H128/F128)</f>
        <v/>
      </c>
      <c r="J128" s="78" t="n"/>
      <c r="K128" s="79">
        <f>IF(OR(C128="",E128&lt;=0),0,E128*J128)</f>
        <v/>
      </c>
      <c r="L128" s="68">
        <f>IF(OR(C128="",E128&lt;=0),"",IF(F128&lt;=0,"Sin precio",IF(H128&lt;0,"PÉRDIDA",IF(I128&lt;MargenMin,"Margen bajo",IF(I128&lt;MargenObjReal,"Aceptable","Rentable")))))</f>
        <v/>
      </c>
      <c r="M128" s="77" t="n"/>
      <c r="N128" s="81">
        <f>IF(ISNUMBER(W128),RANK(W128,$W$7:$W$206),"")</f>
        <v/>
      </c>
      <c r="W128" s="82">
        <f>IF(AND(C128&lt;&gt;"",E128&gt;0,F128&gt;0),H128+ROW()/1000000000,"")</f>
        <v/>
      </c>
      <c r="X128" s="82">
        <f>IF(AND(C128&lt;&gt;"",E128&gt;0,F128&gt;0,OR(CatSel="Todas",D128=CatSel)),H128+ROW()/1000000000,"")</f>
        <v/>
      </c>
    </row>
    <row r="129">
      <c r="B129" s="77" t="n"/>
      <c r="C129" s="77" t="n"/>
      <c r="D129" s="77" t="n"/>
      <c r="E129" s="78" t="n"/>
      <c r="F129" s="78" t="n"/>
      <c r="G129" s="79">
        <f>IF(OR(C129="",E129&lt;=0,DivMargen&lt;=0),0,IF(Redondeo&gt;0,CEILING(E129/DivMargen,Redondeo),E129/DivMargen))</f>
        <v/>
      </c>
      <c r="H129" s="79">
        <f>IF(OR(C129="",E129&lt;=0,F129&lt;=0),0,F129*DivBase-E129)</f>
        <v/>
      </c>
      <c r="I129" s="80">
        <f>IF(OR(C129="",E129&lt;=0,F129&lt;=0),0,H129/F129)</f>
        <v/>
      </c>
      <c r="J129" s="78" t="n"/>
      <c r="K129" s="79">
        <f>IF(OR(C129="",E129&lt;=0),0,E129*J129)</f>
        <v/>
      </c>
      <c r="L129" s="68">
        <f>IF(OR(C129="",E129&lt;=0),"",IF(F129&lt;=0,"Sin precio",IF(H129&lt;0,"PÉRDIDA",IF(I129&lt;MargenMin,"Margen bajo",IF(I129&lt;MargenObjReal,"Aceptable","Rentable")))))</f>
        <v/>
      </c>
      <c r="M129" s="77" t="n"/>
      <c r="N129" s="81">
        <f>IF(ISNUMBER(W129),RANK(W129,$W$7:$W$206),"")</f>
        <v/>
      </c>
      <c r="W129" s="82">
        <f>IF(AND(C129&lt;&gt;"",E129&gt;0,F129&gt;0),H129+ROW()/1000000000,"")</f>
        <v/>
      </c>
      <c r="X129" s="82">
        <f>IF(AND(C129&lt;&gt;"",E129&gt;0,F129&gt;0,OR(CatSel="Todas",D129=CatSel)),H129+ROW()/1000000000,"")</f>
        <v/>
      </c>
    </row>
    <row r="130">
      <c r="B130" s="77" t="n"/>
      <c r="C130" s="77" t="n"/>
      <c r="D130" s="77" t="n"/>
      <c r="E130" s="78" t="n"/>
      <c r="F130" s="78" t="n"/>
      <c r="G130" s="79">
        <f>IF(OR(C130="",E130&lt;=0,DivMargen&lt;=0),0,IF(Redondeo&gt;0,CEILING(E130/DivMargen,Redondeo),E130/DivMargen))</f>
        <v/>
      </c>
      <c r="H130" s="79">
        <f>IF(OR(C130="",E130&lt;=0,F130&lt;=0),0,F130*DivBase-E130)</f>
        <v/>
      </c>
      <c r="I130" s="80">
        <f>IF(OR(C130="",E130&lt;=0,F130&lt;=0),0,H130/F130)</f>
        <v/>
      </c>
      <c r="J130" s="78" t="n"/>
      <c r="K130" s="79">
        <f>IF(OR(C130="",E130&lt;=0),0,E130*J130)</f>
        <v/>
      </c>
      <c r="L130" s="68">
        <f>IF(OR(C130="",E130&lt;=0),"",IF(F130&lt;=0,"Sin precio",IF(H130&lt;0,"PÉRDIDA",IF(I130&lt;MargenMin,"Margen bajo",IF(I130&lt;MargenObjReal,"Aceptable","Rentable")))))</f>
        <v/>
      </c>
      <c r="M130" s="77" t="n"/>
      <c r="N130" s="81">
        <f>IF(ISNUMBER(W130),RANK(W130,$W$7:$W$206),"")</f>
        <v/>
      </c>
      <c r="W130" s="82">
        <f>IF(AND(C130&lt;&gt;"",E130&gt;0,F130&gt;0),H130+ROW()/1000000000,"")</f>
        <v/>
      </c>
      <c r="X130" s="82">
        <f>IF(AND(C130&lt;&gt;"",E130&gt;0,F130&gt;0,OR(CatSel="Todas",D130=CatSel)),H130+ROW()/1000000000,"")</f>
        <v/>
      </c>
    </row>
    <row r="131">
      <c r="B131" s="77" t="n"/>
      <c r="C131" s="77" t="n"/>
      <c r="D131" s="77" t="n"/>
      <c r="E131" s="78" t="n"/>
      <c r="F131" s="78" t="n"/>
      <c r="G131" s="79">
        <f>IF(OR(C131="",E131&lt;=0,DivMargen&lt;=0),0,IF(Redondeo&gt;0,CEILING(E131/DivMargen,Redondeo),E131/DivMargen))</f>
        <v/>
      </c>
      <c r="H131" s="79">
        <f>IF(OR(C131="",E131&lt;=0,F131&lt;=0),0,F131*DivBase-E131)</f>
        <v/>
      </c>
      <c r="I131" s="80">
        <f>IF(OR(C131="",E131&lt;=0,F131&lt;=0),0,H131/F131)</f>
        <v/>
      </c>
      <c r="J131" s="78" t="n"/>
      <c r="K131" s="79">
        <f>IF(OR(C131="",E131&lt;=0),0,E131*J131)</f>
        <v/>
      </c>
      <c r="L131" s="68">
        <f>IF(OR(C131="",E131&lt;=0),"",IF(F131&lt;=0,"Sin precio",IF(H131&lt;0,"PÉRDIDA",IF(I131&lt;MargenMin,"Margen bajo",IF(I131&lt;MargenObjReal,"Aceptable","Rentable")))))</f>
        <v/>
      </c>
      <c r="M131" s="77" t="n"/>
      <c r="N131" s="81">
        <f>IF(ISNUMBER(W131),RANK(W131,$W$7:$W$206),"")</f>
        <v/>
      </c>
      <c r="W131" s="82">
        <f>IF(AND(C131&lt;&gt;"",E131&gt;0,F131&gt;0),H131+ROW()/1000000000,"")</f>
        <v/>
      </c>
      <c r="X131" s="82">
        <f>IF(AND(C131&lt;&gt;"",E131&gt;0,F131&gt;0,OR(CatSel="Todas",D131=CatSel)),H131+ROW()/1000000000,"")</f>
        <v/>
      </c>
    </row>
    <row r="132">
      <c r="B132" s="77" t="n"/>
      <c r="C132" s="77" t="n"/>
      <c r="D132" s="77" t="n"/>
      <c r="E132" s="78" t="n"/>
      <c r="F132" s="78" t="n"/>
      <c r="G132" s="79">
        <f>IF(OR(C132="",E132&lt;=0,DivMargen&lt;=0),0,IF(Redondeo&gt;0,CEILING(E132/DivMargen,Redondeo),E132/DivMargen))</f>
        <v/>
      </c>
      <c r="H132" s="79">
        <f>IF(OR(C132="",E132&lt;=0,F132&lt;=0),0,F132*DivBase-E132)</f>
        <v/>
      </c>
      <c r="I132" s="80">
        <f>IF(OR(C132="",E132&lt;=0,F132&lt;=0),0,H132/F132)</f>
        <v/>
      </c>
      <c r="J132" s="78" t="n"/>
      <c r="K132" s="79">
        <f>IF(OR(C132="",E132&lt;=0),0,E132*J132)</f>
        <v/>
      </c>
      <c r="L132" s="68">
        <f>IF(OR(C132="",E132&lt;=0),"",IF(F132&lt;=0,"Sin precio",IF(H132&lt;0,"PÉRDIDA",IF(I132&lt;MargenMin,"Margen bajo",IF(I132&lt;MargenObjReal,"Aceptable","Rentable")))))</f>
        <v/>
      </c>
      <c r="M132" s="77" t="n"/>
      <c r="N132" s="81">
        <f>IF(ISNUMBER(W132),RANK(W132,$W$7:$W$206),"")</f>
        <v/>
      </c>
      <c r="W132" s="82">
        <f>IF(AND(C132&lt;&gt;"",E132&gt;0,F132&gt;0),H132+ROW()/1000000000,"")</f>
        <v/>
      </c>
      <c r="X132" s="82">
        <f>IF(AND(C132&lt;&gt;"",E132&gt;0,F132&gt;0,OR(CatSel="Todas",D132=CatSel)),H132+ROW()/1000000000,"")</f>
        <v/>
      </c>
    </row>
    <row r="133">
      <c r="B133" s="77" t="n"/>
      <c r="C133" s="77" t="n"/>
      <c r="D133" s="77" t="n"/>
      <c r="E133" s="78" t="n"/>
      <c r="F133" s="78" t="n"/>
      <c r="G133" s="79">
        <f>IF(OR(C133="",E133&lt;=0,DivMargen&lt;=0),0,IF(Redondeo&gt;0,CEILING(E133/DivMargen,Redondeo),E133/DivMargen))</f>
        <v/>
      </c>
      <c r="H133" s="79">
        <f>IF(OR(C133="",E133&lt;=0,F133&lt;=0),0,F133*DivBase-E133)</f>
        <v/>
      </c>
      <c r="I133" s="80">
        <f>IF(OR(C133="",E133&lt;=0,F133&lt;=0),0,H133/F133)</f>
        <v/>
      </c>
      <c r="J133" s="78" t="n"/>
      <c r="K133" s="79">
        <f>IF(OR(C133="",E133&lt;=0),0,E133*J133)</f>
        <v/>
      </c>
      <c r="L133" s="68">
        <f>IF(OR(C133="",E133&lt;=0),"",IF(F133&lt;=0,"Sin precio",IF(H133&lt;0,"PÉRDIDA",IF(I133&lt;MargenMin,"Margen bajo",IF(I133&lt;MargenObjReal,"Aceptable","Rentable")))))</f>
        <v/>
      </c>
      <c r="M133" s="77" t="n"/>
      <c r="N133" s="81">
        <f>IF(ISNUMBER(W133),RANK(W133,$W$7:$W$206),"")</f>
        <v/>
      </c>
      <c r="W133" s="82">
        <f>IF(AND(C133&lt;&gt;"",E133&gt;0,F133&gt;0),H133+ROW()/1000000000,"")</f>
        <v/>
      </c>
      <c r="X133" s="82">
        <f>IF(AND(C133&lt;&gt;"",E133&gt;0,F133&gt;0,OR(CatSel="Todas",D133=CatSel)),H133+ROW()/1000000000,"")</f>
        <v/>
      </c>
    </row>
    <row r="134">
      <c r="B134" s="77" t="n"/>
      <c r="C134" s="77" t="n"/>
      <c r="D134" s="77" t="n"/>
      <c r="E134" s="78" t="n"/>
      <c r="F134" s="78" t="n"/>
      <c r="G134" s="79">
        <f>IF(OR(C134="",E134&lt;=0,DivMargen&lt;=0),0,IF(Redondeo&gt;0,CEILING(E134/DivMargen,Redondeo),E134/DivMargen))</f>
        <v/>
      </c>
      <c r="H134" s="79">
        <f>IF(OR(C134="",E134&lt;=0,F134&lt;=0),0,F134*DivBase-E134)</f>
        <v/>
      </c>
      <c r="I134" s="80">
        <f>IF(OR(C134="",E134&lt;=0,F134&lt;=0),0,H134/F134)</f>
        <v/>
      </c>
      <c r="J134" s="78" t="n"/>
      <c r="K134" s="79">
        <f>IF(OR(C134="",E134&lt;=0),0,E134*J134)</f>
        <v/>
      </c>
      <c r="L134" s="68">
        <f>IF(OR(C134="",E134&lt;=0),"",IF(F134&lt;=0,"Sin precio",IF(H134&lt;0,"PÉRDIDA",IF(I134&lt;MargenMin,"Margen bajo",IF(I134&lt;MargenObjReal,"Aceptable","Rentable")))))</f>
        <v/>
      </c>
      <c r="M134" s="77" t="n"/>
      <c r="N134" s="81">
        <f>IF(ISNUMBER(W134),RANK(W134,$W$7:$W$206),"")</f>
        <v/>
      </c>
      <c r="W134" s="82">
        <f>IF(AND(C134&lt;&gt;"",E134&gt;0,F134&gt;0),H134+ROW()/1000000000,"")</f>
        <v/>
      </c>
      <c r="X134" s="82">
        <f>IF(AND(C134&lt;&gt;"",E134&gt;0,F134&gt;0,OR(CatSel="Todas",D134=CatSel)),H134+ROW()/1000000000,"")</f>
        <v/>
      </c>
    </row>
    <row r="135">
      <c r="B135" s="77" t="n"/>
      <c r="C135" s="77" t="n"/>
      <c r="D135" s="77" t="n"/>
      <c r="E135" s="78" t="n"/>
      <c r="F135" s="78" t="n"/>
      <c r="G135" s="79">
        <f>IF(OR(C135="",E135&lt;=0,DivMargen&lt;=0),0,IF(Redondeo&gt;0,CEILING(E135/DivMargen,Redondeo),E135/DivMargen))</f>
        <v/>
      </c>
      <c r="H135" s="79">
        <f>IF(OR(C135="",E135&lt;=0,F135&lt;=0),0,F135*DivBase-E135)</f>
        <v/>
      </c>
      <c r="I135" s="80">
        <f>IF(OR(C135="",E135&lt;=0,F135&lt;=0),0,H135/F135)</f>
        <v/>
      </c>
      <c r="J135" s="78" t="n"/>
      <c r="K135" s="79">
        <f>IF(OR(C135="",E135&lt;=0),0,E135*J135)</f>
        <v/>
      </c>
      <c r="L135" s="68">
        <f>IF(OR(C135="",E135&lt;=0),"",IF(F135&lt;=0,"Sin precio",IF(H135&lt;0,"PÉRDIDA",IF(I135&lt;MargenMin,"Margen bajo",IF(I135&lt;MargenObjReal,"Aceptable","Rentable")))))</f>
        <v/>
      </c>
      <c r="M135" s="77" t="n"/>
      <c r="N135" s="81">
        <f>IF(ISNUMBER(W135),RANK(W135,$W$7:$W$206),"")</f>
        <v/>
      </c>
      <c r="W135" s="82">
        <f>IF(AND(C135&lt;&gt;"",E135&gt;0,F135&gt;0),H135+ROW()/1000000000,"")</f>
        <v/>
      </c>
      <c r="X135" s="82">
        <f>IF(AND(C135&lt;&gt;"",E135&gt;0,F135&gt;0,OR(CatSel="Todas",D135=CatSel)),H135+ROW()/1000000000,"")</f>
        <v/>
      </c>
    </row>
    <row r="136">
      <c r="B136" s="77" t="n"/>
      <c r="C136" s="77" t="n"/>
      <c r="D136" s="77" t="n"/>
      <c r="E136" s="78" t="n"/>
      <c r="F136" s="78" t="n"/>
      <c r="G136" s="79">
        <f>IF(OR(C136="",E136&lt;=0,DivMargen&lt;=0),0,IF(Redondeo&gt;0,CEILING(E136/DivMargen,Redondeo),E136/DivMargen))</f>
        <v/>
      </c>
      <c r="H136" s="79">
        <f>IF(OR(C136="",E136&lt;=0,F136&lt;=0),0,F136*DivBase-E136)</f>
        <v/>
      </c>
      <c r="I136" s="80">
        <f>IF(OR(C136="",E136&lt;=0,F136&lt;=0),0,H136/F136)</f>
        <v/>
      </c>
      <c r="J136" s="78" t="n"/>
      <c r="K136" s="79">
        <f>IF(OR(C136="",E136&lt;=0),0,E136*J136)</f>
        <v/>
      </c>
      <c r="L136" s="68">
        <f>IF(OR(C136="",E136&lt;=0),"",IF(F136&lt;=0,"Sin precio",IF(H136&lt;0,"PÉRDIDA",IF(I136&lt;MargenMin,"Margen bajo",IF(I136&lt;MargenObjReal,"Aceptable","Rentable")))))</f>
        <v/>
      </c>
      <c r="M136" s="77" t="n"/>
      <c r="N136" s="81">
        <f>IF(ISNUMBER(W136),RANK(W136,$W$7:$W$206),"")</f>
        <v/>
      </c>
      <c r="W136" s="82">
        <f>IF(AND(C136&lt;&gt;"",E136&gt;0,F136&gt;0),H136+ROW()/1000000000,"")</f>
        <v/>
      </c>
      <c r="X136" s="82">
        <f>IF(AND(C136&lt;&gt;"",E136&gt;0,F136&gt;0,OR(CatSel="Todas",D136=CatSel)),H136+ROW()/1000000000,"")</f>
        <v/>
      </c>
    </row>
    <row r="137">
      <c r="B137" s="77" t="n"/>
      <c r="C137" s="77" t="n"/>
      <c r="D137" s="77" t="n"/>
      <c r="E137" s="78" t="n"/>
      <c r="F137" s="78" t="n"/>
      <c r="G137" s="79">
        <f>IF(OR(C137="",E137&lt;=0,DivMargen&lt;=0),0,IF(Redondeo&gt;0,CEILING(E137/DivMargen,Redondeo),E137/DivMargen))</f>
        <v/>
      </c>
      <c r="H137" s="79">
        <f>IF(OR(C137="",E137&lt;=0,F137&lt;=0),0,F137*DivBase-E137)</f>
        <v/>
      </c>
      <c r="I137" s="80">
        <f>IF(OR(C137="",E137&lt;=0,F137&lt;=0),0,H137/F137)</f>
        <v/>
      </c>
      <c r="J137" s="78" t="n"/>
      <c r="K137" s="79">
        <f>IF(OR(C137="",E137&lt;=0),0,E137*J137)</f>
        <v/>
      </c>
      <c r="L137" s="68">
        <f>IF(OR(C137="",E137&lt;=0),"",IF(F137&lt;=0,"Sin precio",IF(H137&lt;0,"PÉRDIDA",IF(I137&lt;MargenMin,"Margen bajo",IF(I137&lt;MargenObjReal,"Aceptable","Rentable")))))</f>
        <v/>
      </c>
      <c r="M137" s="77" t="n"/>
      <c r="N137" s="81">
        <f>IF(ISNUMBER(W137),RANK(W137,$W$7:$W$206),"")</f>
        <v/>
      </c>
      <c r="W137" s="82">
        <f>IF(AND(C137&lt;&gt;"",E137&gt;0,F137&gt;0),H137+ROW()/1000000000,"")</f>
        <v/>
      </c>
      <c r="X137" s="82">
        <f>IF(AND(C137&lt;&gt;"",E137&gt;0,F137&gt;0,OR(CatSel="Todas",D137=CatSel)),H137+ROW()/1000000000,"")</f>
        <v/>
      </c>
    </row>
    <row r="138">
      <c r="B138" s="77" t="n"/>
      <c r="C138" s="77" t="n"/>
      <c r="D138" s="77" t="n"/>
      <c r="E138" s="78" t="n"/>
      <c r="F138" s="78" t="n"/>
      <c r="G138" s="79">
        <f>IF(OR(C138="",E138&lt;=0,DivMargen&lt;=0),0,IF(Redondeo&gt;0,CEILING(E138/DivMargen,Redondeo),E138/DivMargen))</f>
        <v/>
      </c>
      <c r="H138" s="79">
        <f>IF(OR(C138="",E138&lt;=0,F138&lt;=0),0,F138*DivBase-E138)</f>
        <v/>
      </c>
      <c r="I138" s="80">
        <f>IF(OR(C138="",E138&lt;=0,F138&lt;=0),0,H138/F138)</f>
        <v/>
      </c>
      <c r="J138" s="78" t="n"/>
      <c r="K138" s="79">
        <f>IF(OR(C138="",E138&lt;=0),0,E138*J138)</f>
        <v/>
      </c>
      <c r="L138" s="68">
        <f>IF(OR(C138="",E138&lt;=0),"",IF(F138&lt;=0,"Sin precio",IF(H138&lt;0,"PÉRDIDA",IF(I138&lt;MargenMin,"Margen bajo",IF(I138&lt;MargenObjReal,"Aceptable","Rentable")))))</f>
        <v/>
      </c>
      <c r="M138" s="77" t="n"/>
      <c r="N138" s="81">
        <f>IF(ISNUMBER(W138),RANK(W138,$W$7:$W$206),"")</f>
        <v/>
      </c>
      <c r="W138" s="82">
        <f>IF(AND(C138&lt;&gt;"",E138&gt;0,F138&gt;0),H138+ROW()/1000000000,"")</f>
        <v/>
      </c>
      <c r="X138" s="82">
        <f>IF(AND(C138&lt;&gt;"",E138&gt;0,F138&gt;0,OR(CatSel="Todas",D138=CatSel)),H138+ROW()/1000000000,"")</f>
        <v/>
      </c>
    </row>
    <row r="139">
      <c r="B139" s="77" t="n"/>
      <c r="C139" s="77" t="n"/>
      <c r="D139" s="77" t="n"/>
      <c r="E139" s="78" t="n"/>
      <c r="F139" s="78" t="n"/>
      <c r="G139" s="79">
        <f>IF(OR(C139="",E139&lt;=0,DivMargen&lt;=0),0,IF(Redondeo&gt;0,CEILING(E139/DivMargen,Redondeo),E139/DivMargen))</f>
        <v/>
      </c>
      <c r="H139" s="79">
        <f>IF(OR(C139="",E139&lt;=0,F139&lt;=0),0,F139*DivBase-E139)</f>
        <v/>
      </c>
      <c r="I139" s="80">
        <f>IF(OR(C139="",E139&lt;=0,F139&lt;=0),0,H139/F139)</f>
        <v/>
      </c>
      <c r="J139" s="78" t="n"/>
      <c r="K139" s="79">
        <f>IF(OR(C139="",E139&lt;=0),0,E139*J139)</f>
        <v/>
      </c>
      <c r="L139" s="68">
        <f>IF(OR(C139="",E139&lt;=0),"",IF(F139&lt;=0,"Sin precio",IF(H139&lt;0,"PÉRDIDA",IF(I139&lt;MargenMin,"Margen bajo",IF(I139&lt;MargenObjReal,"Aceptable","Rentable")))))</f>
        <v/>
      </c>
      <c r="M139" s="77" t="n"/>
      <c r="N139" s="81">
        <f>IF(ISNUMBER(W139),RANK(W139,$W$7:$W$206),"")</f>
        <v/>
      </c>
      <c r="W139" s="82">
        <f>IF(AND(C139&lt;&gt;"",E139&gt;0,F139&gt;0),H139+ROW()/1000000000,"")</f>
        <v/>
      </c>
      <c r="X139" s="82">
        <f>IF(AND(C139&lt;&gt;"",E139&gt;0,F139&gt;0,OR(CatSel="Todas",D139=CatSel)),H139+ROW()/1000000000,"")</f>
        <v/>
      </c>
    </row>
    <row r="140">
      <c r="B140" s="77" t="n"/>
      <c r="C140" s="77" t="n"/>
      <c r="D140" s="77" t="n"/>
      <c r="E140" s="78" t="n"/>
      <c r="F140" s="78" t="n"/>
      <c r="G140" s="79">
        <f>IF(OR(C140="",E140&lt;=0,DivMargen&lt;=0),0,IF(Redondeo&gt;0,CEILING(E140/DivMargen,Redondeo),E140/DivMargen))</f>
        <v/>
      </c>
      <c r="H140" s="79">
        <f>IF(OR(C140="",E140&lt;=0,F140&lt;=0),0,F140*DivBase-E140)</f>
        <v/>
      </c>
      <c r="I140" s="80">
        <f>IF(OR(C140="",E140&lt;=0,F140&lt;=0),0,H140/F140)</f>
        <v/>
      </c>
      <c r="J140" s="78" t="n"/>
      <c r="K140" s="79">
        <f>IF(OR(C140="",E140&lt;=0),0,E140*J140)</f>
        <v/>
      </c>
      <c r="L140" s="68">
        <f>IF(OR(C140="",E140&lt;=0),"",IF(F140&lt;=0,"Sin precio",IF(H140&lt;0,"PÉRDIDA",IF(I140&lt;MargenMin,"Margen bajo",IF(I140&lt;MargenObjReal,"Aceptable","Rentable")))))</f>
        <v/>
      </c>
      <c r="M140" s="77" t="n"/>
      <c r="N140" s="81">
        <f>IF(ISNUMBER(W140),RANK(W140,$W$7:$W$206),"")</f>
        <v/>
      </c>
      <c r="W140" s="82">
        <f>IF(AND(C140&lt;&gt;"",E140&gt;0,F140&gt;0),H140+ROW()/1000000000,"")</f>
        <v/>
      </c>
      <c r="X140" s="82">
        <f>IF(AND(C140&lt;&gt;"",E140&gt;0,F140&gt;0,OR(CatSel="Todas",D140=CatSel)),H140+ROW()/1000000000,"")</f>
        <v/>
      </c>
    </row>
    <row r="141">
      <c r="B141" s="77" t="n"/>
      <c r="C141" s="77" t="n"/>
      <c r="D141" s="77" t="n"/>
      <c r="E141" s="78" t="n"/>
      <c r="F141" s="78" t="n"/>
      <c r="G141" s="79">
        <f>IF(OR(C141="",E141&lt;=0,DivMargen&lt;=0),0,IF(Redondeo&gt;0,CEILING(E141/DivMargen,Redondeo),E141/DivMargen))</f>
        <v/>
      </c>
      <c r="H141" s="79">
        <f>IF(OR(C141="",E141&lt;=0,F141&lt;=0),0,F141*DivBase-E141)</f>
        <v/>
      </c>
      <c r="I141" s="80">
        <f>IF(OR(C141="",E141&lt;=0,F141&lt;=0),0,H141/F141)</f>
        <v/>
      </c>
      <c r="J141" s="78" t="n"/>
      <c r="K141" s="79">
        <f>IF(OR(C141="",E141&lt;=0),0,E141*J141)</f>
        <v/>
      </c>
      <c r="L141" s="68">
        <f>IF(OR(C141="",E141&lt;=0),"",IF(F141&lt;=0,"Sin precio",IF(H141&lt;0,"PÉRDIDA",IF(I141&lt;MargenMin,"Margen bajo",IF(I141&lt;MargenObjReal,"Aceptable","Rentable")))))</f>
        <v/>
      </c>
      <c r="M141" s="77" t="n"/>
      <c r="N141" s="81">
        <f>IF(ISNUMBER(W141),RANK(W141,$W$7:$W$206),"")</f>
        <v/>
      </c>
      <c r="W141" s="82">
        <f>IF(AND(C141&lt;&gt;"",E141&gt;0,F141&gt;0),H141+ROW()/1000000000,"")</f>
        <v/>
      </c>
      <c r="X141" s="82">
        <f>IF(AND(C141&lt;&gt;"",E141&gt;0,F141&gt;0,OR(CatSel="Todas",D141=CatSel)),H141+ROW()/1000000000,"")</f>
        <v/>
      </c>
    </row>
    <row r="142">
      <c r="B142" s="77" t="n"/>
      <c r="C142" s="77" t="n"/>
      <c r="D142" s="77" t="n"/>
      <c r="E142" s="78" t="n"/>
      <c r="F142" s="78" t="n"/>
      <c r="G142" s="79">
        <f>IF(OR(C142="",E142&lt;=0,DivMargen&lt;=0),0,IF(Redondeo&gt;0,CEILING(E142/DivMargen,Redondeo),E142/DivMargen))</f>
        <v/>
      </c>
      <c r="H142" s="79">
        <f>IF(OR(C142="",E142&lt;=0,F142&lt;=0),0,F142*DivBase-E142)</f>
        <v/>
      </c>
      <c r="I142" s="80">
        <f>IF(OR(C142="",E142&lt;=0,F142&lt;=0),0,H142/F142)</f>
        <v/>
      </c>
      <c r="J142" s="78" t="n"/>
      <c r="K142" s="79">
        <f>IF(OR(C142="",E142&lt;=0),0,E142*J142)</f>
        <v/>
      </c>
      <c r="L142" s="68">
        <f>IF(OR(C142="",E142&lt;=0),"",IF(F142&lt;=0,"Sin precio",IF(H142&lt;0,"PÉRDIDA",IF(I142&lt;MargenMin,"Margen bajo",IF(I142&lt;MargenObjReal,"Aceptable","Rentable")))))</f>
        <v/>
      </c>
      <c r="M142" s="77" t="n"/>
      <c r="N142" s="81">
        <f>IF(ISNUMBER(W142),RANK(W142,$W$7:$W$206),"")</f>
        <v/>
      </c>
      <c r="W142" s="82">
        <f>IF(AND(C142&lt;&gt;"",E142&gt;0,F142&gt;0),H142+ROW()/1000000000,"")</f>
        <v/>
      </c>
      <c r="X142" s="82">
        <f>IF(AND(C142&lt;&gt;"",E142&gt;0,F142&gt;0,OR(CatSel="Todas",D142=CatSel)),H142+ROW()/1000000000,"")</f>
        <v/>
      </c>
    </row>
    <row r="143">
      <c r="B143" s="77" t="n"/>
      <c r="C143" s="77" t="n"/>
      <c r="D143" s="77" t="n"/>
      <c r="E143" s="78" t="n"/>
      <c r="F143" s="78" t="n"/>
      <c r="G143" s="79">
        <f>IF(OR(C143="",E143&lt;=0,DivMargen&lt;=0),0,IF(Redondeo&gt;0,CEILING(E143/DivMargen,Redondeo),E143/DivMargen))</f>
        <v/>
      </c>
      <c r="H143" s="79">
        <f>IF(OR(C143="",E143&lt;=0,F143&lt;=0),0,F143*DivBase-E143)</f>
        <v/>
      </c>
      <c r="I143" s="80">
        <f>IF(OR(C143="",E143&lt;=0,F143&lt;=0),0,H143/F143)</f>
        <v/>
      </c>
      <c r="J143" s="78" t="n"/>
      <c r="K143" s="79">
        <f>IF(OR(C143="",E143&lt;=0),0,E143*J143)</f>
        <v/>
      </c>
      <c r="L143" s="68">
        <f>IF(OR(C143="",E143&lt;=0),"",IF(F143&lt;=0,"Sin precio",IF(H143&lt;0,"PÉRDIDA",IF(I143&lt;MargenMin,"Margen bajo",IF(I143&lt;MargenObjReal,"Aceptable","Rentable")))))</f>
        <v/>
      </c>
      <c r="M143" s="77" t="n"/>
      <c r="N143" s="81">
        <f>IF(ISNUMBER(W143),RANK(W143,$W$7:$W$206),"")</f>
        <v/>
      </c>
      <c r="W143" s="82">
        <f>IF(AND(C143&lt;&gt;"",E143&gt;0,F143&gt;0),H143+ROW()/1000000000,"")</f>
        <v/>
      </c>
      <c r="X143" s="82">
        <f>IF(AND(C143&lt;&gt;"",E143&gt;0,F143&gt;0,OR(CatSel="Todas",D143=CatSel)),H143+ROW()/1000000000,"")</f>
        <v/>
      </c>
    </row>
    <row r="144">
      <c r="B144" s="77" t="n"/>
      <c r="C144" s="77" t="n"/>
      <c r="D144" s="77" t="n"/>
      <c r="E144" s="78" t="n"/>
      <c r="F144" s="78" t="n"/>
      <c r="G144" s="79">
        <f>IF(OR(C144="",E144&lt;=0,DivMargen&lt;=0),0,IF(Redondeo&gt;0,CEILING(E144/DivMargen,Redondeo),E144/DivMargen))</f>
        <v/>
      </c>
      <c r="H144" s="79">
        <f>IF(OR(C144="",E144&lt;=0,F144&lt;=0),0,F144*DivBase-E144)</f>
        <v/>
      </c>
      <c r="I144" s="80">
        <f>IF(OR(C144="",E144&lt;=0,F144&lt;=0),0,H144/F144)</f>
        <v/>
      </c>
      <c r="J144" s="78" t="n"/>
      <c r="K144" s="79">
        <f>IF(OR(C144="",E144&lt;=0),0,E144*J144)</f>
        <v/>
      </c>
      <c r="L144" s="68">
        <f>IF(OR(C144="",E144&lt;=0),"",IF(F144&lt;=0,"Sin precio",IF(H144&lt;0,"PÉRDIDA",IF(I144&lt;MargenMin,"Margen bajo",IF(I144&lt;MargenObjReal,"Aceptable","Rentable")))))</f>
        <v/>
      </c>
      <c r="M144" s="77" t="n"/>
      <c r="N144" s="81">
        <f>IF(ISNUMBER(W144),RANK(W144,$W$7:$W$206),"")</f>
        <v/>
      </c>
      <c r="W144" s="82">
        <f>IF(AND(C144&lt;&gt;"",E144&gt;0,F144&gt;0),H144+ROW()/1000000000,"")</f>
        <v/>
      </c>
      <c r="X144" s="82">
        <f>IF(AND(C144&lt;&gt;"",E144&gt;0,F144&gt;0,OR(CatSel="Todas",D144=CatSel)),H144+ROW()/1000000000,"")</f>
        <v/>
      </c>
    </row>
    <row r="145">
      <c r="B145" s="77" t="n"/>
      <c r="C145" s="77" t="n"/>
      <c r="D145" s="77" t="n"/>
      <c r="E145" s="78" t="n"/>
      <c r="F145" s="78" t="n"/>
      <c r="G145" s="79">
        <f>IF(OR(C145="",E145&lt;=0,DivMargen&lt;=0),0,IF(Redondeo&gt;0,CEILING(E145/DivMargen,Redondeo),E145/DivMargen))</f>
        <v/>
      </c>
      <c r="H145" s="79">
        <f>IF(OR(C145="",E145&lt;=0,F145&lt;=0),0,F145*DivBase-E145)</f>
        <v/>
      </c>
      <c r="I145" s="80">
        <f>IF(OR(C145="",E145&lt;=0,F145&lt;=0),0,H145/F145)</f>
        <v/>
      </c>
      <c r="J145" s="78" t="n"/>
      <c r="K145" s="79">
        <f>IF(OR(C145="",E145&lt;=0),0,E145*J145)</f>
        <v/>
      </c>
      <c r="L145" s="68">
        <f>IF(OR(C145="",E145&lt;=0),"",IF(F145&lt;=0,"Sin precio",IF(H145&lt;0,"PÉRDIDA",IF(I145&lt;MargenMin,"Margen bajo",IF(I145&lt;MargenObjReal,"Aceptable","Rentable")))))</f>
        <v/>
      </c>
      <c r="M145" s="77" t="n"/>
      <c r="N145" s="81">
        <f>IF(ISNUMBER(W145),RANK(W145,$W$7:$W$206),"")</f>
        <v/>
      </c>
      <c r="W145" s="82">
        <f>IF(AND(C145&lt;&gt;"",E145&gt;0,F145&gt;0),H145+ROW()/1000000000,"")</f>
        <v/>
      </c>
      <c r="X145" s="82">
        <f>IF(AND(C145&lt;&gt;"",E145&gt;0,F145&gt;0,OR(CatSel="Todas",D145=CatSel)),H145+ROW()/1000000000,"")</f>
        <v/>
      </c>
    </row>
    <row r="146">
      <c r="B146" s="77" t="n"/>
      <c r="C146" s="77" t="n"/>
      <c r="D146" s="77" t="n"/>
      <c r="E146" s="78" t="n"/>
      <c r="F146" s="78" t="n"/>
      <c r="G146" s="79">
        <f>IF(OR(C146="",E146&lt;=0,DivMargen&lt;=0),0,IF(Redondeo&gt;0,CEILING(E146/DivMargen,Redondeo),E146/DivMargen))</f>
        <v/>
      </c>
      <c r="H146" s="79">
        <f>IF(OR(C146="",E146&lt;=0,F146&lt;=0),0,F146*DivBase-E146)</f>
        <v/>
      </c>
      <c r="I146" s="80">
        <f>IF(OR(C146="",E146&lt;=0,F146&lt;=0),0,H146/F146)</f>
        <v/>
      </c>
      <c r="J146" s="78" t="n"/>
      <c r="K146" s="79">
        <f>IF(OR(C146="",E146&lt;=0),0,E146*J146)</f>
        <v/>
      </c>
      <c r="L146" s="68">
        <f>IF(OR(C146="",E146&lt;=0),"",IF(F146&lt;=0,"Sin precio",IF(H146&lt;0,"PÉRDIDA",IF(I146&lt;MargenMin,"Margen bajo",IF(I146&lt;MargenObjReal,"Aceptable","Rentable")))))</f>
        <v/>
      </c>
      <c r="M146" s="77" t="n"/>
      <c r="N146" s="81">
        <f>IF(ISNUMBER(W146),RANK(W146,$W$7:$W$206),"")</f>
        <v/>
      </c>
      <c r="W146" s="82">
        <f>IF(AND(C146&lt;&gt;"",E146&gt;0,F146&gt;0),H146+ROW()/1000000000,"")</f>
        <v/>
      </c>
      <c r="X146" s="82">
        <f>IF(AND(C146&lt;&gt;"",E146&gt;0,F146&gt;0,OR(CatSel="Todas",D146=CatSel)),H146+ROW()/1000000000,"")</f>
        <v/>
      </c>
    </row>
    <row r="147">
      <c r="B147" s="77" t="n"/>
      <c r="C147" s="77" t="n"/>
      <c r="D147" s="77" t="n"/>
      <c r="E147" s="78" t="n"/>
      <c r="F147" s="78" t="n"/>
      <c r="G147" s="79">
        <f>IF(OR(C147="",E147&lt;=0,DivMargen&lt;=0),0,IF(Redondeo&gt;0,CEILING(E147/DivMargen,Redondeo),E147/DivMargen))</f>
        <v/>
      </c>
      <c r="H147" s="79">
        <f>IF(OR(C147="",E147&lt;=0,F147&lt;=0),0,F147*DivBase-E147)</f>
        <v/>
      </c>
      <c r="I147" s="80">
        <f>IF(OR(C147="",E147&lt;=0,F147&lt;=0),0,H147/F147)</f>
        <v/>
      </c>
      <c r="J147" s="78" t="n"/>
      <c r="K147" s="79">
        <f>IF(OR(C147="",E147&lt;=0),0,E147*J147)</f>
        <v/>
      </c>
      <c r="L147" s="68">
        <f>IF(OR(C147="",E147&lt;=0),"",IF(F147&lt;=0,"Sin precio",IF(H147&lt;0,"PÉRDIDA",IF(I147&lt;MargenMin,"Margen bajo",IF(I147&lt;MargenObjReal,"Aceptable","Rentable")))))</f>
        <v/>
      </c>
      <c r="M147" s="77" t="n"/>
      <c r="N147" s="81">
        <f>IF(ISNUMBER(W147),RANK(W147,$W$7:$W$206),"")</f>
        <v/>
      </c>
      <c r="W147" s="82">
        <f>IF(AND(C147&lt;&gt;"",E147&gt;0,F147&gt;0),H147+ROW()/1000000000,"")</f>
        <v/>
      </c>
      <c r="X147" s="82">
        <f>IF(AND(C147&lt;&gt;"",E147&gt;0,F147&gt;0,OR(CatSel="Todas",D147=CatSel)),H147+ROW()/1000000000,"")</f>
        <v/>
      </c>
    </row>
    <row r="148">
      <c r="B148" s="77" t="n"/>
      <c r="C148" s="77" t="n"/>
      <c r="D148" s="77" t="n"/>
      <c r="E148" s="78" t="n"/>
      <c r="F148" s="78" t="n"/>
      <c r="G148" s="79">
        <f>IF(OR(C148="",E148&lt;=0,DivMargen&lt;=0),0,IF(Redondeo&gt;0,CEILING(E148/DivMargen,Redondeo),E148/DivMargen))</f>
        <v/>
      </c>
      <c r="H148" s="79">
        <f>IF(OR(C148="",E148&lt;=0,F148&lt;=0),0,F148*DivBase-E148)</f>
        <v/>
      </c>
      <c r="I148" s="80">
        <f>IF(OR(C148="",E148&lt;=0,F148&lt;=0),0,H148/F148)</f>
        <v/>
      </c>
      <c r="J148" s="78" t="n"/>
      <c r="K148" s="79">
        <f>IF(OR(C148="",E148&lt;=0),0,E148*J148)</f>
        <v/>
      </c>
      <c r="L148" s="68">
        <f>IF(OR(C148="",E148&lt;=0),"",IF(F148&lt;=0,"Sin precio",IF(H148&lt;0,"PÉRDIDA",IF(I148&lt;MargenMin,"Margen bajo",IF(I148&lt;MargenObjReal,"Aceptable","Rentable")))))</f>
        <v/>
      </c>
      <c r="M148" s="77" t="n"/>
      <c r="N148" s="81">
        <f>IF(ISNUMBER(W148),RANK(W148,$W$7:$W$206),"")</f>
        <v/>
      </c>
      <c r="W148" s="82">
        <f>IF(AND(C148&lt;&gt;"",E148&gt;0,F148&gt;0),H148+ROW()/1000000000,"")</f>
        <v/>
      </c>
      <c r="X148" s="82">
        <f>IF(AND(C148&lt;&gt;"",E148&gt;0,F148&gt;0,OR(CatSel="Todas",D148=CatSel)),H148+ROW()/1000000000,"")</f>
        <v/>
      </c>
    </row>
    <row r="149">
      <c r="B149" s="77" t="n"/>
      <c r="C149" s="77" t="n"/>
      <c r="D149" s="77" t="n"/>
      <c r="E149" s="78" t="n"/>
      <c r="F149" s="78" t="n"/>
      <c r="G149" s="79">
        <f>IF(OR(C149="",E149&lt;=0,DivMargen&lt;=0),0,IF(Redondeo&gt;0,CEILING(E149/DivMargen,Redondeo),E149/DivMargen))</f>
        <v/>
      </c>
      <c r="H149" s="79">
        <f>IF(OR(C149="",E149&lt;=0,F149&lt;=0),0,F149*DivBase-E149)</f>
        <v/>
      </c>
      <c r="I149" s="80">
        <f>IF(OR(C149="",E149&lt;=0,F149&lt;=0),0,H149/F149)</f>
        <v/>
      </c>
      <c r="J149" s="78" t="n"/>
      <c r="K149" s="79">
        <f>IF(OR(C149="",E149&lt;=0),0,E149*J149)</f>
        <v/>
      </c>
      <c r="L149" s="68">
        <f>IF(OR(C149="",E149&lt;=0),"",IF(F149&lt;=0,"Sin precio",IF(H149&lt;0,"PÉRDIDA",IF(I149&lt;MargenMin,"Margen bajo",IF(I149&lt;MargenObjReal,"Aceptable","Rentable")))))</f>
        <v/>
      </c>
      <c r="M149" s="77" t="n"/>
      <c r="N149" s="81">
        <f>IF(ISNUMBER(W149),RANK(W149,$W$7:$W$206),"")</f>
        <v/>
      </c>
      <c r="W149" s="82">
        <f>IF(AND(C149&lt;&gt;"",E149&gt;0,F149&gt;0),H149+ROW()/1000000000,"")</f>
        <v/>
      </c>
      <c r="X149" s="82">
        <f>IF(AND(C149&lt;&gt;"",E149&gt;0,F149&gt;0,OR(CatSel="Todas",D149=CatSel)),H149+ROW()/1000000000,"")</f>
        <v/>
      </c>
    </row>
    <row r="150">
      <c r="B150" s="77" t="n"/>
      <c r="C150" s="77" t="n"/>
      <c r="D150" s="77" t="n"/>
      <c r="E150" s="78" t="n"/>
      <c r="F150" s="78" t="n"/>
      <c r="G150" s="79">
        <f>IF(OR(C150="",E150&lt;=0,DivMargen&lt;=0),0,IF(Redondeo&gt;0,CEILING(E150/DivMargen,Redondeo),E150/DivMargen))</f>
        <v/>
      </c>
      <c r="H150" s="79">
        <f>IF(OR(C150="",E150&lt;=0,F150&lt;=0),0,F150*DivBase-E150)</f>
        <v/>
      </c>
      <c r="I150" s="80">
        <f>IF(OR(C150="",E150&lt;=0,F150&lt;=0),0,H150/F150)</f>
        <v/>
      </c>
      <c r="J150" s="78" t="n"/>
      <c r="K150" s="79">
        <f>IF(OR(C150="",E150&lt;=0),0,E150*J150)</f>
        <v/>
      </c>
      <c r="L150" s="68">
        <f>IF(OR(C150="",E150&lt;=0),"",IF(F150&lt;=0,"Sin precio",IF(H150&lt;0,"PÉRDIDA",IF(I150&lt;MargenMin,"Margen bajo",IF(I150&lt;MargenObjReal,"Aceptable","Rentable")))))</f>
        <v/>
      </c>
      <c r="M150" s="77" t="n"/>
      <c r="N150" s="81">
        <f>IF(ISNUMBER(W150),RANK(W150,$W$7:$W$206),"")</f>
        <v/>
      </c>
      <c r="W150" s="82">
        <f>IF(AND(C150&lt;&gt;"",E150&gt;0,F150&gt;0),H150+ROW()/1000000000,"")</f>
        <v/>
      </c>
      <c r="X150" s="82">
        <f>IF(AND(C150&lt;&gt;"",E150&gt;0,F150&gt;0,OR(CatSel="Todas",D150=CatSel)),H150+ROW()/1000000000,"")</f>
        <v/>
      </c>
    </row>
    <row r="151">
      <c r="B151" s="77" t="n"/>
      <c r="C151" s="77" t="n"/>
      <c r="D151" s="77" t="n"/>
      <c r="E151" s="78" t="n"/>
      <c r="F151" s="78" t="n"/>
      <c r="G151" s="79">
        <f>IF(OR(C151="",E151&lt;=0,DivMargen&lt;=0),0,IF(Redondeo&gt;0,CEILING(E151/DivMargen,Redondeo),E151/DivMargen))</f>
        <v/>
      </c>
      <c r="H151" s="79">
        <f>IF(OR(C151="",E151&lt;=0,F151&lt;=0),0,F151*DivBase-E151)</f>
        <v/>
      </c>
      <c r="I151" s="80">
        <f>IF(OR(C151="",E151&lt;=0,F151&lt;=0),0,H151/F151)</f>
        <v/>
      </c>
      <c r="J151" s="78" t="n"/>
      <c r="K151" s="79">
        <f>IF(OR(C151="",E151&lt;=0),0,E151*J151)</f>
        <v/>
      </c>
      <c r="L151" s="68">
        <f>IF(OR(C151="",E151&lt;=0),"",IF(F151&lt;=0,"Sin precio",IF(H151&lt;0,"PÉRDIDA",IF(I151&lt;MargenMin,"Margen bajo",IF(I151&lt;MargenObjReal,"Aceptable","Rentable")))))</f>
        <v/>
      </c>
      <c r="M151" s="77" t="n"/>
      <c r="N151" s="81">
        <f>IF(ISNUMBER(W151),RANK(W151,$W$7:$W$206),"")</f>
        <v/>
      </c>
      <c r="W151" s="82">
        <f>IF(AND(C151&lt;&gt;"",E151&gt;0,F151&gt;0),H151+ROW()/1000000000,"")</f>
        <v/>
      </c>
      <c r="X151" s="82">
        <f>IF(AND(C151&lt;&gt;"",E151&gt;0,F151&gt;0,OR(CatSel="Todas",D151=CatSel)),H151+ROW()/1000000000,"")</f>
        <v/>
      </c>
    </row>
    <row r="152">
      <c r="B152" s="77" t="n"/>
      <c r="C152" s="77" t="n"/>
      <c r="D152" s="77" t="n"/>
      <c r="E152" s="78" t="n"/>
      <c r="F152" s="78" t="n"/>
      <c r="G152" s="79">
        <f>IF(OR(C152="",E152&lt;=0,DivMargen&lt;=0),0,IF(Redondeo&gt;0,CEILING(E152/DivMargen,Redondeo),E152/DivMargen))</f>
        <v/>
      </c>
      <c r="H152" s="79">
        <f>IF(OR(C152="",E152&lt;=0,F152&lt;=0),0,F152*DivBase-E152)</f>
        <v/>
      </c>
      <c r="I152" s="80">
        <f>IF(OR(C152="",E152&lt;=0,F152&lt;=0),0,H152/F152)</f>
        <v/>
      </c>
      <c r="J152" s="78" t="n"/>
      <c r="K152" s="79">
        <f>IF(OR(C152="",E152&lt;=0),0,E152*J152)</f>
        <v/>
      </c>
      <c r="L152" s="68">
        <f>IF(OR(C152="",E152&lt;=0),"",IF(F152&lt;=0,"Sin precio",IF(H152&lt;0,"PÉRDIDA",IF(I152&lt;MargenMin,"Margen bajo",IF(I152&lt;MargenObjReal,"Aceptable","Rentable")))))</f>
        <v/>
      </c>
      <c r="M152" s="77" t="n"/>
      <c r="N152" s="81">
        <f>IF(ISNUMBER(W152),RANK(W152,$W$7:$W$206),"")</f>
        <v/>
      </c>
      <c r="W152" s="82">
        <f>IF(AND(C152&lt;&gt;"",E152&gt;0,F152&gt;0),H152+ROW()/1000000000,"")</f>
        <v/>
      </c>
      <c r="X152" s="82">
        <f>IF(AND(C152&lt;&gt;"",E152&gt;0,F152&gt;0,OR(CatSel="Todas",D152=CatSel)),H152+ROW()/1000000000,"")</f>
        <v/>
      </c>
    </row>
    <row r="153">
      <c r="B153" s="77" t="n"/>
      <c r="C153" s="77" t="n"/>
      <c r="D153" s="77" t="n"/>
      <c r="E153" s="78" t="n"/>
      <c r="F153" s="78" t="n"/>
      <c r="G153" s="79">
        <f>IF(OR(C153="",E153&lt;=0,DivMargen&lt;=0),0,IF(Redondeo&gt;0,CEILING(E153/DivMargen,Redondeo),E153/DivMargen))</f>
        <v/>
      </c>
      <c r="H153" s="79">
        <f>IF(OR(C153="",E153&lt;=0,F153&lt;=0),0,F153*DivBase-E153)</f>
        <v/>
      </c>
      <c r="I153" s="80">
        <f>IF(OR(C153="",E153&lt;=0,F153&lt;=0),0,H153/F153)</f>
        <v/>
      </c>
      <c r="J153" s="78" t="n"/>
      <c r="K153" s="79">
        <f>IF(OR(C153="",E153&lt;=0),0,E153*J153)</f>
        <v/>
      </c>
      <c r="L153" s="68">
        <f>IF(OR(C153="",E153&lt;=0),"",IF(F153&lt;=0,"Sin precio",IF(H153&lt;0,"PÉRDIDA",IF(I153&lt;MargenMin,"Margen bajo",IF(I153&lt;MargenObjReal,"Aceptable","Rentable")))))</f>
        <v/>
      </c>
      <c r="M153" s="77" t="n"/>
      <c r="N153" s="81">
        <f>IF(ISNUMBER(W153),RANK(W153,$W$7:$W$206),"")</f>
        <v/>
      </c>
      <c r="W153" s="82">
        <f>IF(AND(C153&lt;&gt;"",E153&gt;0,F153&gt;0),H153+ROW()/1000000000,"")</f>
        <v/>
      </c>
      <c r="X153" s="82">
        <f>IF(AND(C153&lt;&gt;"",E153&gt;0,F153&gt;0,OR(CatSel="Todas",D153=CatSel)),H153+ROW()/1000000000,"")</f>
        <v/>
      </c>
    </row>
    <row r="154">
      <c r="B154" s="77" t="n"/>
      <c r="C154" s="77" t="n"/>
      <c r="D154" s="77" t="n"/>
      <c r="E154" s="78" t="n"/>
      <c r="F154" s="78" t="n"/>
      <c r="G154" s="79">
        <f>IF(OR(C154="",E154&lt;=0,DivMargen&lt;=0),0,IF(Redondeo&gt;0,CEILING(E154/DivMargen,Redondeo),E154/DivMargen))</f>
        <v/>
      </c>
      <c r="H154" s="79">
        <f>IF(OR(C154="",E154&lt;=0,F154&lt;=0),0,F154*DivBase-E154)</f>
        <v/>
      </c>
      <c r="I154" s="80">
        <f>IF(OR(C154="",E154&lt;=0,F154&lt;=0),0,H154/F154)</f>
        <v/>
      </c>
      <c r="J154" s="78" t="n"/>
      <c r="K154" s="79">
        <f>IF(OR(C154="",E154&lt;=0),0,E154*J154)</f>
        <v/>
      </c>
      <c r="L154" s="68">
        <f>IF(OR(C154="",E154&lt;=0),"",IF(F154&lt;=0,"Sin precio",IF(H154&lt;0,"PÉRDIDA",IF(I154&lt;MargenMin,"Margen bajo",IF(I154&lt;MargenObjReal,"Aceptable","Rentable")))))</f>
        <v/>
      </c>
      <c r="M154" s="77" t="n"/>
      <c r="N154" s="81">
        <f>IF(ISNUMBER(W154),RANK(W154,$W$7:$W$206),"")</f>
        <v/>
      </c>
      <c r="W154" s="82">
        <f>IF(AND(C154&lt;&gt;"",E154&gt;0,F154&gt;0),H154+ROW()/1000000000,"")</f>
        <v/>
      </c>
      <c r="X154" s="82">
        <f>IF(AND(C154&lt;&gt;"",E154&gt;0,F154&gt;0,OR(CatSel="Todas",D154=CatSel)),H154+ROW()/1000000000,"")</f>
        <v/>
      </c>
    </row>
    <row r="155">
      <c r="B155" s="77" t="n"/>
      <c r="C155" s="77" t="n"/>
      <c r="D155" s="77" t="n"/>
      <c r="E155" s="78" t="n"/>
      <c r="F155" s="78" t="n"/>
      <c r="G155" s="79">
        <f>IF(OR(C155="",E155&lt;=0,DivMargen&lt;=0),0,IF(Redondeo&gt;0,CEILING(E155/DivMargen,Redondeo),E155/DivMargen))</f>
        <v/>
      </c>
      <c r="H155" s="79">
        <f>IF(OR(C155="",E155&lt;=0,F155&lt;=0),0,F155*DivBase-E155)</f>
        <v/>
      </c>
      <c r="I155" s="80">
        <f>IF(OR(C155="",E155&lt;=0,F155&lt;=0),0,H155/F155)</f>
        <v/>
      </c>
      <c r="J155" s="78" t="n"/>
      <c r="K155" s="79">
        <f>IF(OR(C155="",E155&lt;=0),0,E155*J155)</f>
        <v/>
      </c>
      <c r="L155" s="68">
        <f>IF(OR(C155="",E155&lt;=0),"",IF(F155&lt;=0,"Sin precio",IF(H155&lt;0,"PÉRDIDA",IF(I155&lt;MargenMin,"Margen bajo",IF(I155&lt;MargenObjReal,"Aceptable","Rentable")))))</f>
        <v/>
      </c>
      <c r="M155" s="77" t="n"/>
      <c r="N155" s="81">
        <f>IF(ISNUMBER(W155),RANK(W155,$W$7:$W$206),"")</f>
        <v/>
      </c>
      <c r="W155" s="82">
        <f>IF(AND(C155&lt;&gt;"",E155&gt;0,F155&gt;0),H155+ROW()/1000000000,"")</f>
        <v/>
      </c>
      <c r="X155" s="82">
        <f>IF(AND(C155&lt;&gt;"",E155&gt;0,F155&gt;0,OR(CatSel="Todas",D155=CatSel)),H155+ROW()/1000000000,"")</f>
        <v/>
      </c>
    </row>
    <row r="156">
      <c r="B156" s="77" t="n"/>
      <c r="C156" s="77" t="n"/>
      <c r="D156" s="77" t="n"/>
      <c r="E156" s="78" t="n"/>
      <c r="F156" s="78" t="n"/>
      <c r="G156" s="79">
        <f>IF(OR(C156="",E156&lt;=0,DivMargen&lt;=0),0,IF(Redondeo&gt;0,CEILING(E156/DivMargen,Redondeo),E156/DivMargen))</f>
        <v/>
      </c>
      <c r="H156" s="79">
        <f>IF(OR(C156="",E156&lt;=0,F156&lt;=0),0,F156*DivBase-E156)</f>
        <v/>
      </c>
      <c r="I156" s="80">
        <f>IF(OR(C156="",E156&lt;=0,F156&lt;=0),0,H156/F156)</f>
        <v/>
      </c>
      <c r="J156" s="78" t="n"/>
      <c r="K156" s="79">
        <f>IF(OR(C156="",E156&lt;=0),0,E156*J156)</f>
        <v/>
      </c>
      <c r="L156" s="68">
        <f>IF(OR(C156="",E156&lt;=0),"",IF(F156&lt;=0,"Sin precio",IF(H156&lt;0,"PÉRDIDA",IF(I156&lt;MargenMin,"Margen bajo",IF(I156&lt;MargenObjReal,"Aceptable","Rentable")))))</f>
        <v/>
      </c>
      <c r="M156" s="77" t="n"/>
      <c r="N156" s="81">
        <f>IF(ISNUMBER(W156),RANK(W156,$W$7:$W$206),"")</f>
        <v/>
      </c>
      <c r="W156" s="82">
        <f>IF(AND(C156&lt;&gt;"",E156&gt;0,F156&gt;0),H156+ROW()/1000000000,"")</f>
        <v/>
      </c>
      <c r="X156" s="82">
        <f>IF(AND(C156&lt;&gt;"",E156&gt;0,F156&gt;0,OR(CatSel="Todas",D156=CatSel)),H156+ROW()/1000000000,"")</f>
        <v/>
      </c>
    </row>
    <row r="157">
      <c r="B157" s="77" t="n"/>
      <c r="C157" s="77" t="n"/>
      <c r="D157" s="77" t="n"/>
      <c r="E157" s="78" t="n"/>
      <c r="F157" s="78" t="n"/>
      <c r="G157" s="79">
        <f>IF(OR(C157="",E157&lt;=0,DivMargen&lt;=0),0,IF(Redondeo&gt;0,CEILING(E157/DivMargen,Redondeo),E157/DivMargen))</f>
        <v/>
      </c>
      <c r="H157" s="79">
        <f>IF(OR(C157="",E157&lt;=0,F157&lt;=0),0,F157*DivBase-E157)</f>
        <v/>
      </c>
      <c r="I157" s="80">
        <f>IF(OR(C157="",E157&lt;=0,F157&lt;=0),0,H157/F157)</f>
        <v/>
      </c>
      <c r="J157" s="78" t="n"/>
      <c r="K157" s="79">
        <f>IF(OR(C157="",E157&lt;=0),0,E157*J157)</f>
        <v/>
      </c>
      <c r="L157" s="68">
        <f>IF(OR(C157="",E157&lt;=0),"",IF(F157&lt;=0,"Sin precio",IF(H157&lt;0,"PÉRDIDA",IF(I157&lt;MargenMin,"Margen bajo",IF(I157&lt;MargenObjReal,"Aceptable","Rentable")))))</f>
        <v/>
      </c>
      <c r="M157" s="77" t="n"/>
      <c r="N157" s="81">
        <f>IF(ISNUMBER(W157),RANK(W157,$W$7:$W$206),"")</f>
        <v/>
      </c>
      <c r="W157" s="82">
        <f>IF(AND(C157&lt;&gt;"",E157&gt;0,F157&gt;0),H157+ROW()/1000000000,"")</f>
        <v/>
      </c>
      <c r="X157" s="82">
        <f>IF(AND(C157&lt;&gt;"",E157&gt;0,F157&gt;0,OR(CatSel="Todas",D157=CatSel)),H157+ROW()/1000000000,"")</f>
        <v/>
      </c>
    </row>
    <row r="158">
      <c r="B158" s="77" t="n"/>
      <c r="C158" s="77" t="n"/>
      <c r="D158" s="77" t="n"/>
      <c r="E158" s="78" t="n"/>
      <c r="F158" s="78" t="n"/>
      <c r="G158" s="79">
        <f>IF(OR(C158="",E158&lt;=0,DivMargen&lt;=0),0,IF(Redondeo&gt;0,CEILING(E158/DivMargen,Redondeo),E158/DivMargen))</f>
        <v/>
      </c>
      <c r="H158" s="79">
        <f>IF(OR(C158="",E158&lt;=0,F158&lt;=0),0,F158*DivBase-E158)</f>
        <v/>
      </c>
      <c r="I158" s="80">
        <f>IF(OR(C158="",E158&lt;=0,F158&lt;=0),0,H158/F158)</f>
        <v/>
      </c>
      <c r="J158" s="78" t="n"/>
      <c r="K158" s="79">
        <f>IF(OR(C158="",E158&lt;=0),0,E158*J158)</f>
        <v/>
      </c>
      <c r="L158" s="68">
        <f>IF(OR(C158="",E158&lt;=0),"",IF(F158&lt;=0,"Sin precio",IF(H158&lt;0,"PÉRDIDA",IF(I158&lt;MargenMin,"Margen bajo",IF(I158&lt;MargenObjReal,"Aceptable","Rentable")))))</f>
        <v/>
      </c>
      <c r="M158" s="77" t="n"/>
      <c r="N158" s="81">
        <f>IF(ISNUMBER(W158),RANK(W158,$W$7:$W$206),"")</f>
        <v/>
      </c>
      <c r="W158" s="82">
        <f>IF(AND(C158&lt;&gt;"",E158&gt;0,F158&gt;0),H158+ROW()/1000000000,"")</f>
        <v/>
      </c>
      <c r="X158" s="82">
        <f>IF(AND(C158&lt;&gt;"",E158&gt;0,F158&gt;0,OR(CatSel="Todas",D158=CatSel)),H158+ROW()/1000000000,"")</f>
        <v/>
      </c>
    </row>
    <row r="159">
      <c r="B159" s="77" t="n"/>
      <c r="C159" s="77" t="n"/>
      <c r="D159" s="77" t="n"/>
      <c r="E159" s="78" t="n"/>
      <c r="F159" s="78" t="n"/>
      <c r="G159" s="79">
        <f>IF(OR(C159="",E159&lt;=0,DivMargen&lt;=0),0,IF(Redondeo&gt;0,CEILING(E159/DivMargen,Redondeo),E159/DivMargen))</f>
        <v/>
      </c>
      <c r="H159" s="79">
        <f>IF(OR(C159="",E159&lt;=0,F159&lt;=0),0,F159*DivBase-E159)</f>
        <v/>
      </c>
      <c r="I159" s="80">
        <f>IF(OR(C159="",E159&lt;=0,F159&lt;=0),0,H159/F159)</f>
        <v/>
      </c>
      <c r="J159" s="78" t="n"/>
      <c r="K159" s="79">
        <f>IF(OR(C159="",E159&lt;=0),0,E159*J159)</f>
        <v/>
      </c>
      <c r="L159" s="68">
        <f>IF(OR(C159="",E159&lt;=0),"",IF(F159&lt;=0,"Sin precio",IF(H159&lt;0,"PÉRDIDA",IF(I159&lt;MargenMin,"Margen bajo",IF(I159&lt;MargenObjReal,"Aceptable","Rentable")))))</f>
        <v/>
      </c>
      <c r="M159" s="77" t="n"/>
      <c r="N159" s="81">
        <f>IF(ISNUMBER(W159),RANK(W159,$W$7:$W$206),"")</f>
        <v/>
      </c>
      <c r="W159" s="82">
        <f>IF(AND(C159&lt;&gt;"",E159&gt;0,F159&gt;0),H159+ROW()/1000000000,"")</f>
        <v/>
      </c>
      <c r="X159" s="82">
        <f>IF(AND(C159&lt;&gt;"",E159&gt;0,F159&gt;0,OR(CatSel="Todas",D159=CatSel)),H159+ROW()/1000000000,"")</f>
        <v/>
      </c>
    </row>
    <row r="160">
      <c r="B160" s="77" t="n"/>
      <c r="C160" s="77" t="n"/>
      <c r="D160" s="77" t="n"/>
      <c r="E160" s="78" t="n"/>
      <c r="F160" s="78" t="n"/>
      <c r="G160" s="79">
        <f>IF(OR(C160="",E160&lt;=0,DivMargen&lt;=0),0,IF(Redondeo&gt;0,CEILING(E160/DivMargen,Redondeo),E160/DivMargen))</f>
        <v/>
      </c>
      <c r="H160" s="79">
        <f>IF(OR(C160="",E160&lt;=0,F160&lt;=0),0,F160*DivBase-E160)</f>
        <v/>
      </c>
      <c r="I160" s="80">
        <f>IF(OR(C160="",E160&lt;=0,F160&lt;=0),0,H160/F160)</f>
        <v/>
      </c>
      <c r="J160" s="78" t="n"/>
      <c r="K160" s="79">
        <f>IF(OR(C160="",E160&lt;=0),0,E160*J160)</f>
        <v/>
      </c>
      <c r="L160" s="68">
        <f>IF(OR(C160="",E160&lt;=0),"",IF(F160&lt;=0,"Sin precio",IF(H160&lt;0,"PÉRDIDA",IF(I160&lt;MargenMin,"Margen bajo",IF(I160&lt;MargenObjReal,"Aceptable","Rentable")))))</f>
        <v/>
      </c>
      <c r="M160" s="77" t="n"/>
      <c r="N160" s="81">
        <f>IF(ISNUMBER(W160),RANK(W160,$W$7:$W$206),"")</f>
        <v/>
      </c>
      <c r="W160" s="82">
        <f>IF(AND(C160&lt;&gt;"",E160&gt;0,F160&gt;0),H160+ROW()/1000000000,"")</f>
        <v/>
      </c>
      <c r="X160" s="82">
        <f>IF(AND(C160&lt;&gt;"",E160&gt;0,F160&gt;0,OR(CatSel="Todas",D160=CatSel)),H160+ROW()/1000000000,"")</f>
        <v/>
      </c>
    </row>
    <row r="161">
      <c r="B161" s="77" t="n"/>
      <c r="C161" s="77" t="n"/>
      <c r="D161" s="77" t="n"/>
      <c r="E161" s="78" t="n"/>
      <c r="F161" s="78" t="n"/>
      <c r="G161" s="79">
        <f>IF(OR(C161="",E161&lt;=0,DivMargen&lt;=0),0,IF(Redondeo&gt;0,CEILING(E161/DivMargen,Redondeo),E161/DivMargen))</f>
        <v/>
      </c>
      <c r="H161" s="79">
        <f>IF(OR(C161="",E161&lt;=0,F161&lt;=0),0,F161*DivBase-E161)</f>
        <v/>
      </c>
      <c r="I161" s="80">
        <f>IF(OR(C161="",E161&lt;=0,F161&lt;=0),0,H161/F161)</f>
        <v/>
      </c>
      <c r="J161" s="78" t="n"/>
      <c r="K161" s="79">
        <f>IF(OR(C161="",E161&lt;=0),0,E161*J161)</f>
        <v/>
      </c>
      <c r="L161" s="68">
        <f>IF(OR(C161="",E161&lt;=0),"",IF(F161&lt;=0,"Sin precio",IF(H161&lt;0,"PÉRDIDA",IF(I161&lt;MargenMin,"Margen bajo",IF(I161&lt;MargenObjReal,"Aceptable","Rentable")))))</f>
        <v/>
      </c>
      <c r="M161" s="77" t="n"/>
      <c r="N161" s="81">
        <f>IF(ISNUMBER(W161),RANK(W161,$W$7:$W$206),"")</f>
        <v/>
      </c>
      <c r="W161" s="82">
        <f>IF(AND(C161&lt;&gt;"",E161&gt;0,F161&gt;0),H161+ROW()/1000000000,"")</f>
        <v/>
      </c>
      <c r="X161" s="82">
        <f>IF(AND(C161&lt;&gt;"",E161&gt;0,F161&gt;0,OR(CatSel="Todas",D161=CatSel)),H161+ROW()/1000000000,"")</f>
        <v/>
      </c>
    </row>
    <row r="162">
      <c r="B162" s="77" t="n"/>
      <c r="C162" s="77" t="n"/>
      <c r="D162" s="77" t="n"/>
      <c r="E162" s="78" t="n"/>
      <c r="F162" s="78" t="n"/>
      <c r="G162" s="79">
        <f>IF(OR(C162="",E162&lt;=0,DivMargen&lt;=0),0,IF(Redondeo&gt;0,CEILING(E162/DivMargen,Redondeo),E162/DivMargen))</f>
        <v/>
      </c>
      <c r="H162" s="79">
        <f>IF(OR(C162="",E162&lt;=0,F162&lt;=0),0,F162*DivBase-E162)</f>
        <v/>
      </c>
      <c r="I162" s="80">
        <f>IF(OR(C162="",E162&lt;=0,F162&lt;=0),0,H162/F162)</f>
        <v/>
      </c>
      <c r="J162" s="78" t="n"/>
      <c r="K162" s="79">
        <f>IF(OR(C162="",E162&lt;=0),0,E162*J162)</f>
        <v/>
      </c>
      <c r="L162" s="68">
        <f>IF(OR(C162="",E162&lt;=0),"",IF(F162&lt;=0,"Sin precio",IF(H162&lt;0,"PÉRDIDA",IF(I162&lt;MargenMin,"Margen bajo",IF(I162&lt;MargenObjReal,"Aceptable","Rentable")))))</f>
        <v/>
      </c>
      <c r="M162" s="77" t="n"/>
      <c r="N162" s="81">
        <f>IF(ISNUMBER(W162),RANK(W162,$W$7:$W$206),"")</f>
        <v/>
      </c>
      <c r="W162" s="82">
        <f>IF(AND(C162&lt;&gt;"",E162&gt;0,F162&gt;0),H162+ROW()/1000000000,"")</f>
        <v/>
      </c>
      <c r="X162" s="82">
        <f>IF(AND(C162&lt;&gt;"",E162&gt;0,F162&gt;0,OR(CatSel="Todas",D162=CatSel)),H162+ROW()/1000000000,"")</f>
        <v/>
      </c>
    </row>
    <row r="163">
      <c r="B163" s="77" t="n"/>
      <c r="C163" s="77" t="n"/>
      <c r="D163" s="77" t="n"/>
      <c r="E163" s="78" t="n"/>
      <c r="F163" s="78" t="n"/>
      <c r="G163" s="79">
        <f>IF(OR(C163="",E163&lt;=0,DivMargen&lt;=0),0,IF(Redondeo&gt;0,CEILING(E163/DivMargen,Redondeo),E163/DivMargen))</f>
        <v/>
      </c>
      <c r="H163" s="79">
        <f>IF(OR(C163="",E163&lt;=0,F163&lt;=0),0,F163*DivBase-E163)</f>
        <v/>
      </c>
      <c r="I163" s="80">
        <f>IF(OR(C163="",E163&lt;=0,F163&lt;=0),0,H163/F163)</f>
        <v/>
      </c>
      <c r="J163" s="78" t="n"/>
      <c r="K163" s="79">
        <f>IF(OR(C163="",E163&lt;=0),0,E163*J163)</f>
        <v/>
      </c>
      <c r="L163" s="68">
        <f>IF(OR(C163="",E163&lt;=0),"",IF(F163&lt;=0,"Sin precio",IF(H163&lt;0,"PÉRDIDA",IF(I163&lt;MargenMin,"Margen bajo",IF(I163&lt;MargenObjReal,"Aceptable","Rentable")))))</f>
        <v/>
      </c>
      <c r="M163" s="77" t="n"/>
      <c r="N163" s="81">
        <f>IF(ISNUMBER(W163),RANK(W163,$W$7:$W$206),"")</f>
        <v/>
      </c>
      <c r="W163" s="82">
        <f>IF(AND(C163&lt;&gt;"",E163&gt;0,F163&gt;0),H163+ROW()/1000000000,"")</f>
        <v/>
      </c>
      <c r="X163" s="82">
        <f>IF(AND(C163&lt;&gt;"",E163&gt;0,F163&gt;0,OR(CatSel="Todas",D163=CatSel)),H163+ROW()/1000000000,"")</f>
        <v/>
      </c>
    </row>
    <row r="164">
      <c r="B164" s="77" t="n"/>
      <c r="C164" s="77" t="n"/>
      <c r="D164" s="77" t="n"/>
      <c r="E164" s="78" t="n"/>
      <c r="F164" s="78" t="n"/>
      <c r="G164" s="79">
        <f>IF(OR(C164="",E164&lt;=0,DivMargen&lt;=0),0,IF(Redondeo&gt;0,CEILING(E164/DivMargen,Redondeo),E164/DivMargen))</f>
        <v/>
      </c>
      <c r="H164" s="79">
        <f>IF(OR(C164="",E164&lt;=0,F164&lt;=0),0,F164*DivBase-E164)</f>
        <v/>
      </c>
      <c r="I164" s="80">
        <f>IF(OR(C164="",E164&lt;=0,F164&lt;=0),0,H164/F164)</f>
        <v/>
      </c>
      <c r="J164" s="78" t="n"/>
      <c r="K164" s="79">
        <f>IF(OR(C164="",E164&lt;=0),0,E164*J164)</f>
        <v/>
      </c>
      <c r="L164" s="68">
        <f>IF(OR(C164="",E164&lt;=0),"",IF(F164&lt;=0,"Sin precio",IF(H164&lt;0,"PÉRDIDA",IF(I164&lt;MargenMin,"Margen bajo",IF(I164&lt;MargenObjReal,"Aceptable","Rentable")))))</f>
        <v/>
      </c>
      <c r="M164" s="77" t="n"/>
      <c r="N164" s="81">
        <f>IF(ISNUMBER(W164),RANK(W164,$W$7:$W$206),"")</f>
        <v/>
      </c>
      <c r="W164" s="82">
        <f>IF(AND(C164&lt;&gt;"",E164&gt;0,F164&gt;0),H164+ROW()/1000000000,"")</f>
        <v/>
      </c>
      <c r="X164" s="82">
        <f>IF(AND(C164&lt;&gt;"",E164&gt;0,F164&gt;0,OR(CatSel="Todas",D164=CatSel)),H164+ROW()/1000000000,"")</f>
        <v/>
      </c>
    </row>
    <row r="165">
      <c r="B165" s="77" t="n"/>
      <c r="C165" s="77" t="n"/>
      <c r="D165" s="77" t="n"/>
      <c r="E165" s="78" t="n"/>
      <c r="F165" s="78" t="n"/>
      <c r="G165" s="79">
        <f>IF(OR(C165="",E165&lt;=0,DivMargen&lt;=0),0,IF(Redondeo&gt;0,CEILING(E165/DivMargen,Redondeo),E165/DivMargen))</f>
        <v/>
      </c>
      <c r="H165" s="79">
        <f>IF(OR(C165="",E165&lt;=0,F165&lt;=0),0,F165*DivBase-E165)</f>
        <v/>
      </c>
      <c r="I165" s="80">
        <f>IF(OR(C165="",E165&lt;=0,F165&lt;=0),0,H165/F165)</f>
        <v/>
      </c>
      <c r="J165" s="78" t="n"/>
      <c r="K165" s="79">
        <f>IF(OR(C165="",E165&lt;=0),0,E165*J165)</f>
        <v/>
      </c>
      <c r="L165" s="68">
        <f>IF(OR(C165="",E165&lt;=0),"",IF(F165&lt;=0,"Sin precio",IF(H165&lt;0,"PÉRDIDA",IF(I165&lt;MargenMin,"Margen bajo",IF(I165&lt;MargenObjReal,"Aceptable","Rentable")))))</f>
        <v/>
      </c>
      <c r="M165" s="77" t="n"/>
      <c r="N165" s="81">
        <f>IF(ISNUMBER(W165),RANK(W165,$W$7:$W$206),"")</f>
        <v/>
      </c>
      <c r="W165" s="82">
        <f>IF(AND(C165&lt;&gt;"",E165&gt;0,F165&gt;0),H165+ROW()/1000000000,"")</f>
        <v/>
      </c>
      <c r="X165" s="82">
        <f>IF(AND(C165&lt;&gt;"",E165&gt;0,F165&gt;0,OR(CatSel="Todas",D165=CatSel)),H165+ROW()/1000000000,"")</f>
        <v/>
      </c>
    </row>
    <row r="166">
      <c r="B166" s="77" t="n"/>
      <c r="C166" s="77" t="n"/>
      <c r="D166" s="77" t="n"/>
      <c r="E166" s="78" t="n"/>
      <c r="F166" s="78" t="n"/>
      <c r="G166" s="79">
        <f>IF(OR(C166="",E166&lt;=0,DivMargen&lt;=0),0,IF(Redondeo&gt;0,CEILING(E166/DivMargen,Redondeo),E166/DivMargen))</f>
        <v/>
      </c>
      <c r="H166" s="79">
        <f>IF(OR(C166="",E166&lt;=0,F166&lt;=0),0,F166*DivBase-E166)</f>
        <v/>
      </c>
      <c r="I166" s="80">
        <f>IF(OR(C166="",E166&lt;=0,F166&lt;=0),0,H166/F166)</f>
        <v/>
      </c>
      <c r="J166" s="78" t="n"/>
      <c r="K166" s="79">
        <f>IF(OR(C166="",E166&lt;=0),0,E166*J166)</f>
        <v/>
      </c>
      <c r="L166" s="68">
        <f>IF(OR(C166="",E166&lt;=0),"",IF(F166&lt;=0,"Sin precio",IF(H166&lt;0,"PÉRDIDA",IF(I166&lt;MargenMin,"Margen bajo",IF(I166&lt;MargenObjReal,"Aceptable","Rentable")))))</f>
        <v/>
      </c>
      <c r="M166" s="77" t="n"/>
      <c r="N166" s="81">
        <f>IF(ISNUMBER(W166),RANK(W166,$W$7:$W$206),"")</f>
        <v/>
      </c>
      <c r="W166" s="82">
        <f>IF(AND(C166&lt;&gt;"",E166&gt;0,F166&gt;0),H166+ROW()/1000000000,"")</f>
        <v/>
      </c>
      <c r="X166" s="82">
        <f>IF(AND(C166&lt;&gt;"",E166&gt;0,F166&gt;0,OR(CatSel="Todas",D166=CatSel)),H166+ROW()/1000000000,"")</f>
        <v/>
      </c>
    </row>
    <row r="167">
      <c r="B167" s="77" t="n"/>
      <c r="C167" s="77" t="n"/>
      <c r="D167" s="77" t="n"/>
      <c r="E167" s="78" t="n"/>
      <c r="F167" s="78" t="n"/>
      <c r="G167" s="79">
        <f>IF(OR(C167="",E167&lt;=0,DivMargen&lt;=0),0,IF(Redondeo&gt;0,CEILING(E167/DivMargen,Redondeo),E167/DivMargen))</f>
        <v/>
      </c>
      <c r="H167" s="79">
        <f>IF(OR(C167="",E167&lt;=0,F167&lt;=0),0,F167*DivBase-E167)</f>
        <v/>
      </c>
      <c r="I167" s="80">
        <f>IF(OR(C167="",E167&lt;=0,F167&lt;=0),0,H167/F167)</f>
        <v/>
      </c>
      <c r="J167" s="78" t="n"/>
      <c r="K167" s="79">
        <f>IF(OR(C167="",E167&lt;=0),0,E167*J167)</f>
        <v/>
      </c>
      <c r="L167" s="68">
        <f>IF(OR(C167="",E167&lt;=0),"",IF(F167&lt;=0,"Sin precio",IF(H167&lt;0,"PÉRDIDA",IF(I167&lt;MargenMin,"Margen bajo",IF(I167&lt;MargenObjReal,"Aceptable","Rentable")))))</f>
        <v/>
      </c>
      <c r="M167" s="77" t="n"/>
      <c r="N167" s="81">
        <f>IF(ISNUMBER(W167),RANK(W167,$W$7:$W$206),"")</f>
        <v/>
      </c>
      <c r="W167" s="82">
        <f>IF(AND(C167&lt;&gt;"",E167&gt;0,F167&gt;0),H167+ROW()/1000000000,"")</f>
        <v/>
      </c>
      <c r="X167" s="82">
        <f>IF(AND(C167&lt;&gt;"",E167&gt;0,F167&gt;0,OR(CatSel="Todas",D167=CatSel)),H167+ROW()/1000000000,"")</f>
        <v/>
      </c>
    </row>
    <row r="168">
      <c r="B168" s="77" t="n"/>
      <c r="C168" s="77" t="n"/>
      <c r="D168" s="77" t="n"/>
      <c r="E168" s="78" t="n"/>
      <c r="F168" s="78" t="n"/>
      <c r="G168" s="79">
        <f>IF(OR(C168="",E168&lt;=0,DivMargen&lt;=0),0,IF(Redondeo&gt;0,CEILING(E168/DivMargen,Redondeo),E168/DivMargen))</f>
        <v/>
      </c>
      <c r="H168" s="79">
        <f>IF(OR(C168="",E168&lt;=0,F168&lt;=0),0,F168*DivBase-E168)</f>
        <v/>
      </c>
      <c r="I168" s="80">
        <f>IF(OR(C168="",E168&lt;=0,F168&lt;=0),0,H168/F168)</f>
        <v/>
      </c>
      <c r="J168" s="78" t="n"/>
      <c r="K168" s="79">
        <f>IF(OR(C168="",E168&lt;=0),0,E168*J168)</f>
        <v/>
      </c>
      <c r="L168" s="68">
        <f>IF(OR(C168="",E168&lt;=0),"",IF(F168&lt;=0,"Sin precio",IF(H168&lt;0,"PÉRDIDA",IF(I168&lt;MargenMin,"Margen bajo",IF(I168&lt;MargenObjReal,"Aceptable","Rentable")))))</f>
        <v/>
      </c>
      <c r="M168" s="77" t="n"/>
      <c r="N168" s="81">
        <f>IF(ISNUMBER(W168),RANK(W168,$W$7:$W$206),"")</f>
        <v/>
      </c>
      <c r="W168" s="82">
        <f>IF(AND(C168&lt;&gt;"",E168&gt;0,F168&gt;0),H168+ROW()/1000000000,"")</f>
        <v/>
      </c>
      <c r="X168" s="82">
        <f>IF(AND(C168&lt;&gt;"",E168&gt;0,F168&gt;0,OR(CatSel="Todas",D168=CatSel)),H168+ROW()/1000000000,"")</f>
        <v/>
      </c>
    </row>
    <row r="169">
      <c r="B169" s="77" t="n"/>
      <c r="C169" s="77" t="n"/>
      <c r="D169" s="77" t="n"/>
      <c r="E169" s="78" t="n"/>
      <c r="F169" s="78" t="n"/>
      <c r="G169" s="79">
        <f>IF(OR(C169="",E169&lt;=0,DivMargen&lt;=0),0,IF(Redondeo&gt;0,CEILING(E169/DivMargen,Redondeo),E169/DivMargen))</f>
        <v/>
      </c>
      <c r="H169" s="79">
        <f>IF(OR(C169="",E169&lt;=0,F169&lt;=0),0,F169*DivBase-E169)</f>
        <v/>
      </c>
      <c r="I169" s="80">
        <f>IF(OR(C169="",E169&lt;=0,F169&lt;=0),0,H169/F169)</f>
        <v/>
      </c>
      <c r="J169" s="78" t="n"/>
      <c r="K169" s="79">
        <f>IF(OR(C169="",E169&lt;=0),0,E169*J169)</f>
        <v/>
      </c>
      <c r="L169" s="68">
        <f>IF(OR(C169="",E169&lt;=0),"",IF(F169&lt;=0,"Sin precio",IF(H169&lt;0,"PÉRDIDA",IF(I169&lt;MargenMin,"Margen bajo",IF(I169&lt;MargenObjReal,"Aceptable","Rentable")))))</f>
        <v/>
      </c>
      <c r="M169" s="77" t="n"/>
      <c r="N169" s="81">
        <f>IF(ISNUMBER(W169),RANK(W169,$W$7:$W$206),"")</f>
        <v/>
      </c>
      <c r="W169" s="82">
        <f>IF(AND(C169&lt;&gt;"",E169&gt;0,F169&gt;0),H169+ROW()/1000000000,"")</f>
        <v/>
      </c>
      <c r="X169" s="82">
        <f>IF(AND(C169&lt;&gt;"",E169&gt;0,F169&gt;0,OR(CatSel="Todas",D169=CatSel)),H169+ROW()/1000000000,"")</f>
        <v/>
      </c>
    </row>
    <row r="170">
      <c r="B170" s="77" t="n"/>
      <c r="C170" s="77" t="n"/>
      <c r="D170" s="77" t="n"/>
      <c r="E170" s="78" t="n"/>
      <c r="F170" s="78" t="n"/>
      <c r="G170" s="79">
        <f>IF(OR(C170="",E170&lt;=0,DivMargen&lt;=0),0,IF(Redondeo&gt;0,CEILING(E170/DivMargen,Redondeo),E170/DivMargen))</f>
        <v/>
      </c>
      <c r="H170" s="79">
        <f>IF(OR(C170="",E170&lt;=0,F170&lt;=0),0,F170*DivBase-E170)</f>
        <v/>
      </c>
      <c r="I170" s="80">
        <f>IF(OR(C170="",E170&lt;=0,F170&lt;=0),0,H170/F170)</f>
        <v/>
      </c>
      <c r="J170" s="78" t="n"/>
      <c r="K170" s="79">
        <f>IF(OR(C170="",E170&lt;=0),0,E170*J170)</f>
        <v/>
      </c>
      <c r="L170" s="68">
        <f>IF(OR(C170="",E170&lt;=0),"",IF(F170&lt;=0,"Sin precio",IF(H170&lt;0,"PÉRDIDA",IF(I170&lt;MargenMin,"Margen bajo",IF(I170&lt;MargenObjReal,"Aceptable","Rentable")))))</f>
        <v/>
      </c>
      <c r="M170" s="77" t="n"/>
      <c r="N170" s="81">
        <f>IF(ISNUMBER(W170),RANK(W170,$W$7:$W$206),"")</f>
        <v/>
      </c>
      <c r="W170" s="82">
        <f>IF(AND(C170&lt;&gt;"",E170&gt;0,F170&gt;0),H170+ROW()/1000000000,"")</f>
        <v/>
      </c>
      <c r="X170" s="82">
        <f>IF(AND(C170&lt;&gt;"",E170&gt;0,F170&gt;0,OR(CatSel="Todas",D170=CatSel)),H170+ROW()/1000000000,"")</f>
        <v/>
      </c>
    </row>
    <row r="171">
      <c r="B171" s="77" t="n"/>
      <c r="C171" s="77" t="n"/>
      <c r="D171" s="77" t="n"/>
      <c r="E171" s="78" t="n"/>
      <c r="F171" s="78" t="n"/>
      <c r="G171" s="79">
        <f>IF(OR(C171="",E171&lt;=0,DivMargen&lt;=0),0,IF(Redondeo&gt;0,CEILING(E171/DivMargen,Redondeo),E171/DivMargen))</f>
        <v/>
      </c>
      <c r="H171" s="79">
        <f>IF(OR(C171="",E171&lt;=0,F171&lt;=0),0,F171*DivBase-E171)</f>
        <v/>
      </c>
      <c r="I171" s="80">
        <f>IF(OR(C171="",E171&lt;=0,F171&lt;=0),0,H171/F171)</f>
        <v/>
      </c>
      <c r="J171" s="78" t="n"/>
      <c r="K171" s="79">
        <f>IF(OR(C171="",E171&lt;=0),0,E171*J171)</f>
        <v/>
      </c>
      <c r="L171" s="68">
        <f>IF(OR(C171="",E171&lt;=0),"",IF(F171&lt;=0,"Sin precio",IF(H171&lt;0,"PÉRDIDA",IF(I171&lt;MargenMin,"Margen bajo",IF(I171&lt;MargenObjReal,"Aceptable","Rentable")))))</f>
        <v/>
      </c>
      <c r="M171" s="77" t="n"/>
      <c r="N171" s="81">
        <f>IF(ISNUMBER(W171),RANK(W171,$W$7:$W$206),"")</f>
        <v/>
      </c>
      <c r="W171" s="82">
        <f>IF(AND(C171&lt;&gt;"",E171&gt;0,F171&gt;0),H171+ROW()/1000000000,"")</f>
        <v/>
      </c>
      <c r="X171" s="82">
        <f>IF(AND(C171&lt;&gt;"",E171&gt;0,F171&gt;0,OR(CatSel="Todas",D171=CatSel)),H171+ROW()/1000000000,"")</f>
        <v/>
      </c>
    </row>
    <row r="172">
      <c r="B172" s="77" t="n"/>
      <c r="C172" s="77" t="n"/>
      <c r="D172" s="77" t="n"/>
      <c r="E172" s="78" t="n"/>
      <c r="F172" s="78" t="n"/>
      <c r="G172" s="79">
        <f>IF(OR(C172="",E172&lt;=0,DivMargen&lt;=0),0,IF(Redondeo&gt;0,CEILING(E172/DivMargen,Redondeo),E172/DivMargen))</f>
        <v/>
      </c>
      <c r="H172" s="79">
        <f>IF(OR(C172="",E172&lt;=0,F172&lt;=0),0,F172*DivBase-E172)</f>
        <v/>
      </c>
      <c r="I172" s="80">
        <f>IF(OR(C172="",E172&lt;=0,F172&lt;=0),0,H172/F172)</f>
        <v/>
      </c>
      <c r="J172" s="78" t="n"/>
      <c r="K172" s="79">
        <f>IF(OR(C172="",E172&lt;=0),0,E172*J172)</f>
        <v/>
      </c>
      <c r="L172" s="68">
        <f>IF(OR(C172="",E172&lt;=0),"",IF(F172&lt;=0,"Sin precio",IF(H172&lt;0,"PÉRDIDA",IF(I172&lt;MargenMin,"Margen bajo",IF(I172&lt;MargenObjReal,"Aceptable","Rentable")))))</f>
        <v/>
      </c>
      <c r="M172" s="77" t="n"/>
      <c r="N172" s="81">
        <f>IF(ISNUMBER(W172),RANK(W172,$W$7:$W$206),"")</f>
        <v/>
      </c>
      <c r="W172" s="82">
        <f>IF(AND(C172&lt;&gt;"",E172&gt;0,F172&gt;0),H172+ROW()/1000000000,"")</f>
        <v/>
      </c>
      <c r="X172" s="82">
        <f>IF(AND(C172&lt;&gt;"",E172&gt;0,F172&gt;0,OR(CatSel="Todas",D172=CatSel)),H172+ROW()/1000000000,"")</f>
        <v/>
      </c>
    </row>
    <row r="173">
      <c r="B173" s="77" t="n"/>
      <c r="C173" s="77" t="n"/>
      <c r="D173" s="77" t="n"/>
      <c r="E173" s="78" t="n"/>
      <c r="F173" s="78" t="n"/>
      <c r="G173" s="79">
        <f>IF(OR(C173="",E173&lt;=0,DivMargen&lt;=0),0,IF(Redondeo&gt;0,CEILING(E173/DivMargen,Redondeo),E173/DivMargen))</f>
        <v/>
      </c>
      <c r="H173" s="79">
        <f>IF(OR(C173="",E173&lt;=0,F173&lt;=0),0,F173*DivBase-E173)</f>
        <v/>
      </c>
      <c r="I173" s="80">
        <f>IF(OR(C173="",E173&lt;=0,F173&lt;=0),0,H173/F173)</f>
        <v/>
      </c>
      <c r="J173" s="78" t="n"/>
      <c r="K173" s="79">
        <f>IF(OR(C173="",E173&lt;=0),0,E173*J173)</f>
        <v/>
      </c>
      <c r="L173" s="68">
        <f>IF(OR(C173="",E173&lt;=0),"",IF(F173&lt;=0,"Sin precio",IF(H173&lt;0,"PÉRDIDA",IF(I173&lt;MargenMin,"Margen bajo",IF(I173&lt;MargenObjReal,"Aceptable","Rentable")))))</f>
        <v/>
      </c>
      <c r="M173" s="77" t="n"/>
      <c r="N173" s="81">
        <f>IF(ISNUMBER(W173),RANK(W173,$W$7:$W$206),"")</f>
        <v/>
      </c>
      <c r="W173" s="82">
        <f>IF(AND(C173&lt;&gt;"",E173&gt;0,F173&gt;0),H173+ROW()/1000000000,"")</f>
        <v/>
      </c>
      <c r="X173" s="82">
        <f>IF(AND(C173&lt;&gt;"",E173&gt;0,F173&gt;0,OR(CatSel="Todas",D173=CatSel)),H173+ROW()/1000000000,"")</f>
        <v/>
      </c>
    </row>
    <row r="174">
      <c r="B174" s="77" t="n"/>
      <c r="C174" s="77" t="n"/>
      <c r="D174" s="77" t="n"/>
      <c r="E174" s="78" t="n"/>
      <c r="F174" s="78" t="n"/>
      <c r="G174" s="79">
        <f>IF(OR(C174="",E174&lt;=0,DivMargen&lt;=0),0,IF(Redondeo&gt;0,CEILING(E174/DivMargen,Redondeo),E174/DivMargen))</f>
        <v/>
      </c>
      <c r="H174" s="79">
        <f>IF(OR(C174="",E174&lt;=0,F174&lt;=0),0,F174*DivBase-E174)</f>
        <v/>
      </c>
      <c r="I174" s="80">
        <f>IF(OR(C174="",E174&lt;=0,F174&lt;=0),0,H174/F174)</f>
        <v/>
      </c>
      <c r="J174" s="78" t="n"/>
      <c r="K174" s="79">
        <f>IF(OR(C174="",E174&lt;=0),0,E174*J174)</f>
        <v/>
      </c>
      <c r="L174" s="68">
        <f>IF(OR(C174="",E174&lt;=0),"",IF(F174&lt;=0,"Sin precio",IF(H174&lt;0,"PÉRDIDA",IF(I174&lt;MargenMin,"Margen bajo",IF(I174&lt;MargenObjReal,"Aceptable","Rentable")))))</f>
        <v/>
      </c>
      <c r="M174" s="77" t="n"/>
      <c r="N174" s="81">
        <f>IF(ISNUMBER(W174),RANK(W174,$W$7:$W$206),"")</f>
        <v/>
      </c>
      <c r="W174" s="82">
        <f>IF(AND(C174&lt;&gt;"",E174&gt;0,F174&gt;0),H174+ROW()/1000000000,"")</f>
        <v/>
      </c>
      <c r="X174" s="82">
        <f>IF(AND(C174&lt;&gt;"",E174&gt;0,F174&gt;0,OR(CatSel="Todas",D174=CatSel)),H174+ROW()/1000000000,"")</f>
        <v/>
      </c>
    </row>
    <row r="175">
      <c r="B175" s="77" t="n"/>
      <c r="C175" s="77" t="n"/>
      <c r="D175" s="77" t="n"/>
      <c r="E175" s="78" t="n"/>
      <c r="F175" s="78" t="n"/>
      <c r="G175" s="79">
        <f>IF(OR(C175="",E175&lt;=0,DivMargen&lt;=0),0,IF(Redondeo&gt;0,CEILING(E175/DivMargen,Redondeo),E175/DivMargen))</f>
        <v/>
      </c>
      <c r="H175" s="79">
        <f>IF(OR(C175="",E175&lt;=0,F175&lt;=0),0,F175*DivBase-E175)</f>
        <v/>
      </c>
      <c r="I175" s="80">
        <f>IF(OR(C175="",E175&lt;=0,F175&lt;=0),0,H175/F175)</f>
        <v/>
      </c>
      <c r="J175" s="78" t="n"/>
      <c r="K175" s="79">
        <f>IF(OR(C175="",E175&lt;=0),0,E175*J175)</f>
        <v/>
      </c>
      <c r="L175" s="68">
        <f>IF(OR(C175="",E175&lt;=0),"",IF(F175&lt;=0,"Sin precio",IF(H175&lt;0,"PÉRDIDA",IF(I175&lt;MargenMin,"Margen bajo",IF(I175&lt;MargenObjReal,"Aceptable","Rentable")))))</f>
        <v/>
      </c>
      <c r="M175" s="77" t="n"/>
      <c r="N175" s="81">
        <f>IF(ISNUMBER(W175),RANK(W175,$W$7:$W$206),"")</f>
        <v/>
      </c>
      <c r="W175" s="82">
        <f>IF(AND(C175&lt;&gt;"",E175&gt;0,F175&gt;0),H175+ROW()/1000000000,"")</f>
        <v/>
      </c>
      <c r="X175" s="82">
        <f>IF(AND(C175&lt;&gt;"",E175&gt;0,F175&gt;0,OR(CatSel="Todas",D175=CatSel)),H175+ROW()/1000000000,"")</f>
        <v/>
      </c>
    </row>
    <row r="176">
      <c r="B176" s="77" t="n"/>
      <c r="C176" s="77" t="n"/>
      <c r="D176" s="77" t="n"/>
      <c r="E176" s="78" t="n"/>
      <c r="F176" s="78" t="n"/>
      <c r="G176" s="79">
        <f>IF(OR(C176="",E176&lt;=0,DivMargen&lt;=0),0,IF(Redondeo&gt;0,CEILING(E176/DivMargen,Redondeo),E176/DivMargen))</f>
        <v/>
      </c>
      <c r="H176" s="79">
        <f>IF(OR(C176="",E176&lt;=0,F176&lt;=0),0,F176*DivBase-E176)</f>
        <v/>
      </c>
      <c r="I176" s="80">
        <f>IF(OR(C176="",E176&lt;=0,F176&lt;=0),0,H176/F176)</f>
        <v/>
      </c>
      <c r="J176" s="78" t="n"/>
      <c r="K176" s="79">
        <f>IF(OR(C176="",E176&lt;=0),0,E176*J176)</f>
        <v/>
      </c>
      <c r="L176" s="68">
        <f>IF(OR(C176="",E176&lt;=0),"",IF(F176&lt;=0,"Sin precio",IF(H176&lt;0,"PÉRDIDA",IF(I176&lt;MargenMin,"Margen bajo",IF(I176&lt;MargenObjReal,"Aceptable","Rentable")))))</f>
        <v/>
      </c>
      <c r="M176" s="77" t="n"/>
      <c r="N176" s="81">
        <f>IF(ISNUMBER(W176),RANK(W176,$W$7:$W$206),"")</f>
        <v/>
      </c>
      <c r="W176" s="82">
        <f>IF(AND(C176&lt;&gt;"",E176&gt;0,F176&gt;0),H176+ROW()/1000000000,"")</f>
        <v/>
      </c>
      <c r="X176" s="82">
        <f>IF(AND(C176&lt;&gt;"",E176&gt;0,F176&gt;0,OR(CatSel="Todas",D176=CatSel)),H176+ROW()/1000000000,"")</f>
        <v/>
      </c>
    </row>
    <row r="177">
      <c r="B177" s="77" t="n"/>
      <c r="C177" s="77" t="n"/>
      <c r="D177" s="77" t="n"/>
      <c r="E177" s="78" t="n"/>
      <c r="F177" s="78" t="n"/>
      <c r="G177" s="79">
        <f>IF(OR(C177="",E177&lt;=0,DivMargen&lt;=0),0,IF(Redondeo&gt;0,CEILING(E177/DivMargen,Redondeo),E177/DivMargen))</f>
        <v/>
      </c>
      <c r="H177" s="79">
        <f>IF(OR(C177="",E177&lt;=0,F177&lt;=0),0,F177*DivBase-E177)</f>
        <v/>
      </c>
      <c r="I177" s="80">
        <f>IF(OR(C177="",E177&lt;=0,F177&lt;=0),0,H177/F177)</f>
        <v/>
      </c>
      <c r="J177" s="78" t="n"/>
      <c r="K177" s="79">
        <f>IF(OR(C177="",E177&lt;=0),0,E177*J177)</f>
        <v/>
      </c>
      <c r="L177" s="68">
        <f>IF(OR(C177="",E177&lt;=0),"",IF(F177&lt;=0,"Sin precio",IF(H177&lt;0,"PÉRDIDA",IF(I177&lt;MargenMin,"Margen bajo",IF(I177&lt;MargenObjReal,"Aceptable","Rentable")))))</f>
        <v/>
      </c>
      <c r="M177" s="77" t="n"/>
      <c r="N177" s="81">
        <f>IF(ISNUMBER(W177),RANK(W177,$W$7:$W$206),"")</f>
        <v/>
      </c>
      <c r="W177" s="82">
        <f>IF(AND(C177&lt;&gt;"",E177&gt;0,F177&gt;0),H177+ROW()/1000000000,"")</f>
        <v/>
      </c>
      <c r="X177" s="82">
        <f>IF(AND(C177&lt;&gt;"",E177&gt;0,F177&gt;0,OR(CatSel="Todas",D177=CatSel)),H177+ROW()/1000000000,"")</f>
        <v/>
      </c>
    </row>
    <row r="178">
      <c r="B178" s="77" t="n"/>
      <c r="C178" s="77" t="n"/>
      <c r="D178" s="77" t="n"/>
      <c r="E178" s="78" t="n"/>
      <c r="F178" s="78" t="n"/>
      <c r="G178" s="79">
        <f>IF(OR(C178="",E178&lt;=0,DivMargen&lt;=0),0,IF(Redondeo&gt;0,CEILING(E178/DivMargen,Redondeo),E178/DivMargen))</f>
        <v/>
      </c>
      <c r="H178" s="79">
        <f>IF(OR(C178="",E178&lt;=0,F178&lt;=0),0,F178*DivBase-E178)</f>
        <v/>
      </c>
      <c r="I178" s="80">
        <f>IF(OR(C178="",E178&lt;=0,F178&lt;=0),0,H178/F178)</f>
        <v/>
      </c>
      <c r="J178" s="78" t="n"/>
      <c r="K178" s="79">
        <f>IF(OR(C178="",E178&lt;=0),0,E178*J178)</f>
        <v/>
      </c>
      <c r="L178" s="68">
        <f>IF(OR(C178="",E178&lt;=0),"",IF(F178&lt;=0,"Sin precio",IF(H178&lt;0,"PÉRDIDA",IF(I178&lt;MargenMin,"Margen bajo",IF(I178&lt;MargenObjReal,"Aceptable","Rentable")))))</f>
        <v/>
      </c>
      <c r="M178" s="77" t="n"/>
      <c r="N178" s="81">
        <f>IF(ISNUMBER(W178),RANK(W178,$W$7:$W$206),"")</f>
        <v/>
      </c>
      <c r="W178" s="82">
        <f>IF(AND(C178&lt;&gt;"",E178&gt;0,F178&gt;0),H178+ROW()/1000000000,"")</f>
        <v/>
      </c>
      <c r="X178" s="82">
        <f>IF(AND(C178&lt;&gt;"",E178&gt;0,F178&gt;0,OR(CatSel="Todas",D178=CatSel)),H178+ROW()/1000000000,"")</f>
        <v/>
      </c>
    </row>
    <row r="179">
      <c r="B179" s="77" t="n"/>
      <c r="C179" s="77" t="n"/>
      <c r="D179" s="77" t="n"/>
      <c r="E179" s="78" t="n"/>
      <c r="F179" s="78" t="n"/>
      <c r="G179" s="79">
        <f>IF(OR(C179="",E179&lt;=0,DivMargen&lt;=0),0,IF(Redondeo&gt;0,CEILING(E179/DivMargen,Redondeo),E179/DivMargen))</f>
        <v/>
      </c>
      <c r="H179" s="79">
        <f>IF(OR(C179="",E179&lt;=0,F179&lt;=0),0,F179*DivBase-E179)</f>
        <v/>
      </c>
      <c r="I179" s="80">
        <f>IF(OR(C179="",E179&lt;=0,F179&lt;=0),0,H179/F179)</f>
        <v/>
      </c>
      <c r="J179" s="78" t="n"/>
      <c r="K179" s="79">
        <f>IF(OR(C179="",E179&lt;=0),0,E179*J179)</f>
        <v/>
      </c>
      <c r="L179" s="68">
        <f>IF(OR(C179="",E179&lt;=0),"",IF(F179&lt;=0,"Sin precio",IF(H179&lt;0,"PÉRDIDA",IF(I179&lt;MargenMin,"Margen bajo",IF(I179&lt;MargenObjReal,"Aceptable","Rentable")))))</f>
        <v/>
      </c>
      <c r="M179" s="77" t="n"/>
      <c r="N179" s="81">
        <f>IF(ISNUMBER(W179),RANK(W179,$W$7:$W$206),"")</f>
        <v/>
      </c>
      <c r="W179" s="82">
        <f>IF(AND(C179&lt;&gt;"",E179&gt;0,F179&gt;0),H179+ROW()/1000000000,"")</f>
        <v/>
      </c>
      <c r="X179" s="82">
        <f>IF(AND(C179&lt;&gt;"",E179&gt;0,F179&gt;0,OR(CatSel="Todas",D179=CatSel)),H179+ROW()/1000000000,"")</f>
        <v/>
      </c>
    </row>
    <row r="180">
      <c r="B180" s="77" t="n"/>
      <c r="C180" s="77" t="n"/>
      <c r="D180" s="77" t="n"/>
      <c r="E180" s="78" t="n"/>
      <c r="F180" s="78" t="n"/>
      <c r="G180" s="79">
        <f>IF(OR(C180="",E180&lt;=0,DivMargen&lt;=0),0,IF(Redondeo&gt;0,CEILING(E180/DivMargen,Redondeo),E180/DivMargen))</f>
        <v/>
      </c>
      <c r="H180" s="79">
        <f>IF(OR(C180="",E180&lt;=0,F180&lt;=0),0,F180*DivBase-E180)</f>
        <v/>
      </c>
      <c r="I180" s="80">
        <f>IF(OR(C180="",E180&lt;=0,F180&lt;=0),0,H180/F180)</f>
        <v/>
      </c>
      <c r="J180" s="78" t="n"/>
      <c r="K180" s="79">
        <f>IF(OR(C180="",E180&lt;=0),0,E180*J180)</f>
        <v/>
      </c>
      <c r="L180" s="68">
        <f>IF(OR(C180="",E180&lt;=0),"",IF(F180&lt;=0,"Sin precio",IF(H180&lt;0,"PÉRDIDA",IF(I180&lt;MargenMin,"Margen bajo",IF(I180&lt;MargenObjReal,"Aceptable","Rentable")))))</f>
        <v/>
      </c>
      <c r="M180" s="77" t="n"/>
      <c r="N180" s="81">
        <f>IF(ISNUMBER(W180),RANK(W180,$W$7:$W$206),"")</f>
        <v/>
      </c>
      <c r="W180" s="82">
        <f>IF(AND(C180&lt;&gt;"",E180&gt;0,F180&gt;0),H180+ROW()/1000000000,"")</f>
        <v/>
      </c>
      <c r="X180" s="82">
        <f>IF(AND(C180&lt;&gt;"",E180&gt;0,F180&gt;0,OR(CatSel="Todas",D180=CatSel)),H180+ROW()/1000000000,"")</f>
        <v/>
      </c>
    </row>
    <row r="181">
      <c r="B181" s="77" t="n"/>
      <c r="C181" s="77" t="n"/>
      <c r="D181" s="77" t="n"/>
      <c r="E181" s="78" t="n"/>
      <c r="F181" s="78" t="n"/>
      <c r="G181" s="79">
        <f>IF(OR(C181="",E181&lt;=0,DivMargen&lt;=0),0,IF(Redondeo&gt;0,CEILING(E181/DivMargen,Redondeo),E181/DivMargen))</f>
        <v/>
      </c>
      <c r="H181" s="79">
        <f>IF(OR(C181="",E181&lt;=0,F181&lt;=0),0,F181*DivBase-E181)</f>
        <v/>
      </c>
      <c r="I181" s="80">
        <f>IF(OR(C181="",E181&lt;=0,F181&lt;=0),0,H181/F181)</f>
        <v/>
      </c>
      <c r="J181" s="78" t="n"/>
      <c r="K181" s="79">
        <f>IF(OR(C181="",E181&lt;=0),0,E181*J181)</f>
        <v/>
      </c>
      <c r="L181" s="68">
        <f>IF(OR(C181="",E181&lt;=0),"",IF(F181&lt;=0,"Sin precio",IF(H181&lt;0,"PÉRDIDA",IF(I181&lt;MargenMin,"Margen bajo",IF(I181&lt;MargenObjReal,"Aceptable","Rentable")))))</f>
        <v/>
      </c>
      <c r="M181" s="77" t="n"/>
      <c r="N181" s="81">
        <f>IF(ISNUMBER(W181),RANK(W181,$W$7:$W$206),"")</f>
        <v/>
      </c>
      <c r="W181" s="82">
        <f>IF(AND(C181&lt;&gt;"",E181&gt;0,F181&gt;0),H181+ROW()/1000000000,"")</f>
        <v/>
      </c>
      <c r="X181" s="82">
        <f>IF(AND(C181&lt;&gt;"",E181&gt;0,F181&gt;0,OR(CatSel="Todas",D181=CatSel)),H181+ROW()/1000000000,"")</f>
        <v/>
      </c>
    </row>
    <row r="182">
      <c r="B182" s="77" t="n"/>
      <c r="C182" s="77" t="n"/>
      <c r="D182" s="77" t="n"/>
      <c r="E182" s="78" t="n"/>
      <c r="F182" s="78" t="n"/>
      <c r="G182" s="79">
        <f>IF(OR(C182="",E182&lt;=0,DivMargen&lt;=0),0,IF(Redondeo&gt;0,CEILING(E182/DivMargen,Redondeo),E182/DivMargen))</f>
        <v/>
      </c>
      <c r="H182" s="79">
        <f>IF(OR(C182="",E182&lt;=0,F182&lt;=0),0,F182*DivBase-E182)</f>
        <v/>
      </c>
      <c r="I182" s="80">
        <f>IF(OR(C182="",E182&lt;=0,F182&lt;=0),0,H182/F182)</f>
        <v/>
      </c>
      <c r="J182" s="78" t="n"/>
      <c r="K182" s="79">
        <f>IF(OR(C182="",E182&lt;=0),0,E182*J182)</f>
        <v/>
      </c>
      <c r="L182" s="68">
        <f>IF(OR(C182="",E182&lt;=0),"",IF(F182&lt;=0,"Sin precio",IF(H182&lt;0,"PÉRDIDA",IF(I182&lt;MargenMin,"Margen bajo",IF(I182&lt;MargenObjReal,"Aceptable","Rentable")))))</f>
        <v/>
      </c>
      <c r="M182" s="77" t="n"/>
      <c r="N182" s="81">
        <f>IF(ISNUMBER(W182),RANK(W182,$W$7:$W$206),"")</f>
        <v/>
      </c>
      <c r="W182" s="82">
        <f>IF(AND(C182&lt;&gt;"",E182&gt;0,F182&gt;0),H182+ROW()/1000000000,"")</f>
        <v/>
      </c>
      <c r="X182" s="82">
        <f>IF(AND(C182&lt;&gt;"",E182&gt;0,F182&gt;0,OR(CatSel="Todas",D182=CatSel)),H182+ROW()/1000000000,"")</f>
        <v/>
      </c>
    </row>
    <row r="183">
      <c r="B183" s="77" t="n"/>
      <c r="C183" s="77" t="n"/>
      <c r="D183" s="77" t="n"/>
      <c r="E183" s="78" t="n"/>
      <c r="F183" s="78" t="n"/>
      <c r="G183" s="79">
        <f>IF(OR(C183="",E183&lt;=0,DivMargen&lt;=0),0,IF(Redondeo&gt;0,CEILING(E183/DivMargen,Redondeo),E183/DivMargen))</f>
        <v/>
      </c>
      <c r="H183" s="79">
        <f>IF(OR(C183="",E183&lt;=0,F183&lt;=0),0,F183*DivBase-E183)</f>
        <v/>
      </c>
      <c r="I183" s="80">
        <f>IF(OR(C183="",E183&lt;=0,F183&lt;=0),0,H183/F183)</f>
        <v/>
      </c>
      <c r="J183" s="78" t="n"/>
      <c r="K183" s="79">
        <f>IF(OR(C183="",E183&lt;=0),0,E183*J183)</f>
        <v/>
      </c>
      <c r="L183" s="68">
        <f>IF(OR(C183="",E183&lt;=0),"",IF(F183&lt;=0,"Sin precio",IF(H183&lt;0,"PÉRDIDA",IF(I183&lt;MargenMin,"Margen bajo",IF(I183&lt;MargenObjReal,"Aceptable","Rentable")))))</f>
        <v/>
      </c>
      <c r="M183" s="77" t="n"/>
      <c r="N183" s="81">
        <f>IF(ISNUMBER(W183),RANK(W183,$W$7:$W$206),"")</f>
        <v/>
      </c>
      <c r="W183" s="82">
        <f>IF(AND(C183&lt;&gt;"",E183&gt;0,F183&gt;0),H183+ROW()/1000000000,"")</f>
        <v/>
      </c>
      <c r="X183" s="82">
        <f>IF(AND(C183&lt;&gt;"",E183&gt;0,F183&gt;0,OR(CatSel="Todas",D183=CatSel)),H183+ROW()/1000000000,"")</f>
        <v/>
      </c>
    </row>
    <row r="184">
      <c r="B184" s="77" t="n"/>
      <c r="C184" s="77" t="n"/>
      <c r="D184" s="77" t="n"/>
      <c r="E184" s="78" t="n"/>
      <c r="F184" s="78" t="n"/>
      <c r="G184" s="79">
        <f>IF(OR(C184="",E184&lt;=0,DivMargen&lt;=0),0,IF(Redondeo&gt;0,CEILING(E184/DivMargen,Redondeo),E184/DivMargen))</f>
        <v/>
      </c>
      <c r="H184" s="79">
        <f>IF(OR(C184="",E184&lt;=0,F184&lt;=0),0,F184*DivBase-E184)</f>
        <v/>
      </c>
      <c r="I184" s="80">
        <f>IF(OR(C184="",E184&lt;=0,F184&lt;=0),0,H184/F184)</f>
        <v/>
      </c>
      <c r="J184" s="78" t="n"/>
      <c r="K184" s="79">
        <f>IF(OR(C184="",E184&lt;=0),0,E184*J184)</f>
        <v/>
      </c>
      <c r="L184" s="68">
        <f>IF(OR(C184="",E184&lt;=0),"",IF(F184&lt;=0,"Sin precio",IF(H184&lt;0,"PÉRDIDA",IF(I184&lt;MargenMin,"Margen bajo",IF(I184&lt;MargenObjReal,"Aceptable","Rentable")))))</f>
        <v/>
      </c>
      <c r="M184" s="77" t="n"/>
      <c r="N184" s="81">
        <f>IF(ISNUMBER(W184),RANK(W184,$W$7:$W$206),"")</f>
        <v/>
      </c>
      <c r="W184" s="82">
        <f>IF(AND(C184&lt;&gt;"",E184&gt;0,F184&gt;0),H184+ROW()/1000000000,"")</f>
        <v/>
      </c>
      <c r="X184" s="82">
        <f>IF(AND(C184&lt;&gt;"",E184&gt;0,F184&gt;0,OR(CatSel="Todas",D184=CatSel)),H184+ROW()/1000000000,"")</f>
        <v/>
      </c>
    </row>
    <row r="185">
      <c r="B185" s="77" t="n"/>
      <c r="C185" s="77" t="n"/>
      <c r="D185" s="77" t="n"/>
      <c r="E185" s="78" t="n"/>
      <c r="F185" s="78" t="n"/>
      <c r="G185" s="79">
        <f>IF(OR(C185="",E185&lt;=0,DivMargen&lt;=0),0,IF(Redondeo&gt;0,CEILING(E185/DivMargen,Redondeo),E185/DivMargen))</f>
        <v/>
      </c>
      <c r="H185" s="79">
        <f>IF(OR(C185="",E185&lt;=0,F185&lt;=0),0,F185*DivBase-E185)</f>
        <v/>
      </c>
      <c r="I185" s="80">
        <f>IF(OR(C185="",E185&lt;=0,F185&lt;=0),0,H185/F185)</f>
        <v/>
      </c>
      <c r="J185" s="78" t="n"/>
      <c r="K185" s="79">
        <f>IF(OR(C185="",E185&lt;=0),0,E185*J185)</f>
        <v/>
      </c>
      <c r="L185" s="68">
        <f>IF(OR(C185="",E185&lt;=0),"",IF(F185&lt;=0,"Sin precio",IF(H185&lt;0,"PÉRDIDA",IF(I185&lt;MargenMin,"Margen bajo",IF(I185&lt;MargenObjReal,"Aceptable","Rentable")))))</f>
        <v/>
      </c>
      <c r="M185" s="77" t="n"/>
      <c r="N185" s="81">
        <f>IF(ISNUMBER(W185),RANK(W185,$W$7:$W$206),"")</f>
        <v/>
      </c>
      <c r="W185" s="82">
        <f>IF(AND(C185&lt;&gt;"",E185&gt;0,F185&gt;0),H185+ROW()/1000000000,"")</f>
        <v/>
      </c>
      <c r="X185" s="82">
        <f>IF(AND(C185&lt;&gt;"",E185&gt;0,F185&gt;0,OR(CatSel="Todas",D185=CatSel)),H185+ROW()/1000000000,"")</f>
        <v/>
      </c>
    </row>
    <row r="186">
      <c r="B186" s="77" t="n"/>
      <c r="C186" s="77" t="n"/>
      <c r="D186" s="77" t="n"/>
      <c r="E186" s="78" t="n"/>
      <c r="F186" s="78" t="n"/>
      <c r="G186" s="79">
        <f>IF(OR(C186="",E186&lt;=0,DivMargen&lt;=0),0,IF(Redondeo&gt;0,CEILING(E186/DivMargen,Redondeo),E186/DivMargen))</f>
        <v/>
      </c>
      <c r="H186" s="79">
        <f>IF(OR(C186="",E186&lt;=0,F186&lt;=0),0,F186*DivBase-E186)</f>
        <v/>
      </c>
      <c r="I186" s="80">
        <f>IF(OR(C186="",E186&lt;=0,F186&lt;=0),0,H186/F186)</f>
        <v/>
      </c>
      <c r="J186" s="78" t="n"/>
      <c r="K186" s="79">
        <f>IF(OR(C186="",E186&lt;=0),0,E186*J186)</f>
        <v/>
      </c>
      <c r="L186" s="68">
        <f>IF(OR(C186="",E186&lt;=0),"",IF(F186&lt;=0,"Sin precio",IF(H186&lt;0,"PÉRDIDA",IF(I186&lt;MargenMin,"Margen bajo",IF(I186&lt;MargenObjReal,"Aceptable","Rentable")))))</f>
        <v/>
      </c>
      <c r="M186" s="77" t="n"/>
      <c r="N186" s="81">
        <f>IF(ISNUMBER(W186),RANK(W186,$W$7:$W$206),"")</f>
        <v/>
      </c>
      <c r="W186" s="82">
        <f>IF(AND(C186&lt;&gt;"",E186&gt;0,F186&gt;0),H186+ROW()/1000000000,"")</f>
        <v/>
      </c>
      <c r="X186" s="82">
        <f>IF(AND(C186&lt;&gt;"",E186&gt;0,F186&gt;0,OR(CatSel="Todas",D186=CatSel)),H186+ROW()/1000000000,"")</f>
        <v/>
      </c>
    </row>
    <row r="187">
      <c r="B187" s="77" t="n"/>
      <c r="C187" s="77" t="n"/>
      <c r="D187" s="77" t="n"/>
      <c r="E187" s="78" t="n"/>
      <c r="F187" s="78" t="n"/>
      <c r="G187" s="79">
        <f>IF(OR(C187="",E187&lt;=0,DivMargen&lt;=0),0,IF(Redondeo&gt;0,CEILING(E187/DivMargen,Redondeo),E187/DivMargen))</f>
        <v/>
      </c>
      <c r="H187" s="79">
        <f>IF(OR(C187="",E187&lt;=0,F187&lt;=0),0,F187*DivBase-E187)</f>
        <v/>
      </c>
      <c r="I187" s="80">
        <f>IF(OR(C187="",E187&lt;=0,F187&lt;=0),0,H187/F187)</f>
        <v/>
      </c>
      <c r="J187" s="78" t="n"/>
      <c r="K187" s="79">
        <f>IF(OR(C187="",E187&lt;=0),0,E187*J187)</f>
        <v/>
      </c>
      <c r="L187" s="68">
        <f>IF(OR(C187="",E187&lt;=0),"",IF(F187&lt;=0,"Sin precio",IF(H187&lt;0,"PÉRDIDA",IF(I187&lt;MargenMin,"Margen bajo",IF(I187&lt;MargenObjReal,"Aceptable","Rentable")))))</f>
        <v/>
      </c>
      <c r="M187" s="77" t="n"/>
      <c r="N187" s="81">
        <f>IF(ISNUMBER(W187),RANK(W187,$W$7:$W$206),"")</f>
        <v/>
      </c>
      <c r="W187" s="82">
        <f>IF(AND(C187&lt;&gt;"",E187&gt;0,F187&gt;0),H187+ROW()/1000000000,"")</f>
        <v/>
      </c>
      <c r="X187" s="82">
        <f>IF(AND(C187&lt;&gt;"",E187&gt;0,F187&gt;0,OR(CatSel="Todas",D187=CatSel)),H187+ROW()/1000000000,"")</f>
        <v/>
      </c>
    </row>
    <row r="188">
      <c r="B188" s="77" t="n"/>
      <c r="C188" s="77" t="n"/>
      <c r="D188" s="77" t="n"/>
      <c r="E188" s="78" t="n"/>
      <c r="F188" s="78" t="n"/>
      <c r="G188" s="79">
        <f>IF(OR(C188="",E188&lt;=0,DivMargen&lt;=0),0,IF(Redondeo&gt;0,CEILING(E188/DivMargen,Redondeo),E188/DivMargen))</f>
        <v/>
      </c>
      <c r="H188" s="79">
        <f>IF(OR(C188="",E188&lt;=0,F188&lt;=0),0,F188*DivBase-E188)</f>
        <v/>
      </c>
      <c r="I188" s="80">
        <f>IF(OR(C188="",E188&lt;=0,F188&lt;=0),0,H188/F188)</f>
        <v/>
      </c>
      <c r="J188" s="78" t="n"/>
      <c r="K188" s="79">
        <f>IF(OR(C188="",E188&lt;=0),0,E188*J188)</f>
        <v/>
      </c>
      <c r="L188" s="68">
        <f>IF(OR(C188="",E188&lt;=0),"",IF(F188&lt;=0,"Sin precio",IF(H188&lt;0,"PÉRDIDA",IF(I188&lt;MargenMin,"Margen bajo",IF(I188&lt;MargenObjReal,"Aceptable","Rentable")))))</f>
        <v/>
      </c>
      <c r="M188" s="77" t="n"/>
      <c r="N188" s="81">
        <f>IF(ISNUMBER(W188),RANK(W188,$W$7:$W$206),"")</f>
        <v/>
      </c>
      <c r="W188" s="82">
        <f>IF(AND(C188&lt;&gt;"",E188&gt;0,F188&gt;0),H188+ROW()/1000000000,"")</f>
        <v/>
      </c>
      <c r="X188" s="82">
        <f>IF(AND(C188&lt;&gt;"",E188&gt;0,F188&gt;0,OR(CatSel="Todas",D188=CatSel)),H188+ROW()/1000000000,"")</f>
        <v/>
      </c>
    </row>
    <row r="189">
      <c r="B189" s="77" t="n"/>
      <c r="C189" s="77" t="n"/>
      <c r="D189" s="77" t="n"/>
      <c r="E189" s="78" t="n"/>
      <c r="F189" s="78" t="n"/>
      <c r="G189" s="79">
        <f>IF(OR(C189="",E189&lt;=0,DivMargen&lt;=0),0,IF(Redondeo&gt;0,CEILING(E189/DivMargen,Redondeo),E189/DivMargen))</f>
        <v/>
      </c>
      <c r="H189" s="79">
        <f>IF(OR(C189="",E189&lt;=0,F189&lt;=0),0,F189*DivBase-E189)</f>
        <v/>
      </c>
      <c r="I189" s="80">
        <f>IF(OR(C189="",E189&lt;=0,F189&lt;=0),0,H189/F189)</f>
        <v/>
      </c>
      <c r="J189" s="78" t="n"/>
      <c r="K189" s="79">
        <f>IF(OR(C189="",E189&lt;=0),0,E189*J189)</f>
        <v/>
      </c>
      <c r="L189" s="68">
        <f>IF(OR(C189="",E189&lt;=0),"",IF(F189&lt;=0,"Sin precio",IF(H189&lt;0,"PÉRDIDA",IF(I189&lt;MargenMin,"Margen bajo",IF(I189&lt;MargenObjReal,"Aceptable","Rentable")))))</f>
        <v/>
      </c>
      <c r="M189" s="77" t="n"/>
      <c r="N189" s="81">
        <f>IF(ISNUMBER(W189),RANK(W189,$W$7:$W$206),"")</f>
        <v/>
      </c>
      <c r="W189" s="82">
        <f>IF(AND(C189&lt;&gt;"",E189&gt;0,F189&gt;0),H189+ROW()/1000000000,"")</f>
        <v/>
      </c>
      <c r="X189" s="82">
        <f>IF(AND(C189&lt;&gt;"",E189&gt;0,F189&gt;0,OR(CatSel="Todas",D189=CatSel)),H189+ROW()/1000000000,"")</f>
        <v/>
      </c>
    </row>
    <row r="190">
      <c r="B190" s="77" t="n"/>
      <c r="C190" s="77" t="n"/>
      <c r="D190" s="77" t="n"/>
      <c r="E190" s="78" t="n"/>
      <c r="F190" s="78" t="n"/>
      <c r="G190" s="79">
        <f>IF(OR(C190="",E190&lt;=0,DivMargen&lt;=0),0,IF(Redondeo&gt;0,CEILING(E190/DivMargen,Redondeo),E190/DivMargen))</f>
        <v/>
      </c>
      <c r="H190" s="79">
        <f>IF(OR(C190="",E190&lt;=0,F190&lt;=0),0,F190*DivBase-E190)</f>
        <v/>
      </c>
      <c r="I190" s="80">
        <f>IF(OR(C190="",E190&lt;=0,F190&lt;=0),0,H190/F190)</f>
        <v/>
      </c>
      <c r="J190" s="78" t="n"/>
      <c r="K190" s="79">
        <f>IF(OR(C190="",E190&lt;=0),0,E190*J190)</f>
        <v/>
      </c>
      <c r="L190" s="68">
        <f>IF(OR(C190="",E190&lt;=0),"",IF(F190&lt;=0,"Sin precio",IF(H190&lt;0,"PÉRDIDA",IF(I190&lt;MargenMin,"Margen bajo",IF(I190&lt;MargenObjReal,"Aceptable","Rentable")))))</f>
        <v/>
      </c>
      <c r="M190" s="77" t="n"/>
      <c r="N190" s="81">
        <f>IF(ISNUMBER(W190),RANK(W190,$W$7:$W$206),"")</f>
        <v/>
      </c>
      <c r="W190" s="82">
        <f>IF(AND(C190&lt;&gt;"",E190&gt;0,F190&gt;0),H190+ROW()/1000000000,"")</f>
        <v/>
      </c>
      <c r="X190" s="82">
        <f>IF(AND(C190&lt;&gt;"",E190&gt;0,F190&gt;0,OR(CatSel="Todas",D190=CatSel)),H190+ROW()/1000000000,"")</f>
        <v/>
      </c>
    </row>
    <row r="191">
      <c r="B191" s="77" t="n"/>
      <c r="C191" s="77" t="n"/>
      <c r="D191" s="77" t="n"/>
      <c r="E191" s="78" t="n"/>
      <c r="F191" s="78" t="n"/>
      <c r="G191" s="79">
        <f>IF(OR(C191="",E191&lt;=0,DivMargen&lt;=0),0,IF(Redondeo&gt;0,CEILING(E191/DivMargen,Redondeo),E191/DivMargen))</f>
        <v/>
      </c>
      <c r="H191" s="79">
        <f>IF(OR(C191="",E191&lt;=0,F191&lt;=0),0,F191*DivBase-E191)</f>
        <v/>
      </c>
      <c r="I191" s="80">
        <f>IF(OR(C191="",E191&lt;=0,F191&lt;=0),0,H191/F191)</f>
        <v/>
      </c>
      <c r="J191" s="78" t="n"/>
      <c r="K191" s="79">
        <f>IF(OR(C191="",E191&lt;=0),0,E191*J191)</f>
        <v/>
      </c>
      <c r="L191" s="68">
        <f>IF(OR(C191="",E191&lt;=0),"",IF(F191&lt;=0,"Sin precio",IF(H191&lt;0,"PÉRDIDA",IF(I191&lt;MargenMin,"Margen bajo",IF(I191&lt;MargenObjReal,"Aceptable","Rentable")))))</f>
        <v/>
      </c>
      <c r="M191" s="77" t="n"/>
      <c r="N191" s="81">
        <f>IF(ISNUMBER(W191),RANK(W191,$W$7:$W$206),"")</f>
        <v/>
      </c>
      <c r="W191" s="82">
        <f>IF(AND(C191&lt;&gt;"",E191&gt;0,F191&gt;0),H191+ROW()/1000000000,"")</f>
        <v/>
      </c>
      <c r="X191" s="82">
        <f>IF(AND(C191&lt;&gt;"",E191&gt;0,F191&gt;0,OR(CatSel="Todas",D191=CatSel)),H191+ROW()/1000000000,"")</f>
        <v/>
      </c>
    </row>
    <row r="192">
      <c r="B192" s="77" t="n"/>
      <c r="C192" s="77" t="n"/>
      <c r="D192" s="77" t="n"/>
      <c r="E192" s="78" t="n"/>
      <c r="F192" s="78" t="n"/>
      <c r="G192" s="79">
        <f>IF(OR(C192="",E192&lt;=0,DivMargen&lt;=0),0,IF(Redondeo&gt;0,CEILING(E192/DivMargen,Redondeo),E192/DivMargen))</f>
        <v/>
      </c>
      <c r="H192" s="79">
        <f>IF(OR(C192="",E192&lt;=0,F192&lt;=0),0,F192*DivBase-E192)</f>
        <v/>
      </c>
      <c r="I192" s="80">
        <f>IF(OR(C192="",E192&lt;=0,F192&lt;=0),0,H192/F192)</f>
        <v/>
      </c>
      <c r="J192" s="78" t="n"/>
      <c r="K192" s="79">
        <f>IF(OR(C192="",E192&lt;=0),0,E192*J192)</f>
        <v/>
      </c>
      <c r="L192" s="68">
        <f>IF(OR(C192="",E192&lt;=0),"",IF(F192&lt;=0,"Sin precio",IF(H192&lt;0,"PÉRDIDA",IF(I192&lt;MargenMin,"Margen bajo",IF(I192&lt;MargenObjReal,"Aceptable","Rentable")))))</f>
        <v/>
      </c>
      <c r="M192" s="77" t="n"/>
      <c r="N192" s="81">
        <f>IF(ISNUMBER(W192),RANK(W192,$W$7:$W$206),"")</f>
        <v/>
      </c>
      <c r="W192" s="82">
        <f>IF(AND(C192&lt;&gt;"",E192&gt;0,F192&gt;0),H192+ROW()/1000000000,"")</f>
        <v/>
      </c>
      <c r="X192" s="82">
        <f>IF(AND(C192&lt;&gt;"",E192&gt;0,F192&gt;0,OR(CatSel="Todas",D192=CatSel)),H192+ROW()/1000000000,"")</f>
        <v/>
      </c>
    </row>
    <row r="193">
      <c r="B193" s="77" t="n"/>
      <c r="C193" s="77" t="n"/>
      <c r="D193" s="77" t="n"/>
      <c r="E193" s="78" t="n"/>
      <c r="F193" s="78" t="n"/>
      <c r="G193" s="79">
        <f>IF(OR(C193="",E193&lt;=0,DivMargen&lt;=0),0,IF(Redondeo&gt;0,CEILING(E193/DivMargen,Redondeo),E193/DivMargen))</f>
        <v/>
      </c>
      <c r="H193" s="79">
        <f>IF(OR(C193="",E193&lt;=0,F193&lt;=0),0,F193*DivBase-E193)</f>
        <v/>
      </c>
      <c r="I193" s="80">
        <f>IF(OR(C193="",E193&lt;=0,F193&lt;=0),0,H193/F193)</f>
        <v/>
      </c>
      <c r="J193" s="78" t="n"/>
      <c r="K193" s="79">
        <f>IF(OR(C193="",E193&lt;=0),0,E193*J193)</f>
        <v/>
      </c>
      <c r="L193" s="68">
        <f>IF(OR(C193="",E193&lt;=0),"",IF(F193&lt;=0,"Sin precio",IF(H193&lt;0,"PÉRDIDA",IF(I193&lt;MargenMin,"Margen bajo",IF(I193&lt;MargenObjReal,"Aceptable","Rentable")))))</f>
        <v/>
      </c>
      <c r="M193" s="77" t="n"/>
      <c r="N193" s="81">
        <f>IF(ISNUMBER(W193),RANK(W193,$W$7:$W$206),"")</f>
        <v/>
      </c>
      <c r="W193" s="82">
        <f>IF(AND(C193&lt;&gt;"",E193&gt;0,F193&gt;0),H193+ROW()/1000000000,"")</f>
        <v/>
      </c>
      <c r="X193" s="82">
        <f>IF(AND(C193&lt;&gt;"",E193&gt;0,F193&gt;0,OR(CatSel="Todas",D193=CatSel)),H193+ROW()/1000000000,"")</f>
        <v/>
      </c>
    </row>
    <row r="194">
      <c r="B194" s="77" t="n"/>
      <c r="C194" s="77" t="n"/>
      <c r="D194" s="77" t="n"/>
      <c r="E194" s="78" t="n"/>
      <c r="F194" s="78" t="n"/>
      <c r="G194" s="79">
        <f>IF(OR(C194="",E194&lt;=0,DivMargen&lt;=0),0,IF(Redondeo&gt;0,CEILING(E194/DivMargen,Redondeo),E194/DivMargen))</f>
        <v/>
      </c>
      <c r="H194" s="79">
        <f>IF(OR(C194="",E194&lt;=0,F194&lt;=0),0,F194*DivBase-E194)</f>
        <v/>
      </c>
      <c r="I194" s="80">
        <f>IF(OR(C194="",E194&lt;=0,F194&lt;=0),0,H194/F194)</f>
        <v/>
      </c>
      <c r="J194" s="78" t="n"/>
      <c r="K194" s="79">
        <f>IF(OR(C194="",E194&lt;=0),0,E194*J194)</f>
        <v/>
      </c>
      <c r="L194" s="68">
        <f>IF(OR(C194="",E194&lt;=0),"",IF(F194&lt;=0,"Sin precio",IF(H194&lt;0,"PÉRDIDA",IF(I194&lt;MargenMin,"Margen bajo",IF(I194&lt;MargenObjReal,"Aceptable","Rentable")))))</f>
        <v/>
      </c>
      <c r="M194" s="77" t="n"/>
      <c r="N194" s="81">
        <f>IF(ISNUMBER(W194),RANK(W194,$W$7:$W$206),"")</f>
        <v/>
      </c>
      <c r="W194" s="82">
        <f>IF(AND(C194&lt;&gt;"",E194&gt;0,F194&gt;0),H194+ROW()/1000000000,"")</f>
        <v/>
      </c>
      <c r="X194" s="82">
        <f>IF(AND(C194&lt;&gt;"",E194&gt;0,F194&gt;0,OR(CatSel="Todas",D194=CatSel)),H194+ROW()/1000000000,"")</f>
        <v/>
      </c>
    </row>
    <row r="195">
      <c r="B195" s="77" t="n"/>
      <c r="C195" s="77" t="n"/>
      <c r="D195" s="77" t="n"/>
      <c r="E195" s="78" t="n"/>
      <c r="F195" s="78" t="n"/>
      <c r="G195" s="79">
        <f>IF(OR(C195="",E195&lt;=0,DivMargen&lt;=0),0,IF(Redondeo&gt;0,CEILING(E195/DivMargen,Redondeo),E195/DivMargen))</f>
        <v/>
      </c>
      <c r="H195" s="79">
        <f>IF(OR(C195="",E195&lt;=0,F195&lt;=0),0,F195*DivBase-E195)</f>
        <v/>
      </c>
      <c r="I195" s="80">
        <f>IF(OR(C195="",E195&lt;=0,F195&lt;=0),0,H195/F195)</f>
        <v/>
      </c>
      <c r="J195" s="78" t="n"/>
      <c r="K195" s="79">
        <f>IF(OR(C195="",E195&lt;=0),0,E195*J195)</f>
        <v/>
      </c>
      <c r="L195" s="68">
        <f>IF(OR(C195="",E195&lt;=0),"",IF(F195&lt;=0,"Sin precio",IF(H195&lt;0,"PÉRDIDA",IF(I195&lt;MargenMin,"Margen bajo",IF(I195&lt;MargenObjReal,"Aceptable","Rentable")))))</f>
        <v/>
      </c>
      <c r="M195" s="77" t="n"/>
      <c r="N195" s="81">
        <f>IF(ISNUMBER(W195),RANK(W195,$W$7:$W$206),"")</f>
        <v/>
      </c>
      <c r="W195" s="82">
        <f>IF(AND(C195&lt;&gt;"",E195&gt;0,F195&gt;0),H195+ROW()/1000000000,"")</f>
        <v/>
      </c>
      <c r="X195" s="82">
        <f>IF(AND(C195&lt;&gt;"",E195&gt;0,F195&gt;0,OR(CatSel="Todas",D195=CatSel)),H195+ROW()/1000000000,"")</f>
        <v/>
      </c>
    </row>
    <row r="196">
      <c r="B196" s="77" t="n"/>
      <c r="C196" s="77" t="n"/>
      <c r="D196" s="77" t="n"/>
      <c r="E196" s="78" t="n"/>
      <c r="F196" s="78" t="n"/>
      <c r="G196" s="79">
        <f>IF(OR(C196="",E196&lt;=0,DivMargen&lt;=0),0,IF(Redondeo&gt;0,CEILING(E196/DivMargen,Redondeo),E196/DivMargen))</f>
        <v/>
      </c>
      <c r="H196" s="79">
        <f>IF(OR(C196="",E196&lt;=0,F196&lt;=0),0,F196*DivBase-E196)</f>
        <v/>
      </c>
      <c r="I196" s="80">
        <f>IF(OR(C196="",E196&lt;=0,F196&lt;=0),0,H196/F196)</f>
        <v/>
      </c>
      <c r="J196" s="78" t="n"/>
      <c r="K196" s="79">
        <f>IF(OR(C196="",E196&lt;=0),0,E196*J196)</f>
        <v/>
      </c>
      <c r="L196" s="68">
        <f>IF(OR(C196="",E196&lt;=0),"",IF(F196&lt;=0,"Sin precio",IF(H196&lt;0,"PÉRDIDA",IF(I196&lt;MargenMin,"Margen bajo",IF(I196&lt;MargenObjReal,"Aceptable","Rentable")))))</f>
        <v/>
      </c>
      <c r="M196" s="77" t="n"/>
      <c r="N196" s="81">
        <f>IF(ISNUMBER(W196),RANK(W196,$W$7:$W$206),"")</f>
        <v/>
      </c>
      <c r="W196" s="82">
        <f>IF(AND(C196&lt;&gt;"",E196&gt;0,F196&gt;0),H196+ROW()/1000000000,"")</f>
        <v/>
      </c>
      <c r="X196" s="82">
        <f>IF(AND(C196&lt;&gt;"",E196&gt;0,F196&gt;0,OR(CatSel="Todas",D196=CatSel)),H196+ROW()/1000000000,"")</f>
        <v/>
      </c>
    </row>
    <row r="197">
      <c r="B197" s="77" t="n"/>
      <c r="C197" s="77" t="n"/>
      <c r="D197" s="77" t="n"/>
      <c r="E197" s="78" t="n"/>
      <c r="F197" s="78" t="n"/>
      <c r="G197" s="79">
        <f>IF(OR(C197="",E197&lt;=0,DivMargen&lt;=0),0,IF(Redondeo&gt;0,CEILING(E197/DivMargen,Redondeo),E197/DivMargen))</f>
        <v/>
      </c>
      <c r="H197" s="79">
        <f>IF(OR(C197="",E197&lt;=0,F197&lt;=0),0,F197*DivBase-E197)</f>
        <v/>
      </c>
      <c r="I197" s="80">
        <f>IF(OR(C197="",E197&lt;=0,F197&lt;=0),0,H197/F197)</f>
        <v/>
      </c>
      <c r="J197" s="78" t="n"/>
      <c r="K197" s="79">
        <f>IF(OR(C197="",E197&lt;=0),0,E197*J197)</f>
        <v/>
      </c>
      <c r="L197" s="68">
        <f>IF(OR(C197="",E197&lt;=0),"",IF(F197&lt;=0,"Sin precio",IF(H197&lt;0,"PÉRDIDA",IF(I197&lt;MargenMin,"Margen bajo",IF(I197&lt;MargenObjReal,"Aceptable","Rentable")))))</f>
        <v/>
      </c>
      <c r="M197" s="77" t="n"/>
      <c r="N197" s="81">
        <f>IF(ISNUMBER(W197),RANK(W197,$W$7:$W$206),"")</f>
        <v/>
      </c>
      <c r="W197" s="82">
        <f>IF(AND(C197&lt;&gt;"",E197&gt;0,F197&gt;0),H197+ROW()/1000000000,"")</f>
        <v/>
      </c>
      <c r="X197" s="82">
        <f>IF(AND(C197&lt;&gt;"",E197&gt;0,F197&gt;0,OR(CatSel="Todas",D197=CatSel)),H197+ROW()/1000000000,"")</f>
        <v/>
      </c>
    </row>
    <row r="198">
      <c r="B198" s="77" t="n"/>
      <c r="C198" s="77" t="n"/>
      <c r="D198" s="77" t="n"/>
      <c r="E198" s="78" t="n"/>
      <c r="F198" s="78" t="n"/>
      <c r="G198" s="79">
        <f>IF(OR(C198="",E198&lt;=0,DivMargen&lt;=0),0,IF(Redondeo&gt;0,CEILING(E198/DivMargen,Redondeo),E198/DivMargen))</f>
        <v/>
      </c>
      <c r="H198" s="79">
        <f>IF(OR(C198="",E198&lt;=0,F198&lt;=0),0,F198*DivBase-E198)</f>
        <v/>
      </c>
      <c r="I198" s="80">
        <f>IF(OR(C198="",E198&lt;=0,F198&lt;=0),0,H198/F198)</f>
        <v/>
      </c>
      <c r="J198" s="78" t="n"/>
      <c r="K198" s="79">
        <f>IF(OR(C198="",E198&lt;=0),0,E198*J198)</f>
        <v/>
      </c>
      <c r="L198" s="68">
        <f>IF(OR(C198="",E198&lt;=0),"",IF(F198&lt;=0,"Sin precio",IF(H198&lt;0,"PÉRDIDA",IF(I198&lt;MargenMin,"Margen bajo",IF(I198&lt;MargenObjReal,"Aceptable","Rentable")))))</f>
        <v/>
      </c>
      <c r="M198" s="77" t="n"/>
      <c r="N198" s="81">
        <f>IF(ISNUMBER(W198),RANK(W198,$W$7:$W$206),"")</f>
        <v/>
      </c>
      <c r="W198" s="82">
        <f>IF(AND(C198&lt;&gt;"",E198&gt;0,F198&gt;0),H198+ROW()/1000000000,"")</f>
        <v/>
      </c>
      <c r="X198" s="82">
        <f>IF(AND(C198&lt;&gt;"",E198&gt;0,F198&gt;0,OR(CatSel="Todas",D198=CatSel)),H198+ROW()/1000000000,"")</f>
        <v/>
      </c>
    </row>
    <row r="199">
      <c r="B199" s="77" t="n"/>
      <c r="C199" s="77" t="n"/>
      <c r="D199" s="77" t="n"/>
      <c r="E199" s="78" t="n"/>
      <c r="F199" s="78" t="n"/>
      <c r="G199" s="79">
        <f>IF(OR(C199="",E199&lt;=0,DivMargen&lt;=0),0,IF(Redondeo&gt;0,CEILING(E199/DivMargen,Redondeo),E199/DivMargen))</f>
        <v/>
      </c>
      <c r="H199" s="79">
        <f>IF(OR(C199="",E199&lt;=0,F199&lt;=0),0,F199*DivBase-E199)</f>
        <v/>
      </c>
      <c r="I199" s="80">
        <f>IF(OR(C199="",E199&lt;=0,F199&lt;=0),0,H199/F199)</f>
        <v/>
      </c>
      <c r="J199" s="78" t="n"/>
      <c r="K199" s="79">
        <f>IF(OR(C199="",E199&lt;=0),0,E199*J199)</f>
        <v/>
      </c>
      <c r="L199" s="68">
        <f>IF(OR(C199="",E199&lt;=0),"",IF(F199&lt;=0,"Sin precio",IF(H199&lt;0,"PÉRDIDA",IF(I199&lt;MargenMin,"Margen bajo",IF(I199&lt;MargenObjReal,"Aceptable","Rentable")))))</f>
        <v/>
      </c>
      <c r="M199" s="77" t="n"/>
      <c r="N199" s="81">
        <f>IF(ISNUMBER(W199),RANK(W199,$W$7:$W$206),"")</f>
        <v/>
      </c>
      <c r="W199" s="82">
        <f>IF(AND(C199&lt;&gt;"",E199&gt;0,F199&gt;0),H199+ROW()/1000000000,"")</f>
        <v/>
      </c>
      <c r="X199" s="82">
        <f>IF(AND(C199&lt;&gt;"",E199&gt;0,F199&gt;0,OR(CatSel="Todas",D199=CatSel)),H199+ROW()/1000000000,"")</f>
        <v/>
      </c>
    </row>
    <row r="200">
      <c r="B200" s="77" t="n"/>
      <c r="C200" s="77" t="n"/>
      <c r="D200" s="77" t="n"/>
      <c r="E200" s="78" t="n"/>
      <c r="F200" s="78" t="n"/>
      <c r="G200" s="79">
        <f>IF(OR(C200="",E200&lt;=0,DivMargen&lt;=0),0,IF(Redondeo&gt;0,CEILING(E200/DivMargen,Redondeo),E200/DivMargen))</f>
        <v/>
      </c>
      <c r="H200" s="79">
        <f>IF(OR(C200="",E200&lt;=0,F200&lt;=0),0,F200*DivBase-E200)</f>
        <v/>
      </c>
      <c r="I200" s="80">
        <f>IF(OR(C200="",E200&lt;=0,F200&lt;=0),0,H200/F200)</f>
        <v/>
      </c>
      <c r="J200" s="78" t="n"/>
      <c r="K200" s="79">
        <f>IF(OR(C200="",E200&lt;=0),0,E200*J200)</f>
        <v/>
      </c>
      <c r="L200" s="68">
        <f>IF(OR(C200="",E200&lt;=0),"",IF(F200&lt;=0,"Sin precio",IF(H200&lt;0,"PÉRDIDA",IF(I200&lt;MargenMin,"Margen bajo",IF(I200&lt;MargenObjReal,"Aceptable","Rentable")))))</f>
        <v/>
      </c>
      <c r="M200" s="77" t="n"/>
      <c r="N200" s="81">
        <f>IF(ISNUMBER(W200),RANK(W200,$W$7:$W$206),"")</f>
        <v/>
      </c>
      <c r="W200" s="82">
        <f>IF(AND(C200&lt;&gt;"",E200&gt;0,F200&gt;0),H200+ROW()/1000000000,"")</f>
        <v/>
      </c>
      <c r="X200" s="82">
        <f>IF(AND(C200&lt;&gt;"",E200&gt;0,F200&gt;0,OR(CatSel="Todas",D200=CatSel)),H200+ROW()/1000000000,"")</f>
        <v/>
      </c>
    </row>
    <row r="201">
      <c r="B201" s="77" t="n"/>
      <c r="C201" s="77" t="n"/>
      <c r="D201" s="77" t="n"/>
      <c r="E201" s="78" t="n"/>
      <c r="F201" s="78" t="n"/>
      <c r="G201" s="79">
        <f>IF(OR(C201="",E201&lt;=0,DivMargen&lt;=0),0,IF(Redondeo&gt;0,CEILING(E201/DivMargen,Redondeo),E201/DivMargen))</f>
        <v/>
      </c>
      <c r="H201" s="79">
        <f>IF(OR(C201="",E201&lt;=0,F201&lt;=0),0,F201*DivBase-E201)</f>
        <v/>
      </c>
      <c r="I201" s="80">
        <f>IF(OR(C201="",E201&lt;=0,F201&lt;=0),0,H201/F201)</f>
        <v/>
      </c>
      <c r="J201" s="78" t="n"/>
      <c r="K201" s="79">
        <f>IF(OR(C201="",E201&lt;=0),0,E201*J201)</f>
        <v/>
      </c>
      <c r="L201" s="68">
        <f>IF(OR(C201="",E201&lt;=0),"",IF(F201&lt;=0,"Sin precio",IF(H201&lt;0,"PÉRDIDA",IF(I201&lt;MargenMin,"Margen bajo",IF(I201&lt;MargenObjReal,"Aceptable","Rentable")))))</f>
        <v/>
      </c>
      <c r="M201" s="77" t="n"/>
      <c r="N201" s="81">
        <f>IF(ISNUMBER(W201),RANK(W201,$W$7:$W$206),"")</f>
        <v/>
      </c>
      <c r="W201" s="82">
        <f>IF(AND(C201&lt;&gt;"",E201&gt;0,F201&gt;0),H201+ROW()/1000000000,"")</f>
        <v/>
      </c>
      <c r="X201" s="82">
        <f>IF(AND(C201&lt;&gt;"",E201&gt;0,F201&gt;0,OR(CatSel="Todas",D201=CatSel)),H201+ROW()/1000000000,"")</f>
        <v/>
      </c>
    </row>
    <row r="202">
      <c r="B202" s="77" t="n"/>
      <c r="C202" s="77" t="n"/>
      <c r="D202" s="77" t="n"/>
      <c r="E202" s="78" t="n"/>
      <c r="F202" s="78" t="n"/>
      <c r="G202" s="79">
        <f>IF(OR(C202="",E202&lt;=0,DivMargen&lt;=0),0,IF(Redondeo&gt;0,CEILING(E202/DivMargen,Redondeo),E202/DivMargen))</f>
        <v/>
      </c>
      <c r="H202" s="79">
        <f>IF(OR(C202="",E202&lt;=0,F202&lt;=0),0,F202*DivBase-E202)</f>
        <v/>
      </c>
      <c r="I202" s="80">
        <f>IF(OR(C202="",E202&lt;=0,F202&lt;=0),0,H202/F202)</f>
        <v/>
      </c>
      <c r="J202" s="78" t="n"/>
      <c r="K202" s="79">
        <f>IF(OR(C202="",E202&lt;=0),0,E202*J202)</f>
        <v/>
      </c>
      <c r="L202" s="68">
        <f>IF(OR(C202="",E202&lt;=0),"",IF(F202&lt;=0,"Sin precio",IF(H202&lt;0,"PÉRDIDA",IF(I202&lt;MargenMin,"Margen bajo",IF(I202&lt;MargenObjReal,"Aceptable","Rentable")))))</f>
        <v/>
      </c>
      <c r="M202" s="77" t="n"/>
      <c r="N202" s="81">
        <f>IF(ISNUMBER(W202),RANK(W202,$W$7:$W$206),"")</f>
        <v/>
      </c>
      <c r="W202" s="82">
        <f>IF(AND(C202&lt;&gt;"",E202&gt;0,F202&gt;0),H202+ROW()/1000000000,"")</f>
        <v/>
      </c>
      <c r="X202" s="82">
        <f>IF(AND(C202&lt;&gt;"",E202&gt;0,F202&gt;0,OR(CatSel="Todas",D202=CatSel)),H202+ROW()/1000000000,"")</f>
        <v/>
      </c>
    </row>
    <row r="203">
      <c r="B203" s="77" t="n"/>
      <c r="C203" s="77" t="n"/>
      <c r="D203" s="77" t="n"/>
      <c r="E203" s="78" t="n"/>
      <c r="F203" s="78" t="n"/>
      <c r="G203" s="79">
        <f>IF(OR(C203="",E203&lt;=0,DivMargen&lt;=0),0,IF(Redondeo&gt;0,CEILING(E203/DivMargen,Redondeo),E203/DivMargen))</f>
        <v/>
      </c>
      <c r="H203" s="79">
        <f>IF(OR(C203="",E203&lt;=0,F203&lt;=0),0,F203*DivBase-E203)</f>
        <v/>
      </c>
      <c r="I203" s="80">
        <f>IF(OR(C203="",E203&lt;=0,F203&lt;=0),0,H203/F203)</f>
        <v/>
      </c>
      <c r="J203" s="78" t="n"/>
      <c r="K203" s="79">
        <f>IF(OR(C203="",E203&lt;=0),0,E203*J203)</f>
        <v/>
      </c>
      <c r="L203" s="68">
        <f>IF(OR(C203="",E203&lt;=0),"",IF(F203&lt;=0,"Sin precio",IF(H203&lt;0,"PÉRDIDA",IF(I203&lt;MargenMin,"Margen bajo",IF(I203&lt;MargenObjReal,"Aceptable","Rentable")))))</f>
        <v/>
      </c>
      <c r="M203" s="77" t="n"/>
      <c r="N203" s="81">
        <f>IF(ISNUMBER(W203),RANK(W203,$W$7:$W$206),"")</f>
        <v/>
      </c>
      <c r="W203" s="82">
        <f>IF(AND(C203&lt;&gt;"",E203&gt;0,F203&gt;0),H203+ROW()/1000000000,"")</f>
        <v/>
      </c>
      <c r="X203" s="82">
        <f>IF(AND(C203&lt;&gt;"",E203&gt;0,F203&gt;0,OR(CatSel="Todas",D203=CatSel)),H203+ROW()/1000000000,"")</f>
        <v/>
      </c>
    </row>
    <row r="204">
      <c r="B204" s="77" t="n"/>
      <c r="C204" s="77" t="n"/>
      <c r="D204" s="77" t="n"/>
      <c r="E204" s="78" t="n"/>
      <c r="F204" s="78" t="n"/>
      <c r="G204" s="79">
        <f>IF(OR(C204="",E204&lt;=0,DivMargen&lt;=0),0,IF(Redondeo&gt;0,CEILING(E204/DivMargen,Redondeo),E204/DivMargen))</f>
        <v/>
      </c>
      <c r="H204" s="79">
        <f>IF(OR(C204="",E204&lt;=0,F204&lt;=0),0,F204*DivBase-E204)</f>
        <v/>
      </c>
      <c r="I204" s="80">
        <f>IF(OR(C204="",E204&lt;=0,F204&lt;=0),0,H204/F204)</f>
        <v/>
      </c>
      <c r="J204" s="78" t="n"/>
      <c r="K204" s="79">
        <f>IF(OR(C204="",E204&lt;=0),0,E204*J204)</f>
        <v/>
      </c>
      <c r="L204" s="68">
        <f>IF(OR(C204="",E204&lt;=0),"",IF(F204&lt;=0,"Sin precio",IF(H204&lt;0,"PÉRDIDA",IF(I204&lt;MargenMin,"Margen bajo",IF(I204&lt;MargenObjReal,"Aceptable","Rentable")))))</f>
        <v/>
      </c>
      <c r="M204" s="77" t="n"/>
      <c r="N204" s="81">
        <f>IF(ISNUMBER(W204),RANK(W204,$W$7:$W$206),"")</f>
        <v/>
      </c>
      <c r="W204" s="82">
        <f>IF(AND(C204&lt;&gt;"",E204&gt;0,F204&gt;0),H204+ROW()/1000000000,"")</f>
        <v/>
      </c>
      <c r="X204" s="82">
        <f>IF(AND(C204&lt;&gt;"",E204&gt;0,F204&gt;0,OR(CatSel="Todas",D204=CatSel)),H204+ROW()/1000000000,"")</f>
        <v/>
      </c>
    </row>
    <row r="205">
      <c r="B205" s="77" t="n"/>
      <c r="C205" s="77" t="n"/>
      <c r="D205" s="77" t="n"/>
      <c r="E205" s="78" t="n"/>
      <c r="F205" s="78" t="n"/>
      <c r="G205" s="79">
        <f>IF(OR(C205="",E205&lt;=0,DivMargen&lt;=0),0,IF(Redondeo&gt;0,CEILING(E205/DivMargen,Redondeo),E205/DivMargen))</f>
        <v/>
      </c>
      <c r="H205" s="79">
        <f>IF(OR(C205="",E205&lt;=0,F205&lt;=0),0,F205*DivBase-E205)</f>
        <v/>
      </c>
      <c r="I205" s="80">
        <f>IF(OR(C205="",E205&lt;=0,F205&lt;=0),0,H205/F205)</f>
        <v/>
      </c>
      <c r="J205" s="78" t="n"/>
      <c r="K205" s="79">
        <f>IF(OR(C205="",E205&lt;=0),0,E205*J205)</f>
        <v/>
      </c>
      <c r="L205" s="68">
        <f>IF(OR(C205="",E205&lt;=0),"",IF(F205&lt;=0,"Sin precio",IF(H205&lt;0,"PÉRDIDA",IF(I205&lt;MargenMin,"Margen bajo",IF(I205&lt;MargenObjReal,"Aceptable","Rentable")))))</f>
        <v/>
      </c>
      <c r="M205" s="77" t="n"/>
      <c r="N205" s="81">
        <f>IF(ISNUMBER(W205),RANK(W205,$W$7:$W$206),"")</f>
        <v/>
      </c>
      <c r="W205" s="82">
        <f>IF(AND(C205&lt;&gt;"",E205&gt;0,F205&gt;0),H205+ROW()/1000000000,"")</f>
        <v/>
      </c>
      <c r="X205" s="82">
        <f>IF(AND(C205&lt;&gt;"",E205&gt;0,F205&gt;0,OR(CatSel="Todas",D205=CatSel)),H205+ROW()/1000000000,"")</f>
        <v/>
      </c>
    </row>
    <row r="206">
      <c r="B206" s="77" t="n"/>
      <c r="C206" s="77" t="n"/>
      <c r="D206" s="77" t="n"/>
      <c r="E206" s="78" t="n"/>
      <c r="F206" s="78" t="n"/>
      <c r="G206" s="79">
        <f>IF(OR(C206="",E206&lt;=0,DivMargen&lt;=0),0,IF(Redondeo&gt;0,CEILING(E206/DivMargen,Redondeo),E206/DivMargen))</f>
        <v/>
      </c>
      <c r="H206" s="79">
        <f>IF(OR(C206="",E206&lt;=0,F206&lt;=0),0,F206*DivBase-E206)</f>
        <v/>
      </c>
      <c r="I206" s="80">
        <f>IF(OR(C206="",E206&lt;=0,F206&lt;=0),0,H206/F206)</f>
        <v/>
      </c>
      <c r="J206" s="78" t="n"/>
      <c r="K206" s="79">
        <f>IF(OR(C206="",E206&lt;=0),0,E206*J206)</f>
        <v/>
      </c>
      <c r="L206" s="68">
        <f>IF(OR(C206="",E206&lt;=0),"",IF(F206&lt;=0,"Sin precio",IF(H206&lt;0,"PÉRDIDA",IF(I206&lt;MargenMin,"Margen bajo",IF(I206&lt;MargenObjReal,"Aceptable","Rentable")))))</f>
        <v/>
      </c>
      <c r="M206" s="77" t="n"/>
      <c r="N206" s="81">
        <f>IF(ISNUMBER(W206),RANK(W206,$W$7:$W$206),"")</f>
        <v/>
      </c>
      <c r="W206" s="82">
        <f>IF(AND(C206&lt;&gt;"",E206&gt;0,F206&gt;0),H206+ROW()/1000000000,"")</f>
        <v/>
      </c>
      <c r="X206" s="82">
        <f>IF(AND(C206&lt;&gt;"",E206&gt;0,F206&gt;0,OR(CatSel="Todas",D206=CatSel)),H206+ROW()/1000000000,"")</f>
        <v/>
      </c>
    </row>
    <row r="208" ht="8" customHeight="1">
      <c r="B208" s="28" t="n"/>
    </row>
    <row r="209" ht="16" customHeight="1">
      <c r="B209" s="29" t="inlineStr">
        <is>
          <t>MIX SHOP DIGITAL  ·  Herramientas inteligentes que simplifican tu vida.</t>
        </is>
      </c>
    </row>
    <row r="210" ht="16" customHeight="1">
      <c r="B210" s="30"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C527"/>
  <autoFilter ref="B6:N206"/>
  <mergeCells count="10">
    <mergeCell ref="C4:N4"/>
    <mergeCell ref="B5:N5"/>
    <mergeCell ref="B208:N208"/>
    <mergeCell ref="B1:D1"/>
    <mergeCell ref="B2:D2"/>
    <mergeCell ref="B210:N210"/>
    <mergeCell ref="B209:N209"/>
    <mergeCell ref="B3:N3"/>
    <mergeCell ref="E2:N2"/>
    <mergeCell ref="E1:N1"/>
  </mergeCells>
  <conditionalFormatting sqref="L7:L206">
    <cfRule type="expression" priority="1" dxfId="0">
      <formula>L7="PÉRDIDA"</formula>
    </cfRule>
    <cfRule type="expression" priority="2" dxfId="1">
      <formula>L7="Margen bajo"</formula>
    </cfRule>
    <cfRule type="expression" priority="3" dxfId="6">
      <formula>L7="Aceptable"</formula>
    </cfRule>
    <cfRule type="expression" priority="4" dxfId="2">
      <formula>L7="Rentable"</formula>
    </cfRule>
  </conditionalFormatting>
  <conditionalFormatting sqref="H7:I206">
    <cfRule type="expression" priority="5" dxfId="3">
      <formula>AND($L7&lt;&gt;"",$L7&lt;&gt;"Sin precio",$H7&lt;0)</formula>
    </cfRule>
  </conditionalFormatting>
  <conditionalFormatting sqref="F7:F206">
    <cfRule type="expression" priority="6" dxfId="0">
      <formula>AND($F7&gt;0,$E7&gt;0,$F7&lt;$E7)</formula>
    </cfRule>
  </conditionalFormatting>
  <conditionalFormatting sqref="N7:N206">
    <cfRule type="expression" priority="7" dxfId="2">
      <formula>AND(ISNUMBER($N7),$N7&lt;=3)</formula>
    </cfRule>
  </conditionalFormatting>
  <dataValidations count="3">
    <dataValidation sqref="D7:D206" showDropDown="0" showInputMessage="1" showErrorMessage="1" allowBlank="1" errorTitle="Valor no válido" error="Elegí un valor de la lista desplegable." promptTitle="Categoría" prompt="Elegí una categoría (se editan en CONFIGURACIÓN)." type="list" errorStyle="stop">
      <formula1>Categorias</formula1>
    </dataValidation>
    <dataValidation sqref="E7:F206" showDropDown="0" showInputMessage="1" showErrorMessage="1" allowBlank="1" errorTitle="Dato no válido" error="Ingresá un número válido. No se aceptan valores negativos ni texto." promptTitle="Monto" prompt="Solo números mayores o iguales a 0." type="decimal" operator="greaterThanOrEqual">
      <formula1>0</formula1>
    </dataValidation>
    <dataValidation sqref="J7:J206" showDropDown="0" showInputMessage="1" showErrorMessage="1" allowBlank="1" errorTitle="Dato no válido" error="Ingresá un número válido. No se aceptan valores negativos ni texto." promptTitle="Stock" prompt="Unidades disponibles. Solo números mayores o iguales a 0." type="decimal" operator="greaterThanOrEqual">
      <formula1>0</formula1>
    </dataValidation>
  </dataValidations>
  <hyperlinks>
    <hyperlink ref="B4" location="'INICIO'!A1" display="← INICIO"/>
    <hyperlink xmlns:r="http://schemas.openxmlformats.org/officeDocument/2006/relationships" ref="B210" r:id="rId1"/>
  </hyperlinks>
  <printOptions horizontalCentered="1"/>
  <pageMargins left="0.75" right="0.75" top="1" bottom="1" header="0.5" footer="0.5"/>
  <pageSetup orientation="landscape" paperSize="9" fitToHeight="0" fitToWidth="1"/>
  <headerFooter>
    <oddHeader>&amp;C&amp;"Arial,Bold"&amp;14 &amp;K0B2A7AMIX SHOP DIGITAL</oddHeader>
    <oddFooter>&amp;L&amp;8 MIX SHOP DIGITAL — Herramientas inteligentes que simplifican tu vida.&amp;C&amp;8 Versión gratuita · mixshopdigital.com.py&amp;R&amp;8 Pág. &amp;P de &amp;N</oddFooter>
    <evenHeader/>
    <evenFooter/>
    <firstHeader/>
    <firstFooter/>
  </headerFooter>
  <drawing xmlns:r="http://schemas.openxmlformats.org/officeDocument/2006/relationships" r:id="rId2"/>
</worksheet>
</file>

<file path=xl/worksheets/sheet5.xml><?xml version="1.0" encoding="utf-8"?>
<worksheet xmlns="http://schemas.openxmlformats.org/spreadsheetml/2006/main">
  <sheetPr>
    <tabColor rgb="000A52C4"/>
    <outlinePr summaryBelow="1" summaryRight="1"/>
    <pageSetUpPr fitToPage="1"/>
  </sheetPr>
  <dimension ref="B1:I46"/>
  <sheetViews>
    <sheetView showGridLines="0" workbookViewId="0">
      <pane xSplit="1" ySplit="12" topLeftCell="B13"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15" customWidth="1" min="3" max="3"/>
    <col width="17" customWidth="1" min="4" max="4"/>
    <col width="17" customWidth="1" min="5" max="5"/>
    <col width="16" customWidth="1" min="6" max="6"/>
    <col width="18" customWidth="1" min="7" max="7"/>
    <col width="22" customWidth="1" min="8" max="8"/>
    <col width="34" customWidth="1" min="9" max="9"/>
  </cols>
  <sheetData>
    <row r="1" ht="30" customHeight="1">
      <c r="B1" s="1" t="inlineStr">
        <is>
          <t>MIX SHOP DIGITAL</t>
        </is>
      </c>
      <c r="E1" s="2" t="inlineStr">
        <is>
          <t>COSTOS Y GASTOS</t>
        </is>
      </c>
    </row>
    <row r="2" ht="18" customHeight="1">
      <c r="B2" s="3" t="inlineStr">
        <is>
          <t>Herramientas inteligentes que simplifican tu vida.</t>
        </is>
      </c>
      <c r="E2" s="4" t="inlineStr">
        <is>
          <t>Los gastos que casi todos olvidan</t>
        </is>
      </c>
    </row>
    <row r="3" ht="4" customHeight="1">
      <c r="B3" s="5" t="n"/>
    </row>
    <row r="4" ht="20" customHeight="1">
      <c r="B4" s="31" t="inlineStr">
        <is>
          <t>← INICIO</t>
        </is>
      </c>
      <c r="C4" s="6" t="inlineStr">
        <is>
          <t>Completá solamente las celdas resaltadas. Cargá cada gasto y elegí cómo se reparte entre tus unidades vendidas.</t>
        </is>
      </c>
    </row>
    <row r="5" ht="16" customHeight="1">
      <c r="B5" s="44" t="inlineStr">
        <is>
          <t>TOTAL DE GASTOS (EQUIVALENTE MENSUAL)</t>
        </is>
      </c>
      <c r="D5" s="44" t="inlineStr">
        <is>
          <t>COSTOS FIJOS</t>
        </is>
      </c>
      <c r="F5" s="44" t="inlineStr">
        <is>
          <t>COSTOS VARIABLES</t>
        </is>
      </c>
      <c r="H5" s="44" t="inlineStr">
        <is>
          <t>COSTO FIJO ASIGNADO POR UNIDAD</t>
        </is>
      </c>
    </row>
    <row r="6" ht="30" customHeight="1">
      <c r="B6" s="46">
        <f>SUM(G13:G42)</f>
        <v/>
      </c>
      <c r="D6" s="46">
        <f>SUMIFS(G13:G42,D13:D42,"Fijo")</f>
        <v/>
      </c>
      <c r="F6" s="46">
        <f>SUMIFS(G13:G42,D13:D42,"Variable")</f>
        <v/>
      </c>
      <c r="H6" s="83">
        <f>IF(N(C9)&gt;0,SUMIFS(G13:G42,D13:D42,"Fijo",H13:H42,"Por unidad vendida")/C9,0)</f>
        <v/>
      </c>
    </row>
    <row r="7" ht="15" customHeight="1">
      <c r="B7" s="49">
        <f>"por mes · "&amp;Moneda</f>
        <v/>
      </c>
      <c r="D7" s="49" t="inlineStr">
        <is>
          <t>no cambian con las ventas</t>
        </is>
      </c>
      <c r="F7" s="49" t="inlineStr">
        <is>
          <t>cambian con las ventas</t>
        </is>
      </c>
      <c r="H7" s="49" t="inlineStr">
        <is>
          <t>se suma en la CALCULADORA si elegís «Sí»</t>
        </is>
      </c>
    </row>
    <row r="8">
      <c r="B8" s="6">
        <f>"Directos: "&amp;FIXED(SUMIFS(G13:G42,C13:C42,"Directo"),0)&amp;"   ·   Indirectos: "&amp;FIXED(SUMIFS(G13:G42,C13:C42,"Indirecto"),0)&amp;" "&amp;Moneda</f>
        <v/>
      </c>
    </row>
    <row r="9">
      <c r="B9" s="32" t="inlineStr">
        <is>
          <t>Unidades estimadas a vender por mes</t>
        </is>
      </c>
      <c r="C9" s="37" t="n">
        <v>100</v>
      </c>
      <c r="D9" s="6" t="inlineStr">
        <is>
          <t>← Sirve para repartir los costos fijos. Solo se reparten los fijos marcados «Por unidad vendida».</t>
        </is>
      </c>
    </row>
    <row r="10">
      <c r="B10" s="6" t="inlineStr">
        <is>
          <t>Nota: los costos variables por unidad (envío, empaque, comisiones) se cargan directamente en la CALCULADORA.</t>
        </is>
      </c>
    </row>
    <row r="11">
      <c r="B11" s="35" t="inlineStr">
        <is>
          <t>REGISTRO DE GASTOS</t>
        </is>
      </c>
    </row>
    <row r="12" ht="28" customHeight="1">
      <c r="B12" s="75" t="inlineStr">
        <is>
          <t>Concepto del gasto</t>
        </is>
      </c>
      <c r="C12" s="75" t="inlineStr">
        <is>
          <t>Tipo</t>
        </is>
      </c>
      <c r="D12" s="75" t="inlineStr">
        <is>
          <t>Comportamiento</t>
        </is>
      </c>
      <c r="E12" s="75" t="inlineStr">
        <is>
          <t>Monto</t>
        </is>
      </c>
      <c r="F12" s="75" t="inlineStr">
        <is>
          <t>Periodicidad</t>
        </is>
      </c>
      <c r="G12" s="76" t="inlineStr">
        <is>
          <t>Equivalente mensual</t>
        </is>
      </c>
      <c r="H12" s="75" t="inlineStr">
        <is>
          <t>Criterio de asignación</t>
        </is>
      </c>
      <c r="I12" s="75" t="inlineStr">
        <is>
          <t>Observaciones</t>
        </is>
      </c>
    </row>
    <row r="13">
      <c r="B13" s="77" t="inlineStr">
        <is>
          <t>Alquiler del local</t>
        </is>
      </c>
      <c r="C13" s="84" t="inlineStr">
        <is>
          <t>Indirecto</t>
        </is>
      </c>
      <c r="D13" s="84" t="inlineStr">
        <is>
          <t>Fijo</t>
        </is>
      </c>
      <c r="E13" s="78" t="n">
        <v>1500000</v>
      </c>
      <c r="F13" s="84" t="inlineStr">
        <is>
          <t>Mensual</t>
        </is>
      </c>
      <c r="G13" s="79">
        <f>IF(N(E13)&lt;=0,0,IF(F13="",E13,IFERROR(E13*CHOOSE(MATCH(F13,{"Diaria","Semanal","Mensual","Trimestral","Semestral","Anual"},0),30,52/12,1,1/3,1/6,1/12),E13)))</f>
        <v/>
      </c>
      <c r="H13" s="84" t="inlineStr">
        <is>
          <t>Por unidad vendida</t>
        </is>
      </c>
      <c r="I13" s="77" t="inlineStr">
        <is>
          <t>Ejemplo</t>
        </is>
      </c>
    </row>
    <row r="14">
      <c r="B14" s="77" t="inlineStr">
        <is>
          <t>Servicios (luz, agua, internet)</t>
        </is>
      </c>
      <c r="C14" s="84" t="inlineStr">
        <is>
          <t>Indirecto</t>
        </is>
      </c>
      <c r="D14" s="84" t="inlineStr">
        <is>
          <t>Fijo</t>
        </is>
      </c>
      <c r="E14" s="78" t="n">
        <v>450000</v>
      </c>
      <c r="F14" s="84" t="inlineStr">
        <is>
          <t>Mensual</t>
        </is>
      </c>
      <c r="G14" s="79">
        <f>IF(N(E14)&lt;=0,0,IF(F14="",E14,IFERROR(E14*CHOOSE(MATCH(F14,{"Diaria","Semanal","Mensual","Trimestral","Semestral","Anual"},0),30,52/12,1,1/3,1/6,1/12),E14)))</f>
        <v/>
      </c>
      <c r="H14" s="84" t="inlineStr">
        <is>
          <t>Por unidad vendida</t>
        </is>
      </c>
      <c r="I14" s="77" t="inlineStr">
        <is>
          <t>Ejemplo</t>
        </is>
      </c>
    </row>
    <row r="15">
      <c r="B15" s="77" t="inlineStr">
        <is>
          <t>Mano de obra</t>
        </is>
      </c>
      <c r="C15" s="84" t="inlineStr">
        <is>
          <t>Directo</t>
        </is>
      </c>
      <c r="D15" s="84" t="inlineStr">
        <is>
          <t>Fijo</t>
        </is>
      </c>
      <c r="E15" s="78" t="n">
        <v>2200000</v>
      </c>
      <c r="F15" s="84" t="inlineStr">
        <is>
          <t>Mensual</t>
        </is>
      </c>
      <c r="G15" s="79">
        <f>IF(N(E15)&lt;=0,0,IF(F15="",E15,IFERROR(E15*CHOOSE(MATCH(F15,{"Diaria","Semanal","Mensual","Trimestral","Semestral","Anual"},0),30,52/12,1,1/3,1/6,1/12),E15)))</f>
        <v/>
      </c>
      <c r="H15" s="84" t="inlineStr">
        <is>
          <t>Por unidad vendida</t>
        </is>
      </c>
      <c r="I15" s="77" t="inlineStr">
        <is>
          <t>Ejemplo</t>
        </is>
      </c>
    </row>
    <row r="16">
      <c r="B16" s="77" t="inlineStr">
        <is>
          <t>Publicidad</t>
        </is>
      </c>
      <c r="C16" s="84" t="inlineStr">
        <is>
          <t>Indirecto</t>
        </is>
      </c>
      <c r="D16" s="84" t="inlineStr">
        <is>
          <t>Variable</t>
        </is>
      </c>
      <c r="E16" s="78" t="n">
        <v>300000</v>
      </c>
      <c r="F16" s="84" t="inlineStr">
        <is>
          <t>Mensual</t>
        </is>
      </c>
      <c r="G16" s="79">
        <f>IF(N(E16)&lt;=0,0,IF(F16="",E16,IFERROR(E16*CHOOSE(MATCH(F16,{"Diaria","Semanal","Mensual","Trimestral","Semestral","Anual"},0),30,52/12,1,1/3,1/6,1/12),E16)))</f>
        <v/>
      </c>
      <c r="H16" s="84" t="inlineStr">
        <is>
          <t>No asignar</t>
        </is>
      </c>
      <c r="I16" s="77" t="inlineStr">
        <is>
          <t>Ejemplo</t>
        </is>
      </c>
    </row>
    <row r="17">
      <c r="B17" s="77" t="inlineStr">
        <is>
          <t>Medios de pago</t>
        </is>
      </c>
      <c r="C17" s="84" t="inlineStr">
        <is>
          <t>Directo</t>
        </is>
      </c>
      <c r="D17" s="84" t="inlineStr">
        <is>
          <t>Variable</t>
        </is>
      </c>
      <c r="E17" s="78" t="n">
        <v>120000</v>
      </c>
      <c r="F17" s="84" t="inlineStr">
        <is>
          <t>Mensual</t>
        </is>
      </c>
      <c r="G17" s="79">
        <f>IF(N(E17)&lt;=0,0,IF(F17="",E17,IFERROR(E17*CHOOSE(MATCH(F17,{"Diaria","Semanal","Mensual","Trimestral","Semestral","Anual"},0),30,52/12,1,1/3,1/6,1/12),E17)))</f>
        <v/>
      </c>
      <c r="H17" s="84" t="inlineStr">
        <is>
          <t>No asignar</t>
        </is>
      </c>
      <c r="I17" s="77" t="inlineStr">
        <is>
          <t>Ya considerados como % en la comisión</t>
        </is>
      </c>
    </row>
    <row r="18">
      <c r="B18" s="77" t="inlineStr">
        <is>
          <t>Transporte de compra</t>
        </is>
      </c>
      <c r="C18" s="84" t="inlineStr">
        <is>
          <t>Directo</t>
        </is>
      </c>
      <c r="D18" s="84" t="inlineStr">
        <is>
          <t>Variable</t>
        </is>
      </c>
      <c r="E18" s="78" t="n">
        <v>150000</v>
      </c>
      <c r="F18" s="84" t="inlineStr">
        <is>
          <t>Mensual</t>
        </is>
      </c>
      <c r="G18" s="79">
        <f>IF(N(E18)&lt;=0,0,IF(F18="",E18,IFERROR(E18*CHOOSE(MATCH(F18,{"Diaria","Semanal","Mensual","Trimestral","Semestral","Anual"},0),30,52/12,1,1/3,1/6,1/12),E18)))</f>
        <v/>
      </c>
      <c r="H18" s="84" t="inlineStr">
        <is>
          <t>No asignar</t>
        </is>
      </c>
      <c r="I18" s="77" t="inlineStr">
        <is>
          <t>Ejemplo</t>
        </is>
      </c>
    </row>
    <row r="19">
      <c r="B19" s="77" t="n"/>
      <c r="C19" s="84" t="n"/>
      <c r="D19" s="84" t="n"/>
      <c r="E19" s="78" t="n"/>
      <c r="F19" s="84" t="n"/>
      <c r="G19" s="79">
        <f>IF(N(E19)&lt;=0,0,IF(F19="",E19,IFERROR(E19*CHOOSE(MATCH(F19,{"Diaria","Semanal","Mensual","Trimestral","Semestral","Anual"},0),30,52/12,1,1/3,1/6,1/12),E19)))</f>
        <v/>
      </c>
      <c r="H19" s="84" t="n"/>
      <c r="I19" s="77" t="n"/>
    </row>
    <row r="20">
      <c r="B20" s="77" t="n"/>
      <c r="C20" s="84" t="n"/>
      <c r="D20" s="84" t="n"/>
      <c r="E20" s="78" t="n"/>
      <c r="F20" s="84" t="n"/>
      <c r="G20" s="79">
        <f>IF(N(E20)&lt;=0,0,IF(F20="",E20,IFERROR(E20*CHOOSE(MATCH(F20,{"Diaria","Semanal","Mensual","Trimestral","Semestral","Anual"},0),30,52/12,1,1/3,1/6,1/12),E20)))</f>
        <v/>
      </c>
      <c r="H20" s="84" t="n"/>
      <c r="I20" s="77" t="n"/>
    </row>
    <row r="21">
      <c r="B21" s="77" t="n"/>
      <c r="C21" s="84" t="n"/>
      <c r="D21" s="84" t="n"/>
      <c r="E21" s="78" t="n"/>
      <c r="F21" s="84" t="n"/>
      <c r="G21" s="79">
        <f>IF(N(E21)&lt;=0,0,IF(F21="",E21,IFERROR(E21*CHOOSE(MATCH(F21,{"Diaria","Semanal","Mensual","Trimestral","Semestral","Anual"},0),30,52/12,1,1/3,1/6,1/12),E21)))</f>
        <v/>
      </c>
      <c r="H21" s="84" t="n"/>
      <c r="I21" s="77" t="n"/>
    </row>
    <row r="22">
      <c r="B22" s="77" t="n"/>
      <c r="C22" s="84" t="n"/>
      <c r="D22" s="84" t="n"/>
      <c r="E22" s="78" t="n"/>
      <c r="F22" s="84" t="n"/>
      <c r="G22" s="79">
        <f>IF(N(E22)&lt;=0,0,IF(F22="",E22,IFERROR(E22*CHOOSE(MATCH(F22,{"Diaria","Semanal","Mensual","Trimestral","Semestral","Anual"},0),30,52/12,1,1/3,1/6,1/12),E22)))</f>
        <v/>
      </c>
      <c r="H22" s="84" t="n"/>
      <c r="I22" s="77" t="n"/>
    </row>
    <row r="23">
      <c r="B23" s="77" t="n"/>
      <c r="C23" s="84" t="n"/>
      <c r="D23" s="84" t="n"/>
      <c r="E23" s="78" t="n"/>
      <c r="F23" s="84" t="n"/>
      <c r="G23" s="79">
        <f>IF(N(E23)&lt;=0,0,IF(F23="",E23,IFERROR(E23*CHOOSE(MATCH(F23,{"Diaria","Semanal","Mensual","Trimestral","Semestral","Anual"},0),30,52/12,1,1/3,1/6,1/12),E23)))</f>
        <v/>
      </c>
      <c r="H23" s="84" t="n"/>
      <c r="I23" s="77" t="n"/>
    </row>
    <row r="24">
      <c r="B24" s="77" t="n"/>
      <c r="C24" s="84" t="n"/>
      <c r="D24" s="84" t="n"/>
      <c r="E24" s="78" t="n"/>
      <c r="F24" s="84" t="n"/>
      <c r="G24" s="79">
        <f>IF(N(E24)&lt;=0,0,IF(F24="",E24,IFERROR(E24*CHOOSE(MATCH(F24,{"Diaria","Semanal","Mensual","Trimestral","Semestral","Anual"},0),30,52/12,1,1/3,1/6,1/12),E24)))</f>
        <v/>
      </c>
      <c r="H24" s="84" t="n"/>
      <c r="I24" s="77" t="n"/>
    </row>
    <row r="25">
      <c r="B25" s="77" t="n"/>
      <c r="C25" s="84" t="n"/>
      <c r="D25" s="84" t="n"/>
      <c r="E25" s="78" t="n"/>
      <c r="F25" s="84" t="n"/>
      <c r="G25" s="79">
        <f>IF(N(E25)&lt;=0,0,IF(F25="",E25,IFERROR(E25*CHOOSE(MATCH(F25,{"Diaria","Semanal","Mensual","Trimestral","Semestral","Anual"},0),30,52/12,1,1/3,1/6,1/12),E25)))</f>
        <v/>
      </c>
      <c r="H25" s="84" t="n"/>
      <c r="I25" s="77" t="n"/>
    </row>
    <row r="26">
      <c r="B26" s="77" t="n"/>
      <c r="C26" s="84" t="n"/>
      <c r="D26" s="84" t="n"/>
      <c r="E26" s="78" t="n"/>
      <c r="F26" s="84" t="n"/>
      <c r="G26" s="79">
        <f>IF(N(E26)&lt;=0,0,IF(F26="",E26,IFERROR(E26*CHOOSE(MATCH(F26,{"Diaria","Semanal","Mensual","Trimestral","Semestral","Anual"},0),30,52/12,1,1/3,1/6,1/12),E26)))</f>
        <v/>
      </c>
      <c r="H26" s="84" t="n"/>
      <c r="I26" s="77" t="n"/>
    </row>
    <row r="27">
      <c r="B27" s="77" t="n"/>
      <c r="C27" s="84" t="n"/>
      <c r="D27" s="84" t="n"/>
      <c r="E27" s="78" t="n"/>
      <c r="F27" s="84" t="n"/>
      <c r="G27" s="79">
        <f>IF(N(E27)&lt;=0,0,IF(F27="",E27,IFERROR(E27*CHOOSE(MATCH(F27,{"Diaria","Semanal","Mensual","Trimestral","Semestral","Anual"},0),30,52/12,1,1/3,1/6,1/12),E27)))</f>
        <v/>
      </c>
      <c r="H27" s="84" t="n"/>
      <c r="I27" s="77" t="n"/>
    </row>
    <row r="28">
      <c r="B28" s="77" t="n"/>
      <c r="C28" s="84" t="n"/>
      <c r="D28" s="84" t="n"/>
      <c r="E28" s="78" t="n"/>
      <c r="F28" s="84" t="n"/>
      <c r="G28" s="79">
        <f>IF(N(E28)&lt;=0,0,IF(F28="",E28,IFERROR(E28*CHOOSE(MATCH(F28,{"Diaria","Semanal","Mensual","Trimestral","Semestral","Anual"},0),30,52/12,1,1/3,1/6,1/12),E28)))</f>
        <v/>
      </c>
      <c r="H28" s="84" t="n"/>
      <c r="I28" s="77" t="n"/>
    </row>
    <row r="29">
      <c r="B29" s="77" t="n"/>
      <c r="C29" s="84" t="n"/>
      <c r="D29" s="84" t="n"/>
      <c r="E29" s="78" t="n"/>
      <c r="F29" s="84" t="n"/>
      <c r="G29" s="79">
        <f>IF(N(E29)&lt;=0,0,IF(F29="",E29,IFERROR(E29*CHOOSE(MATCH(F29,{"Diaria","Semanal","Mensual","Trimestral","Semestral","Anual"},0),30,52/12,1,1/3,1/6,1/12),E29)))</f>
        <v/>
      </c>
      <c r="H29" s="84" t="n"/>
      <c r="I29" s="77" t="n"/>
    </row>
    <row r="30">
      <c r="B30" s="77" t="n"/>
      <c r="C30" s="84" t="n"/>
      <c r="D30" s="84" t="n"/>
      <c r="E30" s="78" t="n"/>
      <c r="F30" s="84" t="n"/>
      <c r="G30" s="79">
        <f>IF(N(E30)&lt;=0,0,IF(F30="",E30,IFERROR(E30*CHOOSE(MATCH(F30,{"Diaria","Semanal","Mensual","Trimestral","Semestral","Anual"},0),30,52/12,1,1/3,1/6,1/12),E30)))</f>
        <v/>
      </c>
      <c r="H30" s="84" t="n"/>
      <c r="I30" s="77" t="n"/>
    </row>
    <row r="31">
      <c r="B31" s="77" t="n"/>
      <c r="C31" s="84" t="n"/>
      <c r="D31" s="84" t="n"/>
      <c r="E31" s="78" t="n"/>
      <c r="F31" s="84" t="n"/>
      <c r="G31" s="79">
        <f>IF(N(E31)&lt;=0,0,IF(F31="",E31,IFERROR(E31*CHOOSE(MATCH(F31,{"Diaria","Semanal","Mensual","Trimestral","Semestral","Anual"},0),30,52/12,1,1/3,1/6,1/12),E31)))</f>
        <v/>
      </c>
      <c r="H31" s="84" t="n"/>
      <c r="I31" s="77" t="n"/>
    </row>
    <row r="32">
      <c r="B32" s="77" t="n"/>
      <c r="C32" s="84" t="n"/>
      <c r="D32" s="84" t="n"/>
      <c r="E32" s="78" t="n"/>
      <c r="F32" s="84" t="n"/>
      <c r="G32" s="79">
        <f>IF(N(E32)&lt;=0,0,IF(F32="",E32,IFERROR(E32*CHOOSE(MATCH(F32,{"Diaria","Semanal","Mensual","Trimestral","Semestral","Anual"},0),30,52/12,1,1/3,1/6,1/12),E32)))</f>
        <v/>
      </c>
      <c r="H32" s="84" t="n"/>
      <c r="I32" s="77" t="n"/>
    </row>
    <row r="33">
      <c r="B33" s="77" t="n"/>
      <c r="C33" s="84" t="n"/>
      <c r="D33" s="84" t="n"/>
      <c r="E33" s="78" t="n"/>
      <c r="F33" s="84" t="n"/>
      <c r="G33" s="79">
        <f>IF(N(E33)&lt;=0,0,IF(F33="",E33,IFERROR(E33*CHOOSE(MATCH(F33,{"Diaria","Semanal","Mensual","Trimestral","Semestral","Anual"},0),30,52/12,1,1/3,1/6,1/12),E33)))</f>
        <v/>
      </c>
      <c r="H33" s="84" t="n"/>
      <c r="I33" s="77" t="n"/>
    </row>
    <row r="34">
      <c r="B34" s="77" t="n"/>
      <c r="C34" s="84" t="n"/>
      <c r="D34" s="84" t="n"/>
      <c r="E34" s="78" t="n"/>
      <c r="F34" s="84" t="n"/>
      <c r="G34" s="79">
        <f>IF(N(E34)&lt;=0,0,IF(F34="",E34,IFERROR(E34*CHOOSE(MATCH(F34,{"Diaria","Semanal","Mensual","Trimestral","Semestral","Anual"},0),30,52/12,1,1/3,1/6,1/12),E34)))</f>
        <v/>
      </c>
      <c r="H34" s="84" t="n"/>
      <c r="I34" s="77" t="n"/>
    </row>
    <row r="35">
      <c r="B35" s="77" t="n"/>
      <c r="C35" s="84" t="n"/>
      <c r="D35" s="84" t="n"/>
      <c r="E35" s="78" t="n"/>
      <c r="F35" s="84" t="n"/>
      <c r="G35" s="79">
        <f>IF(N(E35)&lt;=0,0,IF(F35="",E35,IFERROR(E35*CHOOSE(MATCH(F35,{"Diaria","Semanal","Mensual","Trimestral","Semestral","Anual"},0),30,52/12,1,1/3,1/6,1/12),E35)))</f>
        <v/>
      </c>
      <c r="H35" s="84" t="n"/>
      <c r="I35" s="77" t="n"/>
    </row>
    <row r="36">
      <c r="B36" s="77" t="n"/>
      <c r="C36" s="84" t="n"/>
      <c r="D36" s="84" t="n"/>
      <c r="E36" s="78" t="n"/>
      <c r="F36" s="84" t="n"/>
      <c r="G36" s="79">
        <f>IF(N(E36)&lt;=0,0,IF(F36="",E36,IFERROR(E36*CHOOSE(MATCH(F36,{"Diaria","Semanal","Mensual","Trimestral","Semestral","Anual"},0),30,52/12,1,1/3,1/6,1/12),E36)))</f>
        <v/>
      </c>
      <c r="H36" s="84" t="n"/>
      <c r="I36" s="77" t="n"/>
    </row>
    <row r="37">
      <c r="B37" s="77" t="n"/>
      <c r="C37" s="84" t="n"/>
      <c r="D37" s="84" t="n"/>
      <c r="E37" s="78" t="n"/>
      <c r="F37" s="84" t="n"/>
      <c r="G37" s="79">
        <f>IF(N(E37)&lt;=0,0,IF(F37="",E37,IFERROR(E37*CHOOSE(MATCH(F37,{"Diaria","Semanal","Mensual","Trimestral","Semestral","Anual"},0),30,52/12,1,1/3,1/6,1/12),E37)))</f>
        <v/>
      </c>
      <c r="H37" s="84" t="n"/>
      <c r="I37" s="77" t="n"/>
    </row>
    <row r="38">
      <c r="B38" s="77" t="n"/>
      <c r="C38" s="84" t="n"/>
      <c r="D38" s="84" t="n"/>
      <c r="E38" s="78" t="n"/>
      <c r="F38" s="84" t="n"/>
      <c r="G38" s="79">
        <f>IF(N(E38)&lt;=0,0,IF(F38="",E38,IFERROR(E38*CHOOSE(MATCH(F38,{"Diaria","Semanal","Mensual","Trimestral","Semestral","Anual"},0),30,52/12,1,1/3,1/6,1/12),E38)))</f>
        <v/>
      </c>
      <c r="H38" s="84" t="n"/>
      <c r="I38" s="77" t="n"/>
    </row>
    <row r="39">
      <c r="B39" s="77" t="n"/>
      <c r="C39" s="84" t="n"/>
      <c r="D39" s="84" t="n"/>
      <c r="E39" s="78" t="n"/>
      <c r="F39" s="84" t="n"/>
      <c r="G39" s="79">
        <f>IF(N(E39)&lt;=0,0,IF(F39="",E39,IFERROR(E39*CHOOSE(MATCH(F39,{"Diaria","Semanal","Mensual","Trimestral","Semestral","Anual"},0),30,52/12,1,1/3,1/6,1/12),E39)))</f>
        <v/>
      </c>
      <c r="H39" s="84" t="n"/>
      <c r="I39" s="77" t="n"/>
    </row>
    <row r="40">
      <c r="B40" s="77" t="n"/>
      <c r="C40" s="84" t="n"/>
      <c r="D40" s="84" t="n"/>
      <c r="E40" s="78" t="n"/>
      <c r="F40" s="84" t="n"/>
      <c r="G40" s="79">
        <f>IF(N(E40)&lt;=0,0,IF(F40="",E40,IFERROR(E40*CHOOSE(MATCH(F40,{"Diaria","Semanal","Mensual","Trimestral","Semestral","Anual"},0),30,52/12,1,1/3,1/6,1/12),E40)))</f>
        <v/>
      </c>
      <c r="H40" s="84" t="n"/>
      <c r="I40" s="77" t="n"/>
    </row>
    <row r="41">
      <c r="B41" s="77" t="n"/>
      <c r="C41" s="84" t="n"/>
      <c r="D41" s="84" t="n"/>
      <c r="E41" s="78" t="n"/>
      <c r="F41" s="84" t="n"/>
      <c r="G41" s="79">
        <f>IF(N(E41)&lt;=0,0,IF(F41="",E41,IFERROR(E41*CHOOSE(MATCH(F41,{"Diaria","Semanal","Mensual","Trimestral","Semestral","Anual"},0),30,52/12,1,1/3,1/6,1/12),E41)))</f>
        <v/>
      </c>
      <c r="H41" s="84" t="n"/>
      <c r="I41" s="77" t="n"/>
    </row>
    <row r="42">
      <c r="B42" s="77" t="n"/>
      <c r="C42" s="84" t="n"/>
      <c r="D42" s="84" t="n"/>
      <c r="E42" s="78" t="n"/>
      <c r="F42" s="84" t="n"/>
      <c r="G42" s="79">
        <f>IF(N(E42)&lt;=0,0,IF(F42="",E42,IFERROR(E42*CHOOSE(MATCH(F42,{"Diaria","Semanal","Mensual","Trimestral","Semestral","Anual"},0),30,52/12,1,1/3,1/6,1/12),E42)))</f>
        <v/>
      </c>
      <c r="H42" s="84" t="n"/>
      <c r="I42" s="77" t="n"/>
    </row>
    <row r="44" ht="8" customHeight="1">
      <c r="B44" s="28" t="n"/>
    </row>
    <row r="45" ht="16" customHeight="1">
      <c r="B45" s="29" t="inlineStr">
        <is>
          <t>MIX SHOP DIGITAL  ·  Herramientas inteligentes que simplifican tu vida.</t>
        </is>
      </c>
    </row>
    <row r="46" ht="16" customHeight="1">
      <c r="B46" s="30"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C527"/>
  <mergeCells count="22">
    <mergeCell ref="B7:C7"/>
    <mergeCell ref="B1:D1"/>
    <mergeCell ref="B3:I3"/>
    <mergeCell ref="F6:G6"/>
    <mergeCell ref="B46:I46"/>
    <mergeCell ref="F7:G7"/>
    <mergeCell ref="D6:E6"/>
    <mergeCell ref="H6:I6"/>
    <mergeCell ref="B11:I11"/>
    <mergeCell ref="F5:G5"/>
    <mergeCell ref="E1:I1"/>
    <mergeCell ref="B44:I44"/>
    <mergeCell ref="D7:E7"/>
    <mergeCell ref="H7:I7"/>
    <mergeCell ref="E2:I2"/>
    <mergeCell ref="C4:I4"/>
    <mergeCell ref="B6:C6"/>
    <mergeCell ref="B5:C5"/>
    <mergeCell ref="D5:E5"/>
    <mergeCell ref="H5:I5"/>
    <mergeCell ref="B45:I45"/>
    <mergeCell ref="B2:D2"/>
  </mergeCells>
  <dataValidations count="6">
    <dataValidation sqref="C9" showDropDown="0" showInputMessage="1" showErrorMessage="1" allowBlank="1" errorTitle="Dato no válido" error="Ingresá un número válido. No se aceptan valores negativos ni texto." promptTitle="Unidades por mes" prompt="Estimá cuántas unidades vendés en un mes típico." type="decimal" operator="greaterThanOrEqual">
      <formula1>0</formula1>
    </dataValidation>
    <dataValidation sqref="C13:C42" showDropDown="0" showInputMessage="1" showErrorMessage="1" allowBlank="1" errorTitle="Valor no válido" error="Elegí un valor de la lista desplegable." promptTitle="Tipo de costo" prompt="Directo: se vincula a un producto. Indirecto: del negocio en general." type="list" errorStyle="stop">
      <formula1>"Directo,Indirecto"</formula1>
    </dataValidation>
    <dataValidation sqref="D13:D42" showDropDown="0" showInputMessage="1" showErrorMessage="1" allowBlank="1" errorTitle="Valor no válido" error="Elegí un valor de la lista desplegable." promptTitle="Comportamiento" prompt="Fijo: no cambia con las ventas. Variable: cambia con las ventas." type="list" errorStyle="stop">
      <formula1>"Fijo,Variable"</formula1>
    </dataValidation>
    <dataValidation sqref="F13:F42" showDropDown="0" showInputMessage="1" showErrorMessage="1" allowBlank="1" errorTitle="Valor no válido" error="Elegí un valor de la lista desplegable." promptTitle="Periodicidad" prompt="Cada cuánto pagás este gasto. Si lo dejás vacío se toma como mensual." type="list" errorStyle="stop">
      <formula1>"Diaria,Semanal,Mensual,Trimestral,Semestral,Anual"</formula1>
    </dataValidation>
    <dataValidation sqref="H13:H42" showDropDown="0" showInputMessage="1" showErrorMessage="1" allowBlank="1" errorTitle="Valor no válido" error="Elegí un valor de la lista desplegable." promptTitle="Criterio de asignación" prompt="«Por unidad vendida»: se reparte el gasto fijo entre las unidades estimadas por mes. «No asignar»: queda solo como información." type="list" errorStyle="stop">
      <formula1>"Por unidad vendida,No asignar"</formula1>
    </dataValidation>
    <dataValidation sqref="E13:E42" showDropDown="0" showInputMessage="1" showErrorMessage="1" allowBlank="1" errorTitle="Dato no válido" error="Ingresá un número válido. No se aceptan valores negativos ni texto." promptTitle="Monto del gasto" prompt="Monto en la moneda elegida, sin negativos." type="decimal" operator="greaterThanOrEqual">
      <formula1>0</formula1>
    </dataValidation>
  </dataValidations>
  <hyperlinks>
    <hyperlink ref="B4" location="'INICIO'!A1" display="← INICIO"/>
    <hyperlink xmlns:r="http://schemas.openxmlformats.org/officeDocument/2006/relationships" ref="B46" r:id="rId1"/>
  </hyperlinks>
  <printOptions horizontalCentered="1"/>
  <pageMargins left="0.75" right="0.75" top="1" bottom="1" header="0.5" footer="0.5"/>
  <pageSetup orientation="landscape" paperSize="9" fitToHeight="1" fitToWidth="1"/>
  <headerFooter>
    <oddHeader>&amp;C&amp;"Arial,Bold"&amp;14 &amp;K0B2A7AMIX SHOP DIGITAL</oddHeader>
    <oddFooter>&amp;L&amp;8 MIX SHOP DIGITAL — Herramientas inteligentes que simplifican tu vida.&amp;C&amp;8 Versión gratuita · mixshopdigital.com.py&amp;R&amp;8 Pág. &amp;P de &amp;N</oddFooter>
    <evenHeader/>
    <evenFooter/>
    <firstHeader/>
    <firstFooter/>
  </headerFooter>
</worksheet>
</file>

<file path=xl/worksheets/sheet6.xml><?xml version="1.0" encoding="utf-8"?>
<worksheet xmlns="http://schemas.openxmlformats.org/spreadsheetml/2006/main">
  <sheetPr>
    <tabColor rgb="000A52C4"/>
    <outlinePr summaryBelow="1" summaryRight="1"/>
    <pageSetUpPr fitToPage="1"/>
  </sheetPr>
  <dimension ref="B1:J52"/>
  <sheetViews>
    <sheetView showGridLines="0" workbookViewId="0">
      <selection activeCell="A1" sqref="A1"/>
    </sheetView>
  </sheetViews>
  <sheetFormatPr baseColWidth="8" defaultRowHeight="15"/>
  <cols>
    <col width="2" customWidth="1" min="1" max="1"/>
    <col width="34" customWidth="1" min="2" max="2"/>
    <col width="16" customWidth="1" min="3" max="3"/>
    <col width="16" customWidth="1" min="4" max="4"/>
    <col width="18" customWidth="1" min="5" max="5"/>
    <col width="36" customWidth="1" min="6" max="6"/>
    <col width="18" customWidth="1" min="7" max="7"/>
    <col width="18" customWidth="1" min="8" max="8"/>
    <col width="18" customWidth="1" min="9" max="9"/>
    <col width="26" customWidth="1" min="10" max="10"/>
  </cols>
  <sheetData>
    <row r="1" ht="30" customHeight="1">
      <c r="B1" s="1" t="inlineStr">
        <is>
          <t>MIX SHOP DIGITAL</t>
        </is>
      </c>
      <c r="E1" s="2" t="inlineStr">
        <is>
          <t>SIMULADOR DE PRECIOS</t>
        </is>
      </c>
    </row>
    <row r="2" ht="18" customHeight="1">
      <c r="B2" s="3" t="inlineStr">
        <is>
          <t>Herramientas inteligentes que simplifican tu vida.</t>
        </is>
      </c>
      <c r="E2" s="4" t="inlineStr">
        <is>
          <t>Probá escenarios y promociones antes de aplicarlos</t>
        </is>
      </c>
    </row>
    <row r="3" ht="4" customHeight="1">
      <c r="B3" s="5" t="n"/>
    </row>
    <row r="4" ht="20" customHeight="1">
      <c r="B4" s="31" t="inlineStr">
        <is>
          <t>← INICIO</t>
        </is>
      </c>
      <c r="C4" s="6" t="inlineStr">
        <is>
          <t>Completá solamente las celdas resaltadas. Los resultados se actualizan al instante.</t>
        </is>
      </c>
    </row>
    <row r="6">
      <c r="B6" s="12" t="inlineStr">
        <is>
          <t>DATOS A SIMULAR</t>
        </is>
      </c>
      <c r="C6" s="85" t="inlineStr">
        <is>
          <t>Tu dato</t>
        </is>
      </c>
      <c r="D6" s="85" t="inlineStr">
        <is>
          <t>Se usa</t>
        </is>
      </c>
      <c r="F6" s="50" t="inlineStr">
        <is>
          <t>RESULTADO DE LA SIMULACIÓN</t>
        </is>
      </c>
    </row>
    <row r="7" ht="21" customHeight="1">
      <c r="B7" s="39" t="inlineStr">
        <is>
          <t>Costo del producto (por unidad)</t>
        </is>
      </c>
      <c r="C7" s="37" t="n">
        <v>28500</v>
      </c>
      <c r="D7" s="72">
        <f>N(C7)</f>
        <v/>
      </c>
      <c r="F7" s="39" t="inlineStr">
        <is>
          <t>Precio final (con descuento)</t>
        </is>
      </c>
      <c r="G7" s="53">
        <f>D8*(1-D9)</f>
        <v/>
      </c>
    </row>
    <row r="8" ht="21" customHeight="1">
      <c r="B8" s="39" t="inlineStr">
        <is>
          <t>Precio de venta</t>
        </is>
      </c>
      <c r="C8" s="37" t="n">
        <v>60000</v>
      </c>
      <c r="D8" s="72">
        <f>N(C8)</f>
        <v/>
      </c>
      <c r="F8" s="32" t="inlineStr">
        <is>
          <t>Ganancia neta por unidad</t>
        </is>
      </c>
      <c r="G8" s="60">
        <f>G7*(1-D10-D11)-D7</f>
        <v/>
      </c>
      <c r="H8" s="86">
        <f>IF(D7&lt;=0,"",IF(G8&lt;0,"✖ Pérdida","✔ Ganancia"))</f>
        <v/>
      </c>
    </row>
    <row r="9" ht="21" customHeight="1">
      <c r="B9" s="39" t="inlineStr">
        <is>
          <t>Descuento a aplicar (%)</t>
        </is>
      </c>
      <c r="C9" s="36" t="n">
        <v>0.1</v>
      </c>
      <c r="D9" s="70">
        <f>IF(C9="",0,C9)</f>
        <v/>
      </c>
      <c r="F9" s="32" t="inlineStr">
        <is>
          <t>Margen real sobre la venta</t>
        </is>
      </c>
      <c r="G9" s="63">
        <f>IF(G7=0,0,G8/G7)</f>
        <v/>
      </c>
      <c r="H9" s="86">
        <f>IF(D7&lt;=0,"",IF(G9&lt;0,"✖ Pérdida",IF(G9&lt;MargenMin,"⚠ Margen insuficiente","✔ Saludable")))</f>
        <v/>
      </c>
    </row>
    <row r="10" ht="21" customHeight="1">
      <c r="B10" s="39" t="inlineStr">
        <is>
          <t>Comisión (%)</t>
        </is>
      </c>
      <c r="C10" s="36" t="n"/>
      <c r="D10" s="70">
        <f>IF(C10="",Comision,C10)</f>
        <v/>
      </c>
      <c r="F10" s="39" t="inlineStr">
        <is>
          <t>Rentabilidad sobre el costo</t>
        </is>
      </c>
      <c r="G10" s="64">
        <f>IF(D7=0,0,G8/D7)</f>
        <v/>
      </c>
    </row>
    <row r="11" ht="21" customHeight="1">
      <c r="B11" s="39" t="inlineStr">
        <is>
          <t>Impuestos o retenciones (%)</t>
        </is>
      </c>
      <c r="C11" s="36" t="n"/>
      <c r="D11" s="70">
        <f>IF(C11="",Impuesto,C11)</f>
        <v/>
      </c>
      <c r="F11" s="39" t="inlineStr">
        <is>
          <t>Precio mínimo (sin pérdida)</t>
        </is>
      </c>
      <c r="G11" s="53">
        <f>IF(OR(D7&lt;=0,1-D10-D11&lt;=0),0,D7/(1-D10-D11))</f>
        <v/>
      </c>
    </row>
    <row r="12" ht="21" customHeight="1">
      <c r="B12" s="39" t="inlineStr">
        <is>
          <t>Margen deseado (%)</t>
        </is>
      </c>
      <c r="C12" s="36" t="n"/>
      <c r="D12" s="70">
        <f>IF(C12="",MargenObj,C12)</f>
        <v/>
      </c>
      <c r="F12" s="39" t="inlineStr">
        <is>
          <t>Precio para tu margen deseado</t>
        </is>
      </c>
      <c r="G12" s="53">
        <f>IF(D7&lt;=0,0,IF(Metodo="Margen sobre venta",IF(1-D10-D11-D12&lt;=0,0,D7/(1-D10-D11-D12)),IF(1-D10-D11&lt;=0,0,D7*(1+D12)/(1-D10-D11))))</f>
        <v/>
      </c>
    </row>
    <row r="13" ht="21" customHeight="1">
      <c r="B13" s="39" t="inlineStr">
        <is>
          <t>Unidades a vender</t>
        </is>
      </c>
      <c r="C13" s="37" t="n">
        <v>100</v>
      </c>
      <c r="D13" s="72">
        <f>IF(C13="",0,C13)</f>
        <v/>
      </c>
      <c r="F13" s="32" t="inlineStr">
        <is>
          <t>Ganancia total según unidades</t>
        </is>
      </c>
      <c r="G13" s="60">
        <f>G8*D13</f>
        <v/>
      </c>
    </row>
    <row r="14">
      <c r="B14" s="43" t="inlineStr">
        <is>
          <t>Si dejás vacíos comisión, impuestos o margen, se usan los valores de CONFIGURACIÓN.</t>
        </is>
      </c>
    </row>
    <row r="15">
      <c r="B15" s="43">
        <f>"Método activo: "&amp;Metodo</f>
        <v/>
      </c>
    </row>
    <row r="17">
      <c r="B17" s="35" t="inlineStr">
        <is>
          <t>ESCENARIOS: CONSERVADOR · RECOMENDADO · OPTIMISTA</t>
        </is>
      </c>
    </row>
    <row r="18" ht="30" customHeight="1">
      <c r="B18" s="76" t="inlineStr">
        <is>
          <t>Escenario</t>
        </is>
      </c>
      <c r="C18" s="75" t="inlineStr">
        <is>
          <t>Ajuste de margen (puntos)</t>
        </is>
      </c>
      <c r="D18" s="75" t="inlineStr">
        <is>
          <t>Unidades estimadas</t>
        </is>
      </c>
      <c r="E18" s="76" t="inlineStr">
        <is>
          <t>Margen aplicado</t>
        </is>
      </c>
      <c r="F18" s="76" t="inlineStr">
        <is>
          <t>Precio de venta</t>
        </is>
      </c>
      <c r="G18" s="76" t="inlineStr">
        <is>
          <t>Ganancia neta por unidad</t>
        </is>
      </c>
      <c r="H18" s="76" t="inlineStr">
        <is>
          <t>Ganancia total</t>
        </is>
      </c>
      <c r="I18" s="76" t="inlineStr">
        <is>
          <t>Margen real</t>
        </is>
      </c>
      <c r="J18" s="76" t="inlineStr">
        <is>
          <t>Estado</t>
        </is>
      </c>
    </row>
    <row r="19" ht="21" customHeight="1">
      <c r="B19" s="32" t="inlineStr">
        <is>
          <t>Conservador</t>
        </is>
      </c>
      <c r="C19" s="87" t="n">
        <v>-0.1</v>
      </c>
      <c r="D19" s="37" t="n">
        <v>60</v>
      </c>
      <c r="E19" s="41">
        <f>MAX(0.005,$D$12+C19)</f>
        <v/>
      </c>
      <c r="F19" s="53">
        <f>IF($D$7&lt;=0,0,IF(Metodo="Margen sobre venta",IF(1-$D$10-$D$11-E19&lt;=0,0,$D$7/(1-$D$10-$D$11-E19)),IF(1-$D$10-$D$11&lt;=0,0,$D$7*(1+E19)/(1-$D$10-$D$11))))</f>
        <v/>
      </c>
      <c r="G19" s="53">
        <f>IF(F19=0,0,F19*(1-$D$10-$D$11)-$D$7)</f>
        <v/>
      </c>
      <c r="H19" s="60">
        <f>G19*D19</f>
        <v/>
      </c>
      <c r="I19" s="64">
        <f>IF(F19=0,0,G19/F19)</f>
        <v/>
      </c>
      <c r="J19" s="86">
        <f>IF(F19=0,"",IF(G19&lt;0,"✖ Pérdida",IF(I19&lt;MargenMin,"⚠ Margen bajo","✔ Rentable")))</f>
        <v/>
      </c>
    </row>
    <row r="20" ht="21" customHeight="1">
      <c r="B20" s="32" t="inlineStr">
        <is>
          <t>Recomendado</t>
        </is>
      </c>
      <c r="C20" s="87" t="n">
        <v>0</v>
      </c>
      <c r="D20" s="37" t="n">
        <v>100</v>
      </c>
      <c r="E20" s="41">
        <f>MAX(0.005,$D$12+C20)</f>
        <v/>
      </c>
      <c r="F20" s="53">
        <f>IF($D$7&lt;=0,0,IF(Metodo="Margen sobre venta",IF(1-$D$10-$D$11-E20&lt;=0,0,$D$7/(1-$D$10-$D$11-E20)),IF(1-$D$10-$D$11&lt;=0,0,$D$7*(1+E20)/(1-$D$10-$D$11))))</f>
        <v/>
      </c>
      <c r="G20" s="53">
        <f>IF(F20=0,0,F20*(1-$D$10-$D$11)-$D$7)</f>
        <v/>
      </c>
      <c r="H20" s="60">
        <f>G20*D20</f>
        <v/>
      </c>
      <c r="I20" s="64">
        <f>IF(F20=0,0,G20/F20)</f>
        <v/>
      </c>
      <c r="J20" s="86">
        <f>IF(F20=0,"",IF(G20&lt;0,"✖ Pérdida",IF(I20&lt;MargenMin,"⚠ Margen bajo","✔ Rentable")))</f>
        <v/>
      </c>
    </row>
    <row r="21" ht="21" customHeight="1">
      <c r="B21" s="32" t="inlineStr">
        <is>
          <t>Optimista</t>
        </is>
      </c>
      <c r="C21" s="87" t="n">
        <v>0.1</v>
      </c>
      <c r="D21" s="37" t="n">
        <v>140</v>
      </c>
      <c r="E21" s="41">
        <f>MAX(0.005,$D$12+C21)</f>
        <v/>
      </c>
      <c r="F21" s="53">
        <f>IF($D$7&lt;=0,0,IF(Metodo="Margen sobre venta",IF(1-$D$10-$D$11-E21&lt;=0,0,$D$7/(1-$D$10-$D$11-E21)),IF(1-$D$10-$D$11&lt;=0,0,$D$7*(1+E21)/(1-$D$10-$D$11))))</f>
        <v/>
      </c>
      <c r="G21" s="53">
        <f>IF(F21=0,0,F21*(1-$D$10-$D$11)-$D$7)</f>
        <v/>
      </c>
      <c r="H21" s="60">
        <f>G21*D21</f>
        <v/>
      </c>
      <c r="I21" s="64">
        <f>IF(F21=0,0,G21/F21)</f>
        <v/>
      </c>
      <c r="J21" s="86">
        <f>IF(F21=0,"",IF(G21&lt;0,"✖ Pérdida",IF(I21&lt;MargenMin,"⚠ Margen bajo","✔ Rentable")))</f>
        <v/>
      </c>
    </row>
    <row r="39">
      <c r="B39" s="50" t="inlineStr">
        <is>
          <t>SIMULADOR DE PROMOCIONES (sobre el precio de venta y costo de arriba)</t>
        </is>
      </c>
    </row>
    <row r="40" ht="32" customHeight="1">
      <c r="B40" s="76" t="inlineStr">
        <is>
          <t>Promoción</t>
        </is>
      </c>
      <c r="C40" s="76" t="inlineStr">
        <is>
          <t>Dato 1</t>
        </is>
      </c>
      <c r="D40" s="76" t="inlineStr">
        <is>
          <t>Dato 2</t>
        </is>
      </c>
      <c r="E40" s="76" t="inlineStr">
        <is>
          <t>Unidades que recibe el cliente</t>
        </is>
      </c>
      <c r="F40" s="76" t="inlineStr">
        <is>
          <t>Qué representa cada dato</t>
        </is>
      </c>
      <c r="G40" s="76" t="inlineStr">
        <is>
          <t>Ingreso por compra</t>
        </is>
      </c>
      <c r="H40" s="76" t="inlineStr">
        <is>
          <t>Costo por compra</t>
        </is>
      </c>
      <c r="I40" s="76" t="inlineStr">
        <is>
          <t>Ganancia neta por compra</t>
        </is>
      </c>
      <c r="J40" s="76" t="inlineStr">
        <is>
          <t>¿Sigue siendo rentable?</t>
        </is>
      </c>
    </row>
    <row r="41" ht="21" customHeight="1">
      <c r="B41" s="32" t="inlineStr">
        <is>
          <t>Sin promoción (precio de lista)</t>
        </is>
      </c>
      <c r="C41" s="58" t="inlineStr">
        <is>
          <t>—</t>
        </is>
      </c>
      <c r="D41" s="58" t="inlineStr">
        <is>
          <t>—</t>
        </is>
      </c>
      <c r="E41" s="65">
        <f>1</f>
        <v/>
      </c>
      <c r="F41" s="54" t="inlineStr">
        <is>
          <t>—</t>
        </is>
      </c>
      <c r="G41" s="53">
        <f>D8</f>
        <v/>
      </c>
      <c r="H41" s="53">
        <f>$D$7*E41</f>
        <v/>
      </c>
      <c r="I41" s="60">
        <f>G41*(1-$D$10-$D$11)-H41</f>
        <v/>
      </c>
      <c r="J41" s="86">
        <f>IF(OR($D$7&lt;=0,$D$8&lt;=0),"",IF(G41=0,"Completá los datos",IF(I41&lt;0,"✖ NO conviene: pérdida",IF(I41/G41&lt;MargenMin,"⚠ Poco rentable","✔ Rentable"))))</f>
        <v/>
      </c>
    </row>
    <row r="42" ht="21" customHeight="1">
      <c r="B42" s="32" t="inlineStr">
        <is>
          <t>Descuento A</t>
        </is>
      </c>
      <c r="C42" s="36" t="n">
        <v>0.1</v>
      </c>
      <c r="D42" s="58" t="inlineStr">
        <is>
          <t>—</t>
        </is>
      </c>
      <c r="E42" s="65">
        <f>1</f>
        <v/>
      </c>
      <c r="F42" s="54" t="inlineStr">
        <is>
          <t>Dato 1 = % de descuento</t>
        </is>
      </c>
      <c r="G42" s="53">
        <f>IF(C42="",0,D8*(1-C42))</f>
        <v/>
      </c>
      <c r="H42" s="53">
        <f>$D$7*E42</f>
        <v/>
      </c>
      <c r="I42" s="60">
        <f>G42*(1-$D$10-$D$11)-H42</f>
        <v/>
      </c>
      <c r="J42" s="86">
        <f>IF(OR($D$7&lt;=0,$D$8&lt;=0),"",IF(G42=0,"Completá los datos",IF(I42&lt;0,"✖ NO conviene: pérdida",IF(I42/G42&lt;MargenMin,"⚠ Poco rentable","✔ Rentable"))))</f>
        <v/>
      </c>
    </row>
    <row r="43" ht="21" customHeight="1">
      <c r="B43" s="32" t="inlineStr">
        <is>
          <t>Descuento B</t>
        </is>
      </c>
      <c r="C43" s="36" t="n">
        <v>0.15</v>
      </c>
      <c r="D43" s="58" t="inlineStr">
        <is>
          <t>—</t>
        </is>
      </c>
      <c r="E43" s="65">
        <f>1</f>
        <v/>
      </c>
      <c r="F43" s="54" t="inlineStr">
        <is>
          <t>Dato 1 = % de descuento</t>
        </is>
      </c>
      <c r="G43" s="53">
        <f>IF(C43="",0,D8*(1-C43))</f>
        <v/>
      </c>
      <c r="H43" s="53">
        <f>$D$7*E43</f>
        <v/>
      </c>
      <c r="I43" s="60">
        <f>G43*(1-$D$10-$D$11)-H43</f>
        <v/>
      </c>
      <c r="J43" s="86">
        <f>IF(OR($D$7&lt;=0,$D$8&lt;=0),"",IF(G43=0,"Completá los datos",IF(I43&lt;0,"✖ NO conviene: pérdida",IF(I43/G43&lt;MargenMin,"⚠ Poco rentable","✔ Rentable"))))</f>
        <v/>
      </c>
    </row>
    <row r="44" ht="21" customHeight="1">
      <c r="B44" s="32" t="inlineStr">
        <is>
          <t>Descuento C</t>
        </is>
      </c>
      <c r="C44" s="36" t="n">
        <v>0.2</v>
      </c>
      <c r="D44" s="58" t="inlineStr">
        <is>
          <t>—</t>
        </is>
      </c>
      <c r="E44" s="65">
        <f>1</f>
        <v/>
      </c>
      <c r="F44" s="54" t="inlineStr">
        <is>
          <t>Dato 1 = % de descuento</t>
        </is>
      </c>
      <c r="G44" s="53">
        <f>IF(C44="",0,D8*(1-C44))</f>
        <v/>
      </c>
      <c r="H44" s="53">
        <f>$D$7*E44</f>
        <v/>
      </c>
      <c r="I44" s="60">
        <f>G44*(1-$D$10-$D$11)-H44</f>
        <v/>
      </c>
      <c r="J44" s="86">
        <f>IF(OR($D$7&lt;=0,$D$8&lt;=0),"",IF(G44=0,"Completá los datos",IF(I44&lt;0,"✖ NO conviene: pérdida",IF(I44/G44&lt;MargenMin,"⚠ Poco rentable","✔ Rentable"))))</f>
        <v/>
      </c>
    </row>
    <row r="45" ht="21" customHeight="1">
      <c r="B45" s="32" t="inlineStr">
        <is>
          <t>2x1 (llevás 2, pagás 1)</t>
        </is>
      </c>
      <c r="C45" s="58" t="inlineStr">
        <is>
          <t>—</t>
        </is>
      </c>
      <c r="D45" s="58" t="inlineStr">
        <is>
          <t>—</t>
        </is>
      </c>
      <c r="E45" s="65">
        <f>2</f>
        <v/>
      </c>
      <c r="F45" s="54" t="inlineStr">
        <is>
          <t>Se cobra el precio de una unidad</t>
        </is>
      </c>
      <c r="G45" s="53">
        <f>D8</f>
        <v/>
      </c>
      <c r="H45" s="53">
        <f>$D$7*E45</f>
        <v/>
      </c>
      <c r="I45" s="60">
        <f>G45*(1-$D$10-$D$11)-H45</f>
        <v/>
      </c>
      <c r="J45" s="86">
        <f>IF(OR($D$7&lt;=0,$D$8&lt;=0),"",IF(G45=0,"Completá los datos",IF(I45&lt;0,"✖ NO conviene: pérdida",IF(I45/G45&lt;MargenMin,"⚠ Poco rentable","✔ Rentable"))))</f>
        <v/>
      </c>
    </row>
    <row r="46" ht="21" customHeight="1">
      <c r="B46" s="32" t="inlineStr">
        <is>
          <t>Combo</t>
        </is>
      </c>
      <c r="C46" s="37" t="n">
        <v>3</v>
      </c>
      <c r="D46" s="37" t="n">
        <v>150000</v>
      </c>
      <c r="E46" s="65">
        <f>IF(C46="",0,C46)</f>
        <v/>
      </c>
      <c r="F46" s="54" t="inlineStr">
        <is>
          <t>Dato 1 = unidades · Dato 2 = precio del combo</t>
        </is>
      </c>
      <c r="G46" s="53">
        <f>IF(D46="",0,D46)</f>
        <v/>
      </c>
      <c r="H46" s="53">
        <f>$D$7*E46</f>
        <v/>
      </c>
      <c r="I46" s="60">
        <f>G46*(1-$D$10-$D$11)-H46</f>
        <v/>
      </c>
      <c r="J46" s="86">
        <f>IF(OR($D$7&lt;=0,$D$8&lt;=0),"",IF(G46=0,"Completá los datos",IF(I46&lt;0,"✖ NO conviene: pérdida",IF(I46/G46&lt;MargenMin,"⚠ Poco rentable","✔ Rentable"))))</f>
        <v/>
      </c>
    </row>
    <row r="47" ht="21" customHeight="1">
      <c r="B47" s="32" t="inlineStr">
        <is>
          <t>Precio especial por cantidad</t>
        </is>
      </c>
      <c r="C47" s="37" t="n">
        <v>6</v>
      </c>
      <c r="D47" s="37" t="n">
        <v>50000</v>
      </c>
      <c r="E47" s="65">
        <f>IF(C47="",0,C47)</f>
        <v/>
      </c>
      <c r="F47" s="54" t="inlineStr">
        <is>
          <t>Dato 1 = unidades · Dato 2 = precio por unidad</t>
        </is>
      </c>
      <c r="G47" s="53">
        <f>IF(OR(C47="",D47=""),0,C47*D47)</f>
        <v/>
      </c>
      <c r="H47" s="53">
        <f>$D$7*E47</f>
        <v/>
      </c>
      <c r="I47" s="60">
        <f>G47*(1-$D$10-$D$11)-H47</f>
        <v/>
      </c>
      <c r="J47" s="86">
        <f>IF(OR($D$7&lt;=0,$D$8&lt;=0),"",IF(G47=0,"Completá los datos",IF(I47&lt;0,"✖ NO conviene: pérdida",IF(I47/G47&lt;MargenMin,"⚠ Poco rentable","✔ Rentable"))))</f>
        <v/>
      </c>
    </row>
    <row r="48">
      <c r="B48" s="43" t="inlineStr">
        <is>
          <t>El 2x1, el combo y el precio por cantidad se evalúan sobre el total de la compra: ingreso − costo de todas las unidades − comisión e impuestos.</t>
        </is>
      </c>
    </row>
    <row r="50" ht="8" customHeight="1">
      <c r="B50" s="28" t="n"/>
    </row>
    <row r="51" ht="16" customHeight="1">
      <c r="B51" s="29" t="inlineStr">
        <is>
          <t>MIX SHOP DIGITAL  ·  Herramientas inteligentes que simplifican tu vida.</t>
        </is>
      </c>
    </row>
    <row r="52" ht="16" customHeight="1">
      <c r="B52" s="30"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C527"/>
  <mergeCells count="12">
    <mergeCell ref="C4:J4"/>
    <mergeCell ref="E1:J1"/>
    <mergeCell ref="B3:J3"/>
    <mergeCell ref="F6:H6"/>
    <mergeCell ref="B51:J51"/>
    <mergeCell ref="E2:J2"/>
    <mergeCell ref="B1:D1"/>
    <mergeCell ref="B50:J50"/>
    <mergeCell ref="B17:J17"/>
    <mergeCell ref="B39:J39"/>
    <mergeCell ref="B52:J52"/>
    <mergeCell ref="B2:D2"/>
  </mergeCells>
  <conditionalFormatting sqref="H8:H9">
    <cfRule type="expression" priority="1" dxfId="0" stopIfTrue="1">
      <formula>ISNUMBER(SEARCH("érdida",$H8))+ISNUMBER(SEARCH("NO conviene",$H8))+ISNUMBER(SEARCH("por debajo",$H8))&gt;0</formula>
    </cfRule>
    <cfRule type="expression" priority="2" dxfId="1" stopIfTrue="1">
      <formula>LEFT($H8,1)="⚠"</formula>
    </cfRule>
    <cfRule type="expression" priority="3" dxfId="2">
      <formula>LEFT($H8,1)="✔"</formula>
    </cfRule>
  </conditionalFormatting>
  <conditionalFormatting sqref="G8">
    <cfRule type="cellIs" priority="4" operator="lessThan" dxfId="0">
      <formula>0</formula>
    </cfRule>
  </conditionalFormatting>
  <conditionalFormatting sqref="G13">
    <cfRule type="cellIs" priority="5" operator="lessThan" dxfId="0">
      <formula>0</formula>
    </cfRule>
  </conditionalFormatting>
  <conditionalFormatting sqref="J19:J21">
    <cfRule type="expression" priority="6" dxfId="0" stopIfTrue="1">
      <formula>ISNUMBER(SEARCH("érdida",$J19))+ISNUMBER(SEARCH("NO conviene",$J19))+ISNUMBER(SEARCH("por debajo",$J19))&gt;0</formula>
    </cfRule>
    <cfRule type="expression" priority="7" dxfId="1" stopIfTrue="1">
      <formula>LEFT($J19,1)="⚠"</formula>
    </cfRule>
    <cfRule type="expression" priority="8" dxfId="2">
      <formula>LEFT($J19,1)="✔"</formula>
    </cfRule>
  </conditionalFormatting>
  <conditionalFormatting sqref="J41:J47">
    <cfRule type="expression" priority="9" dxfId="0" stopIfTrue="1">
      <formula>ISNUMBER(SEARCH("érdida",$J41))+ISNUMBER(SEARCH("NO conviene",$J41))+ISNUMBER(SEARCH("por debajo",$J41))&gt;0</formula>
    </cfRule>
    <cfRule type="expression" priority="10" dxfId="1" stopIfTrue="1">
      <formula>LEFT($J41,1)="⚠"</formula>
    </cfRule>
    <cfRule type="expression" priority="11" dxfId="2">
      <formula>LEFT($J41,1)="✔"</formula>
    </cfRule>
  </conditionalFormatting>
  <conditionalFormatting sqref="I41:I47">
    <cfRule type="cellIs" priority="12" operator="lessThan" dxfId="3">
      <formula>0</formula>
    </cfRule>
  </conditionalFormatting>
  <dataValidations count="16">
    <dataValidation sqref="C7"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8"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9"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10"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11"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12"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13"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19:C21" showDropDown="0" showInputMessage="1" showErrorMessage="1" allowBlank="1" errorTitle="Dato no válido" error="Ingresá un valor entre -50 % y +50 %." promptTitle="Ajuste de margen" prompt="Puntos que se suman o restan al margen deseado. Ej.: -10 % o +10 %." type="decimal" operator="between">
      <formula1>-0.5</formula1>
      <formula2>0.5</formula2>
    </dataValidation>
    <dataValidation sqref="D19:D21" showDropDown="0" showInputMessage="1" showErrorMessage="1" allowBlank="1" errorTitle="Dato no válido" error="Ingresá un número válido. No se aceptan valores negativos ni texto." promptTitle="Unidades" prompt="Unidades que estimás vender en este escenario." type="decimal" operator="greaterThanOrEqual">
      <formula1>0</formula1>
    </dataValidation>
    <dataValidation sqref="C42"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43"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44"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46" showDropDown="0" showInputMessage="1" showErrorMessage="1" allowBlank="1" errorTitle="Dato no válido" error="Ingresá un número válido. No se aceptan valores negativos ni texto." promptTitle="Unidades" prompt="Cuántas unidades incluye la promoción." type="decimal" operator="greaterThanOrEqual">
      <formula1>1</formula1>
    </dataValidation>
    <dataValidation sqref="D46" showDropDown="0" showInputMessage="1" showErrorMessage="1" allowBlank="1" errorTitle="Dato no válido" error="Ingresá un número válido. No se aceptan valores negativos ni texto." promptTitle="Precio" prompt="Precio en la moneda elegida." type="decimal" operator="greaterThanOrEqual">
      <formula1>0</formula1>
    </dataValidation>
    <dataValidation sqref="C47" showDropDown="0" showInputMessage="1" showErrorMessage="1" allowBlank="1" errorTitle="Dato no válido" error="Ingresá un número válido. No se aceptan valores negativos ni texto." promptTitle="Unidades" prompt="Cuántas unidades incluye la promoción." type="decimal" operator="greaterThanOrEqual">
      <formula1>1</formula1>
    </dataValidation>
    <dataValidation sqref="D47" showDropDown="0" showInputMessage="1" showErrorMessage="1" allowBlank="1" errorTitle="Dato no válido" error="Ingresá un número válido. No se aceptan valores negativos ni texto." promptTitle="Precio" prompt="Precio en la moneda elegida." type="decimal" operator="greaterThanOrEqual">
      <formula1>0</formula1>
    </dataValidation>
  </dataValidations>
  <hyperlinks>
    <hyperlink ref="B4" location="'INICIO'!A1" display="← INICIO"/>
    <hyperlink xmlns:r="http://schemas.openxmlformats.org/officeDocument/2006/relationships" ref="B52" r:id="rId1"/>
  </hyperlinks>
  <printOptions horizontalCentered="1"/>
  <pageMargins left="0.75" right="0.75" top="1" bottom="1" header="0.5" footer="0.5"/>
  <pageSetup orientation="landscape" paperSize="9" fitToHeight="0" fitToWidth="1"/>
  <headerFooter>
    <oddHeader>&amp;C&amp;"Arial,Bold"&amp;14 &amp;K0B2A7AMIX SHOP DIGITAL</oddHeader>
    <oddFooter>&amp;L&amp;8 MIX SHOP DIGITAL — Herramientas inteligentes que simplifican tu vida.&amp;C&amp;8 Versión gratuita · mixshopdigital.com.py&amp;R&amp;8 Pág. &amp;P de &amp;N</oddFooter>
    <evenHeader/>
    <evenFooter/>
    <firstHeader/>
    <firstFooter/>
  </headerFooter>
  <drawing xmlns:r="http://schemas.openxmlformats.org/officeDocument/2006/relationships" r:id="rId2"/>
</worksheet>
</file>

<file path=xl/worksheets/sheet7.xml><?xml version="1.0" encoding="utf-8"?>
<worksheet xmlns="http://schemas.openxmlformats.org/spreadsheetml/2006/main">
  <sheetPr>
    <tabColor rgb="000A52C4"/>
    <outlinePr summaryBelow="1" summaryRight="1"/>
    <pageSetUpPr fitToPage="1"/>
  </sheetPr>
  <dimension ref="B1:M80"/>
  <sheetViews>
    <sheetView showGridLines="0" workbookViewId="0">
      <selection activeCell="A1" sqref="A1"/>
    </sheetView>
  </sheetViews>
  <sheetFormatPr baseColWidth="8" defaultRowHeight="15"/>
  <cols>
    <col width="2" customWidth="1" min="1" max="1"/>
    <col width="7" customWidth="1" min="2" max="2"/>
    <col width="26" customWidth="1" min="3" max="3"/>
    <col width="14" customWidth="1" min="4" max="4"/>
    <col width="14" customWidth="1" min="5" max="5"/>
    <col width="14" customWidth="1" min="6" max="6"/>
    <col width="14" customWidth="1" min="7" max="7"/>
    <col width="16" customWidth="1" min="8" max="8"/>
    <col width="14" customWidth="1" min="9" max="9"/>
    <col width="14" customWidth="1" min="10" max="10"/>
    <col width="14" customWidth="1" min="11" max="11"/>
    <col width="14" customWidth="1" min="12" max="12"/>
    <col width="14" customWidth="1" min="13" max="13"/>
  </cols>
  <sheetData>
    <row r="1" ht="30" customHeight="1">
      <c r="B1" s="1" t="inlineStr">
        <is>
          <t>MIX SHOP DIGITAL</t>
        </is>
      </c>
      <c r="F1" s="2" t="inlineStr">
        <is>
          <t>DASHBOARD</t>
        </is>
      </c>
    </row>
    <row r="2" ht="18" customHeight="1">
      <c r="B2" s="3" t="inlineStr">
        <is>
          <t>Herramientas inteligentes que simplifican tu vida.</t>
        </is>
      </c>
      <c r="F2" s="4" t="inlineStr">
        <is>
          <t>Panel de control de tu negocio</t>
        </is>
      </c>
    </row>
    <row r="3" ht="4" customHeight="1">
      <c r="B3" s="5" t="n"/>
    </row>
    <row r="4" ht="20" customHeight="1">
      <c r="B4" s="31" t="inlineStr">
        <is>
          <t>← INICIO</t>
        </is>
      </c>
      <c r="C4" s="6" t="inlineStr">
        <is>
          <t>Se actualiza automáticamente con lo que cargás en el COMPARADOR, la CALCULADORA y el SIMULADOR. No hace falta escribir nada acá, salvo el filtro.</t>
        </is>
      </c>
    </row>
    <row r="6">
      <c r="B6" s="19" t="inlineStr">
        <is>
          <t>Filtrar por categoría:</t>
        </is>
      </c>
      <c r="D6" s="62" t="inlineStr">
        <is>
          <t>Todas</t>
        </is>
      </c>
      <c r="F6" s="43" t="inlineStr">
        <is>
          <t>← los indicadores y el ranking se filtran. (El filtro por período no aplica: la planilla no registra fechas.)</t>
        </is>
      </c>
    </row>
    <row r="8" ht="16" customHeight="1">
      <c r="B8" s="44" t="inlineStr">
        <is>
          <t>PRODUCTOS REGISTRADOS</t>
        </is>
      </c>
      <c r="E8" s="44" t="inlineStr">
        <is>
          <t>INVERSIÓN TOTAL EN PRODUCTOS</t>
        </is>
      </c>
      <c r="H8" s="44" t="inlineStr">
        <is>
          <t>VALOR DEL INVENTARIO</t>
        </is>
      </c>
      <c r="K8" s="44" t="inlineStr">
        <is>
          <t>GANANCIA POTENCIAL</t>
        </is>
      </c>
    </row>
    <row r="9" ht="30" customHeight="1">
      <c r="B9" s="88">
        <f>SUMPRODUCT(((('COMPARADOR DE PRODUCTOS'!$D$7:$D$206=CatSel)+(CatSel="Todas"))&gt;0)*('COMPARADOR DE PRODUCTOS'!$C$7:$C$206&lt;&gt;"")*('COMPARADOR DE PRODUCTOS'!$E$7:$E$206&gt;0))</f>
        <v/>
      </c>
      <c r="E9" s="46">
        <f>SUMPRODUCT(((('COMPARADOR DE PRODUCTOS'!$D$7:$D$206=CatSel)+(CatSel="Todas"))&gt;0)*('COMPARADOR DE PRODUCTOS'!$C$7:$C$206&lt;&gt;"")*('COMPARADOR DE PRODUCTOS'!$E$7:$E$206&gt;0)*'COMPARADOR DE PRODUCTOS'!$E$7:$E$206*'COMPARADOR DE PRODUCTOS'!$J$7:$J$206)</f>
        <v/>
      </c>
      <c r="H9" s="46">
        <f>SUMPRODUCT(((('COMPARADOR DE PRODUCTOS'!$D$7:$D$206=CatSel)+(CatSel="Todas"))&gt;0)*('COMPARADOR DE PRODUCTOS'!$C$7:$C$206&lt;&gt;"")*('COMPARADOR DE PRODUCTOS'!$E$7:$E$206&gt;0)*'COMPARADOR DE PRODUCTOS'!$F$7:$F$206*'COMPARADOR DE PRODUCTOS'!$J$7:$J$206)</f>
        <v/>
      </c>
      <c r="K9" s="83">
        <f>SUMPRODUCT(((('COMPARADOR DE PRODUCTOS'!$D$7:$D$206=CatSel)+(CatSel="Todas"))&gt;0)*('COMPARADOR DE PRODUCTOS'!$C$7:$C$206&lt;&gt;"")*('COMPARADOR DE PRODUCTOS'!$E$7:$E$206&gt;0)*'COMPARADOR DE PRODUCTOS'!$H$7:$H$206*'COMPARADOR DE PRODUCTOS'!$J$7:$J$206)</f>
        <v/>
      </c>
    </row>
    <row r="10" ht="15" customHeight="1">
      <c r="B10" s="49" t="inlineStr">
        <is>
          <t>en el comparador</t>
        </is>
      </c>
      <c r="E10" s="49">
        <f>"costo × stock · "&amp;Moneda</f>
        <v/>
      </c>
      <c r="H10" s="49">
        <f>"a precio de venta · "&amp;Moneda</f>
        <v/>
      </c>
      <c r="K10" s="49">
        <f>"neta, si vendés todo el stock · "&amp;Moneda</f>
        <v/>
      </c>
    </row>
    <row r="12" ht="16" customHeight="1">
      <c r="B12" s="44" t="inlineStr">
        <is>
          <t>MARGEN PROMEDIO</t>
        </is>
      </c>
      <c r="E12" s="44" t="inlineStr">
        <is>
          <t>PRODUCTOS RENTABLES</t>
        </is>
      </c>
      <c r="H12" s="44" t="inlineStr">
        <is>
          <t>PRODUCTOS CON MARGEN BAJO</t>
        </is>
      </c>
      <c r="K12" s="44" t="inlineStr">
        <is>
          <t>PRODUCTOS CON PÉRDIDA</t>
        </is>
      </c>
    </row>
    <row r="13" ht="30" customHeight="1">
      <c r="B13" s="47">
        <f>IFERROR(SUMPRODUCT(((('COMPARADOR DE PRODUCTOS'!$D$7:$D$206=CatSel)+(CatSel="Todas"))&gt;0)*('COMPARADOR DE PRODUCTOS'!$C$7:$C$206&lt;&gt;"")*('COMPARADOR DE PRODUCTOS'!$E$7:$E$206&gt;0)*('COMPARADOR DE PRODUCTOS'!$F$7:$F$206&gt;0)*'COMPARADOR DE PRODUCTOS'!$I$7:$I$206)/SUMPRODUCT(((('COMPARADOR DE PRODUCTOS'!$D$7:$D$206=CatSel)+(CatSel="Todas"))&gt;0)*('COMPARADOR DE PRODUCTOS'!$C$7:$C$206&lt;&gt;"")*('COMPARADOR DE PRODUCTOS'!$E$7:$E$206&gt;0)*('COMPARADOR DE PRODUCTOS'!$F$7:$F$206&gt;0)),0)</f>
        <v/>
      </c>
      <c r="E13" s="89">
        <f>SUMPRODUCT(((('COMPARADOR DE PRODUCTOS'!$D$7:$D$206=CatSel)+(CatSel="Todas"))&gt;0)*('COMPARADOR DE PRODUCTOS'!$C$7:$C$206&lt;&gt;"")*('COMPARADOR DE PRODUCTOS'!$E$7:$E$206&gt;0)*(('COMPARADOR DE PRODUCTOS'!$L$7:$L$206="Rentable")+('COMPARADOR DE PRODUCTOS'!$L$7:$L$206="Aceptable")))</f>
        <v/>
      </c>
      <c r="H13" s="90">
        <f>SUMPRODUCT(((('COMPARADOR DE PRODUCTOS'!$D$7:$D$206=CatSel)+(CatSel="Todas"))&gt;0)*('COMPARADOR DE PRODUCTOS'!$C$7:$C$206&lt;&gt;"")*('COMPARADOR DE PRODUCTOS'!$E$7:$E$206&gt;0)*('COMPARADOR DE PRODUCTOS'!$L$7:$L$206="Margen bajo"))</f>
        <v/>
      </c>
      <c r="K13" s="91">
        <f>SUMPRODUCT(((('COMPARADOR DE PRODUCTOS'!$D$7:$D$206=CatSel)+(CatSel="Todas"))&gt;0)*('COMPARADOR DE PRODUCTOS'!$C$7:$C$206&lt;&gt;"")*('COMPARADOR DE PRODUCTOS'!$E$7:$E$206&gt;0)*('COMPARADOR DE PRODUCTOS'!$L$7:$L$206="PÉRDIDA"))</f>
        <v/>
      </c>
    </row>
    <row r="14" ht="15" customHeight="1">
      <c r="B14" s="49" t="inlineStr">
        <is>
          <t>sobre precio de venta</t>
        </is>
      </c>
      <c r="E14" s="49" t="inlineStr">
        <is>
          <t>margen igual o mayor al mínimo</t>
        </is>
      </c>
      <c r="H14" s="49" t="inlineStr">
        <is>
          <t>ganan, pero menos del mínimo</t>
        </is>
      </c>
      <c r="K14" s="49" t="inlineStr">
        <is>
          <t>se venden por debajo del costo</t>
        </is>
      </c>
    </row>
    <row r="16">
      <c r="B16" s="35" t="inlineStr">
        <is>
          <t>RANKING: LOS 10 PRODUCTOS CON MAYOR GANANCIA POR UNIDAD</t>
        </is>
      </c>
    </row>
    <row r="17" ht="28" customHeight="1">
      <c r="B17" s="76" t="inlineStr">
        <is>
          <t>#</t>
        </is>
      </c>
      <c r="C17" s="76" t="inlineStr">
        <is>
          <t>Producto</t>
        </is>
      </c>
      <c r="D17" s="76" t="inlineStr">
        <is>
          <t>Costo</t>
        </is>
      </c>
      <c r="E17" s="76" t="inlineStr">
        <is>
          <t>Precio</t>
        </is>
      </c>
      <c r="F17" s="76" t="inlineStr">
        <is>
          <t>Ganancia por unidad</t>
        </is>
      </c>
      <c r="G17" s="76" t="inlineStr">
        <is>
          <t>Margen</t>
        </is>
      </c>
      <c r="H17" s="76" t="inlineStr">
        <is>
          <t>Estado</t>
        </is>
      </c>
    </row>
    <row r="18">
      <c r="B18" s="92">
        <f>IF(ISNUMBER(F18),1,"")</f>
        <v/>
      </c>
      <c r="C18" s="93">
        <f>IFERROR(INDEX('COMPARADOR DE PRODUCTOS'!$C$7:$C$206,MATCH(LARGE('COMPARADOR DE PRODUCTOS'!$X$7:$X$206,1),'COMPARADOR DE PRODUCTOS'!$X$7:$X$206,0)),"")</f>
        <v/>
      </c>
      <c r="D18" s="53">
        <f>IFERROR(INDEX('COMPARADOR DE PRODUCTOS'!$E$7:$E$206,MATCH(LARGE('COMPARADOR DE PRODUCTOS'!$X$7:$X$206,1),'COMPARADOR DE PRODUCTOS'!$X$7:$X$206,0)),"")</f>
        <v/>
      </c>
      <c r="E18" s="53">
        <f>IFERROR(INDEX('COMPARADOR DE PRODUCTOS'!$F$7:$F$206,MATCH(LARGE('COMPARADOR DE PRODUCTOS'!$X$7:$X$206,1),'COMPARADOR DE PRODUCTOS'!$X$7:$X$206,0)),"")</f>
        <v/>
      </c>
      <c r="F18" s="60">
        <f>IFERROR(INDEX('COMPARADOR DE PRODUCTOS'!$H$7:$H$206,MATCH(LARGE('COMPARADOR DE PRODUCTOS'!$X$7:$X$206,1),'COMPARADOR DE PRODUCTOS'!$X$7:$X$206,0)),"")</f>
        <v/>
      </c>
      <c r="G18" s="64">
        <f>IFERROR(INDEX('COMPARADOR DE PRODUCTOS'!$I$7:$I$206,MATCH(LARGE('COMPARADOR DE PRODUCTOS'!$X$7:$X$206,1),'COMPARADOR DE PRODUCTOS'!$X$7:$X$206,0)),"")</f>
        <v/>
      </c>
      <c r="H18" s="68">
        <f>IFERROR(INDEX('COMPARADOR DE PRODUCTOS'!$L$7:$L$206,MATCH(LARGE('COMPARADOR DE PRODUCTOS'!$X$7:$X$206,1),'COMPARADOR DE PRODUCTOS'!$X$7:$X$206,0)),"")</f>
        <v/>
      </c>
      <c r="J18" s="74" t="inlineStr">
        <is>
          <t>Cómo leer el ranking:</t>
        </is>
      </c>
    </row>
    <row r="19">
      <c r="B19" s="92">
        <f>IF(ISNUMBER(F19),2,"")</f>
        <v/>
      </c>
      <c r="C19" s="93">
        <f>IFERROR(INDEX('COMPARADOR DE PRODUCTOS'!$C$7:$C$206,MATCH(LARGE('COMPARADOR DE PRODUCTOS'!$X$7:$X$206,2),'COMPARADOR DE PRODUCTOS'!$X$7:$X$206,0)),"")</f>
        <v/>
      </c>
      <c r="D19" s="53">
        <f>IFERROR(INDEX('COMPARADOR DE PRODUCTOS'!$E$7:$E$206,MATCH(LARGE('COMPARADOR DE PRODUCTOS'!$X$7:$X$206,2),'COMPARADOR DE PRODUCTOS'!$X$7:$X$206,0)),"")</f>
        <v/>
      </c>
      <c r="E19" s="53">
        <f>IFERROR(INDEX('COMPARADOR DE PRODUCTOS'!$F$7:$F$206,MATCH(LARGE('COMPARADOR DE PRODUCTOS'!$X$7:$X$206,2),'COMPARADOR DE PRODUCTOS'!$X$7:$X$206,0)),"")</f>
        <v/>
      </c>
      <c r="F19" s="60">
        <f>IFERROR(INDEX('COMPARADOR DE PRODUCTOS'!$H$7:$H$206,MATCH(LARGE('COMPARADOR DE PRODUCTOS'!$X$7:$X$206,2),'COMPARADOR DE PRODUCTOS'!$X$7:$X$206,0)),"")</f>
        <v/>
      </c>
      <c r="G19" s="64">
        <f>IFERROR(INDEX('COMPARADOR DE PRODUCTOS'!$I$7:$I$206,MATCH(LARGE('COMPARADOR DE PRODUCTOS'!$X$7:$X$206,2),'COMPARADOR DE PRODUCTOS'!$X$7:$X$206,0)),"")</f>
        <v/>
      </c>
      <c r="H19" s="68">
        <f>IFERROR(INDEX('COMPARADOR DE PRODUCTOS'!$L$7:$L$206,MATCH(LARGE('COMPARADOR DE PRODUCTOS'!$X$7:$X$206,2),'COMPARADOR DE PRODUCTOS'!$X$7:$X$206,0)),"")</f>
        <v/>
      </c>
      <c r="J19" s="94" t="inlineStr">
        <is>
          <t>Los productos de arriba son los que más dinero te dejan por cada unidad vendida. Revisá los de abajo: si están cerca del costo, conviene subir el precio o bajar el costo.</t>
        </is>
      </c>
    </row>
    <row r="20">
      <c r="B20" s="92">
        <f>IF(ISNUMBER(F20),3,"")</f>
        <v/>
      </c>
      <c r="C20" s="93">
        <f>IFERROR(INDEX('COMPARADOR DE PRODUCTOS'!$C$7:$C$206,MATCH(LARGE('COMPARADOR DE PRODUCTOS'!$X$7:$X$206,3),'COMPARADOR DE PRODUCTOS'!$X$7:$X$206,0)),"")</f>
        <v/>
      </c>
      <c r="D20" s="53">
        <f>IFERROR(INDEX('COMPARADOR DE PRODUCTOS'!$E$7:$E$206,MATCH(LARGE('COMPARADOR DE PRODUCTOS'!$X$7:$X$206,3),'COMPARADOR DE PRODUCTOS'!$X$7:$X$206,0)),"")</f>
        <v/>
      </c>
      <c r="E20" s="53">
        <f>IFERROR(INDEX('COMPARADOR DE PRODUCTOS'!$F$7:$F$206,MATCH(LARGE('COMPARADOR DE PRODUCTOS'!$X$7:$X$206,3),'COMPARADOR DE PRODUCTOS'!$X$7:$X$206,0)),"")</f>
        <v/>
      </c>
      <c r="F20" s="60">
        <f>IFERROR(INDEX('COMPARADOR DE PRODUCTOS'!$H$7:$H$206,MATCH(LARGE('COMPARADOR DE PRODUCTOS'!$X$7:$X$206,3),'COMPARADOR DE PRODUCTOS'!$X$7:$X$206,0)),"")</f>
        <v/>
      </c>
      <c r="G20" s="64">
        <f>IFERROR(INDEX('COMPARADOR DE PRODUCTOS'!$I$7:$I$206,MATCH(LARGE('COMPARADOR DE PRODUCTOS'!$X$7:$X$206,3),'COMPARADOR DE PRODUCTOS'!$X$7:$X$206,0)),"")</f>
        <v/>
      </c>
      <c r="H20" s="68">
        <f>IFERROR(INDEX('COMPARADOR DE PRODUCTOS'!$L$7:$L$206,MATCH(LARGE('COMPARADOR DE PRODUCTOS'!$X$7:$X$206,3),'COMPARADOR DE PRODUCTOS'!$X$7:$X$206,0)),"")</f>
        <v/>
      </c>
    </row>
    <row r="21">
      <c r="B21" s="92">
        <f>IF(ISNUMBER(F21),4,"")</f>
        <v/>
      </c>
      <c r="C21" s="93">
        <f>IFERROR(INDEX('COMPARADOR DE PRODUCTOS'!$C$7:$C$206,MATCH(LARGE('COMPARADOR DE PRODUCTOS'!$X$7:$X$206,4),'COMPARADOR DE PRODUCTOS'!$X$7:$X$206,0)),"")</f>
        <v/>
      </c>
      <c r="D21" s="53">
        <f>IFERROR(INDEX('COMPARADOR DE PRODUCTOS'!$E$7:$E$206,MATCH(LARGE('COMPARADOR DE PRODUCTOS'!$X$7:$X$206,4),'COMPARADOR DE PRODUCTOS'!$X$7:$X$206,0)),"")</f>
        <v/>
      </c>
      <c r="E21" s="53">
        <f>IFERROR(INDEX('COMPARADOR DE PRODUCTOS'!$F$7:$F$206,MATCH(LARGE('COMPARADOR DE PRODUCTOS'!$X$7:$X$206,4),'COMPARADOR DE PRODUCTOS'!$X$7:$X$206,0)),"")</f>
        <v/>
      </c>
      <c r="F21" s="60">
        <f>IFERROR(INDEX('COMPARADOR DE PRODUCTOS'!$H$7:$H$206,MATCH(LARGE('COMPARADOR DE PRODUCTOS'!$X$7:$X$206,4),'COMPARADOR DE PRODUCTOS'!$X$7:$X$206,0)),"")</f>
        <v/>
      </c>
      <c r="G21" s="64">
        <f>IFERROR(INDEX('COMPARADOR DE PRODUCTOS'!$I$7:$I$206,MATCH(LARGE('COMPARADOR DE PRODUCTOS'!$X$7:$X$206,4),'COMPARADOR DE PRODUCTOS'!$X$7:$X$206,0)),"")</f>
        <v/>
      </c>
      <c r="H21" s="68">
        <f>IFERROR(INDEX('COMPARADOR DE PRODUCTOS'!$L$7:$L$206,MATCH(LARGE('COMPARADOR DE PRODUCTOS'!$X$7:$X$206,4),'COMPARADOR DE PRODUCTOS'!$X$7:$X$206,0)),"")</f>
        <v/>
      </c>
    </row>
    <row r="22">
      <c r="B22" s="92">
        <f>IF(ISNUMBER(F22),5,"")</f>
        <v/>
      </c>
      <c r="C22" s="93">
        <f>IFERROR(INDEX('COMPARADOR DE PRODUCTOS'!$C$7:$C$206,MATCH(LARGE('COMPARADOR DE PRODUCTOS'!$X$7:$X$206,5),'COMPARADOR DE PRODUCTOS'!$X$7:$X$206,0)),"")</f>
        <v/>
      </c>
      <c r="D22" s="53">
        <f>IFERROR(INDEX('COMPARADOR DE PRODUCTOS'!$E$7:$E$206,MATCH(LARGE('COMPARADOR DE PRODUCTOS'!$X$7:$X$206,5),'COMPARADOR DE PRODUCTOS'!$X$7:$X$206,0)),"")</f>
        <v/>
      </c>
      <c r="E22" s="53">
        <f>IFERROR(INDEX('COMPARADOR DE PRODUCTOS'!$F$7:$F$206,MATCH(LARGE('COMPARADOR DE PRODUCTOS'!$X$7:$X$206,5),'COMPARADOR DE PRODUCTOS'!$X$7:$X$206,0)),"")</f>
        <v/>
      </c>
      <c r="F22" s="60">
        <f>IFERROR(INDEX('COMPARADOR DE PRODUCTOS'!$H$7:$H$206,MATCH(LARGE('COMPARADOR DE PRODUCTOS'!$X$7:$X$206,5),'COMPARADOR DE PRODUCTOS'!$X$7:$X$206,0)),"")</f>
        <v/>
      </c>
      <c r="G22" s="64">
        <f>IFERROR(INDEX('COMPARADOR DE PRODUCTOS'!$I$7:$I$206,MATCH(LARGE('COMPARADOR DE PRODUCTOS'!$X$7:$X$206,5),'COMPARADOR DE PRODUCTOS'!$X$7:$X$206,0)),"")</f>
        <v/>
      </c>
      <c r="H22" s="68">
        <f>IFERROR(INDEX('COMPARADOR DE PRODUCTOS'!$L$7:$L$206,MATCH(LARGE('COMPARADOR DE PRODUCTOS'!$X$7:$X$206,5),'COMPARADOR DE PRODUCTOS'!$X$7:$X$206,0)),"")</f>
        <v/>
      </c>
    </row>
    <row r="23">
      <c r="B23" s="92">
        <f>IF(ISNUMBER(F23),6,"")</f>
        <v/>
      </c>
      <c r="C23" s="93">
        <f>IFERROR(INDEX('COMPARADOR DE PRODUCTOS'!$C$7:$C$206,MATCH(LARGE('COMPARADOR DE PRODUCTOS'!$X$7:$X$206,6),'COMPARADOR DE PRODUCTOS'!$X$7:$X$206,0)),"")</f>
        <v/>
      </c>
      <c r="D23" s="53">
        <f>IFERROR(INDEX('COMPARADOR DE PRODUCTOS'!$E$7:$E$206,MATCH(LARGE('COMPARADOR DE PRODUCTOS'!$X$7:$X$206,6),'COMPARADOR DE PRODUCTOS'!$X$7:$X$206,0)),"")</f>
        <v/>
      </c>
      <c r="E23" s="53">
        <f>IFERROR(INDEX('COMPARADOR DE PRODUCTOS'!$F$7:$F$206,MATCH(LARGE('COMPARADOR DE PRODUCTOS'!$X$7:$X$206,6),'COMPARADOR DE PRODUCTOS'!$X$7:$X$206,0)),"")</f>
        <v/>
      </c>
      <c r="F23" s="60">
        <f>IFERROR(INDEX('COMPARADOR DE PRODUCTOS'!$H$7:$H$206,MATCH(LARGE('COMPARADOR DE PRODUCTOS'!$X$7:$X$206,6),'COMPARADOR DE PRODUCTOS'!$X$7:$X$206,0)),"")</f>
        <v/>
      </c>
      <c r="G23" s="64">
        <f>IFERROR(INDEX('COMPARADOR DE PRODUCTOS'!$I$7:$I$206,MATCH(LARGE('COMPARADOR DE PRODUCTOS'!$X$7:$X$206,6),'COMPARADOR DE PRODUCTOS'!$X$7:$X$206,0)),"")</f>
        <v/>
      </c>
      <c r="H23" s="68">
        <f>IFERROR(INDEX('COMPARADOR DE PRODUCTOS'!$L$7:$L$206,MATCH(LARGE('COMPARADOR DE PRODUCTOS'!$X$7:$X$206,6),'COMPARADOR DE PRODUCTOS'!$X$7:$X$206,0)),"")</f>
        <v/>
      </c>
    </row>
    <row r="24">
      <c r="B24" s="92">
        <f>IF(ISNUMBER(F24),7,"")</f>
        <v/>
      </c>
      <c r="C24" s="93">
        <f>IFERROR(INDEX('COMPARADOR DE PRODUCTOS'!$C$7:$C$206,MATCH(LARGE('COMPARADOR DE PRODUCTOS'!$X$7:$X$206,7),'COMPARADOR DE PRODUCTOS'!$X$7:$X$206,0)),"")</f>
        <v/>
      </c>
      <c r="D24" s="53">
        <f>IFERROR(INDEX('COMPARADOR DE PRODUCTOS'!$E$7:$E$206,MATCH(LARGE('COMPARADOR DE PRODUCTOS'!$X$7:$X$206,7),'COMPARADOR DE PRODUCTOS'!$X$7:$X$206,0)),"")</f>
        <v/>
      </c>
      <c r="E24" s="53">
        <f>IFERROR(INDEX('COMPARADOR DE PRODUCTOS'!$F$7:$F$206,MATCH(LARGE('COMPARADOR DE PRODUCTOS'!$X$7:$X$206,7),'COMPARADOR DE PRODUCTOS'!$X$7:$X$206,0)),"")</f>
        <v/>
      </c>
      <c r="F24" s="60">
        <f>IFERROR(INDEX('COMPARADOR DE PRODUCTOS'!$H$7:$H$206,MATCH(LARGE('COMPARADOR DE PRODUCTOS'!$X$7:$X$206,7),'COMPARADOR DE PRODUCTOS'!$X$7:$X$206,0)),"")</f>
        <v/>
      </c>
      <c r="G24" s="64">
        <f>IFERROR(INDEX('COMPARADOR DE PRODUCTOS'!$I$7:$I$206,MATCH(LARGE('COMPARADOR DE PRODUCTOS'!$X$7:$X$206,7),'COMPARADOR DE PRODUCTOS'!$X$7:$X$206,0)),"")</f>
        <v/>
      </c>
      <c r="H24" s="68">
        <f>IFERROR(INDEX('COMPARADOR DE PRODUCTOS'!$L$7:$L$206,MATCH(LARGE('COMPARADOR DE PRODUCTOS'!$X$7:$X$206,7),'COMPARADOR DE PRODUCTOS'!$X$7:$X$206,0)),"")</f>
        <v/>
      </c>
    </row>
    <row r="25">
      <c r="B25" s="92">
        <f>IF(ISNUMBER(F25),8,"")</f>
        <v/>
      </c>
      <c r="C25" s="93">
        <f>IFERROR(INDEX('COMPARADOR DE PRODUCTOS'!$C$7:$C$206,MATCH(LARGE('COMPARADOR DE PRODUCTOS'!$X$7:$X$206,8),'COMPARADOR DE PRODUCTOS'!$X$7:$X$206,0)),"")</f>
        <v/>
      </c>
      <c r="D25" s="53">
        <f>IFERROR(INDEX('COMPARADOR DE PRODUCTOS'!$E$7:$E$206,MATCH(LARGE('COMPARADOR DE PRODUCTOS'!$X$7:$X$206,8),'COMPARADOR DE PRODUCTOS'!$X$7:$X$206,0)),"")</f>
        <v/>
      </c>
      <c r="E25" s="53">
        <f>IFERROR(INDEX('COMPARADOR DE PRODUCTOS'!$F$7:$F$206,MATCH(LARGE('COMPARADOR DE PRODUCTOS'!$X$7:$X$206,8),'COMPARADOR DE PRODUCTOS'!$X$7:$X$206,0)),"")</f>
        <v/>
      </c>
      <c r="F25" s="60">
        <f>IFERROR(INDEX('COMPARADOR DE PRODUCTOS'!$H$7:$H$206,MATCH(LARGE('COMPARADOR DE PRODUCTOS'!$X$7:$X$206,8),'COMPARADOR DE PRODUCTOS'!$X$7:$X$206,0)),"")</f>
        <v/>
      </c>
      <c r="G25" s="64">
        <f>IFERROR(INDEX('COMPARADOR DE PRODUCTOS'!$I$7:$I$206,MATCH(LARGE('COMPARADOR DE PRODUCTOS'!$X$7:$X$206,8),'COMPARADOR DE PRODUCTOS'!$X$7:$X$206,0)),"")</f>
        <v/>
      </c>
      <c r="H25" s="68">
        <f>IFERROR(INDEX('COMPARADOR DE PRODUCTOS'!$L$7:$L$206,MATCH(LARGE('COMPARADOR DE PRODUCTOS'!$X$7:$X$206,8),'COMPARADOR DE PRODUCTOS'!$X$7:$X$206,0)),"")</f>
        <v/>
      </c>
    </row>
    <row r="26">
      <c r="B26" s="92">
        <f>IF(ISNUMBER(F26),9,"")</f>
        <v/>
      </c>
      <c r="C26" s="93">
        <f>IFERROR(INDEX('COMPARADOR DE PRODUCTOS'!$C$7:$C$206,MATCH(LARGE('COMPARADOR DE PRODUCTOS'!$X$7:$X$206,9),'COMPARADOR DE PRODUCTOS'!$X$7:$X$206,0)),"")</f>
        <v/>
      </c>
      <c r="D26" s="53">
        <f>IFERROR(INDEX('COMPARADOR DE PRODUCTOS'!$E$7:$E$206,MATCH(LARGE('COMPARADOR DE PRODUCTOS'!$X$7:$X$206,9),'COMPARADOR DE PRODUCTOS'!$X$7:$X$206,0)),"")</f>
        <v/>
      </c>
      <c r="E26" s="53">
        <f>IFERROR(INDEX('COMPARADOR DE PRODUCTOS'!$F$7:$F$206,MATCH(LARGE('COMPARADOR DE PRODUCTOS'!$X$7:$X$206,9),'COMPARADOR DE PRODUCTOS'!$X$7:$X$206,0)),"")</f>
        <v/>
      </c>
      <c r="F26" s="60">
        <f>IFERROR(INDEX('COMPARADOR DE PRODUCTOS'!$H$7:$H$206,MATCH(LARGE('COMPARADOR DE PRODUCTOS'!$X$7:$X$206,9),'COMPARADOR DE PRODUCTOS'!$X$7:$X$206,0)),"")</f>
        <v/>
      </c>
      <c r="G26" s="64">
        <f>IFERROR(INDEX('COMPARADOR DE PRODUCTOS'!$I$7:$I$206,MATCH(LARGE('COMPARADOR DE PRODUCTOS'!$X$7:$X$206,9),'COMPARADOR DE PRODUCTOS'!$X$7:$X$206,0)),"")</f>
        <v/>
      </c>
      <c r="H26" s="68">
        <f>IFERROR(INDEX('COMPARADOR DE PRODUCTOS'!$L$7:$L$206,MATCH(LARGE('COMPARADOR DE PRODUCTOS'!$X$7:$X$206,9),'COMPARADOR DE PRODUCTOS'!$X$7:$X$206,0)),"")</f>
        <v/>
      </c>
    </row>
    <row r="27">
      <c r="B27" s="92">
        <f>IF(ISNUMBER(F27),10,"")</f>
        <v/>
      </c>
      <c r="C27" s="93">
        <f>IFERROR(INDEX('COMPARADOR DE PRODUCTOS'!$C$7:$C$206,MATCH(LARGE('COMPARADOR DE PRODUCTOS'!$X$7:$X$206,10),'COMPARADOR DE PRODUCTOS'!$X$7:$X$206,0)),"")</f>
        <v/>
      </c>
      <c r="D27" s="53">
        <f>IFERROR(INDEX('COMPARADOR DE PRODUCTOS'!$E$7:$E$206,MATCH(LARGE('COMPARADOR DE PRODUCTOS'!$X$7:$X$206,10),'COMPARADOR DE PRODUCTOS'!$X$7:$X$206,0)),"")</f>
        <v/>
      </c>
      <c r="E27" s="53">
        <f>IFERROR(INDEX('COMPARADOR DE PRODUCTOS'!$F$7:$F$206,MATCH(LARGE('COMPARADOR DE PRODUCTOS'!$X$7:$X$206,10),'COMPARADOR DE PRODUCTOS'!$X$7:$X$206,0)),"")</f>
        <v/>
      </c>
      <c r="F27" s="60">
        <f>IFERROR(INDEX('COMPARADOR DE PRODUCTOS'!$H$7:$H$206,MATCH(LARGE('COMPARADOR DE PRODUCTOS'!$X$7:$X$206,10),'COMPARADOR DE PRODUCTOS'!$X$7:$X$206,0)),"")</f>
        <v/>
      </c>
      <c r="G27" s="64">
        <f>IFERROR(INDEX('COMPARADOR DE PRODUCTOS'!$I$7:$I$206,MATCH(LARGE('COMPARADOR DE PRODUCTOS'!$X$7:$X$206,10),'COMPARADOR DE PRODUCTOS'!$X$7:$X$206,0)),"")</f>
        <v/>
      </c>
      <c r="H27" s="68">
        <f>IFERROR(INDEX('COMPARADOR DE PRODUCTOS'!$L$7:$L$206,MATCH(LARGE('COMPARADOR DE PRODUCTOS'!$X$7:$X$206,10),'COMPARADOR DE PRODUCTOS'!$X$7:$X$206,0)),"")</f>
        <v/>
      </c>
    </row>
    <row r="29">
      <c r="B29" s="50" t="inlineStr">
        <is>
          <t>GRÁFICOS PARA DECIDIR</t>
        </is>
      </c>
    </row>
    <row r="62">
      <c r="H62" s="6" t="inlineStr">
        <is>
          <t>6. Ranking de productos más rentables: tabla de arriba (se actualiza sola).</t>
        </is>
      </c>
    </row>
    <row r="64">
      <c r="H64" s="94">
        <f>"El gráfico 5 usa los escenarios del SIMULADOR DE PRECIOS. El gráfico 4 muestra de qué se compone el costo del producto que estás analizando en la CALCULADORA."</f>
        <v/>
      </c>
    </row>
    <row r="65"/>
    <row r="66"/>
    <row r="67"/>
    <row r="68"/>
    <row r="69"/>
    <row r="70"/>
    <row r="78" ht="8" customHeight="1">
      <c r="B78" s="28" t="n"/>
    </row>
    <row r="79" ht="16" customHeight="1">
      <c r="B79" s="29" t="inlineStr">
        <is>
          <t>MIX SHOP DIGITAL  ·  Herramientas inteligentes que simplifican tu vida.</t>
        </is>
      </c>
    </row>
    <row r="80" ht="16" customHeight="1">
      <c r="B80" s="30"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C527"/>
  <mergeCells count="38">
    <mergeCell ref="E10:G10"/>
    <mergeCell ref="B14:D14"/>
    <mergeCell ref="E13:G13"/>
    <mergeCell ref="B8:D8"/>
    <mergeCell ref="B13:D13"/>
    <mergeCell ref="E9:G9"/>
    <mergeCell ref="J19:M22"/>
    <mergeCell ref="K12:M12"/>
    <mergeCell ref="B29:M29"/>
    <mergeCell ref="B10:D10"/>
    <mergeCell ref="D6:E6"/>
    <mergeCell ref="K8:M8"/>
    <mergeCell ref="H64:M70"/>
    <mergeCell ref="C4:M4"/>
    <mergeCell ref="B78:M78"/>
    <mergeCell ref="H13:J13"/>
    <mergeCell ref="K14:M14"/>
    <mergeCell ref="B9:D9"/>
    <mergeCell ref="H12:J12"/>
    <mergeCell ref="F2:M2"/>
    <mergeCell ref="K10:M10"/>
    <mergeCell ref="H14:J14"/>
    <mergeCell ref="B80:M80"/>
    <mergeCell ref="K13:M13"/>
    <mergeCell ref="H8:J8"/>
    <mergeCell ref="E12:G12"/>
    <mergeCell ref="B2:E2"/>
    <mergeCell ref="B79:M79"/>
    <mergeCell ref="B16:M16"/>
    <mergeCell ref="B1:E1"/>
    <mergeCell ref="H10:J10"/>
    <mergeCell ref="E14:G14"/>
    <mergeCell ref="B3:M3"/>
    <mergeCell ref="K9:M9"/>
    <mergeCell ref="E8:G8"/>
    <mergeCell ref="H9:J9"/>
    <mergeCell ref="B12:D12"/>
    <mergeCell ref="F1:M1"/>
  </mergeCells>
  <conditionalFormatting sqref="H18:H27">
    <cfRule type="expression" priority="1" dxfId="0">
      <formula>H18="PÉRDIDA"</formula>
    </cfRule>
    <cfRule type="expression" priority="2" dxfId="1">
      <formula>H18="Margen bajo"</formula>
    </cfRule>
    <cfRule type="expression" priority="3" dxfId="2">
      <formula>H18="Rentable"</formula>
    </cfRule>
    <cfRule type="expression" priority="4" dxfId="6">
      <formula>H18="Aceptable"</formula>
    </cfRule>
  </conditionalFormatting>
  <dataValidations count="1">
    <dataValidation sqref="D6" showDropDown="0" showInputMessage="1" showErrorMessage="1" allowBlank="0" errorTitle="Valor no válido" error="Elegí un valor de la lista desplegable." promptTitle="Filtro de categoría" prompt="Elegí «Todas» o una categoría para ver sus resultados." type="list" errorStyle="stop">
      <formula1>ListaCats</formula1>
    </dataValidation>
  </dataValidations>
  <hyperlinks>
    <hyperlink ref="B4" location="'INICIO'!A1" display="← INICIO"/>
    <hyperlink xmlns:r="http://schemas.openxmlformats.org/officeDocument/2006/relationships" ref="B80" r:id="rId1"/>
  </hyperlinks>
  <printOptions horizontalCentered="1"/>
  <pageMargins left="0.75" right="0.75" top="1" bottom="1" header="0.5" footer="0.5"/>
  <pageSetup orientation="landscape" paperSize="9" fitToHeight="0" fitToWidth="1"/>
  <headerFooter>
    <oddHeader>&amp;C&amp;"Arial,Bold"&amp;14 &amp;K0B2A7AMIX SHOP DIGITAL</oddHeader>
    <oddFooter>&amp;L&amp;8 MIX SHOP DIGITAL — Herramientas inteligentes que simplifican tu vida.&amp;C&amp;8 Versión gratuita · mixshopdigital.com.py&amp;R&amp;8 Pág. &amp;P de &amp;N</oddFooter>
    <evenHeader/>
    <evenFooter/>
    <firstHeader/>
    <firstFooter/>
  </headerFooter>
  <drawing xmlns:r="http://schemas.openxmlformats.org/officeDocument/2006/relationships" r:id="rId2"/>
</worksheet>
</file>

<file path=xl/worksheets/sheet8.xml><?xml version="1.0" encoding="utf-8"?>
<worksheet xmlns="http://schemas.openxmlformats.org/spreadsheetml/2006/main">
  <sheetPr>
    <tabColor rgb="000A52C4"/>
    <outlinePr summaryBelow="1" summaryRight="1"/>
    <pageSetUpPr fitToPage="1"/>
  </sheetPr>
  <dimension ref="B1:J51"/>
  <sheetViews>
    <sheetView showGridLines="0" workbookViewId="0">
      <selection activeCell="A1" sqref="A1"/>
    </sheetView>
  </sheetViews>
  <sheetFormatPr baseColWidth="8" defaultRowHeight="15"/>
  <cols>
    <col width="2" customWidth="1" min="1" max="1"/>
    <col width="2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30" customHeight="1">
      <c r="B1" s="1" t="inlineStr">
        <is>
          <t>MIX SHOP DIGITAL</t>
        </is>
      </c>
      <c r="E1" s="2" t="inlineStr">
        <is>
          <t>GUÍA DE USO</t>
        </is>
      </c>
    </row>
    <row r="2" ht="18" customHeight="1">
      <c r="B2" s="3" t="inlineStr">
        <is>
          <t>Herramientas inteligentes que simplifican tu vida.</t>
        </is>
      </c>
      <c r="E2" s="4" t="inlineStr">
        <is>
          <t>Aprendé a usarla en 5 minutos</t>
        </is>
      </c>
    </row>
    <row r="3" ht="4" customHeight="1">
      <c r="B3" s="5" t="n"/>
    </row>
    <row r="4" ht="20" customHeight="1">
      <c r="B4" s="31" t="inlineStr">
        <is>
          <t>← INICIO</t>
        </is>
      </c>
      <c r="C4" s="6" t="inlineStr">
        <is>
          <t>Leé esta hoja una vez. Después ya no la vas a necesitar.</t>
        </is>
      </c>
    </row>
    <row r="6">
      <c r="B6" s="35" t="inlineStr">
        <is>
          <t>¿PARA QUÉ SIRVE?</t>
        </is>
      </c>
    </row>
    <row r="7" ht="33" customHeight="1">
      <c r="B7" s="95" t="inlineStr">
        <is>
          <t>Esta herramienta te dice cuánto te cuesta realmente vender un producto, cuál es el precio mínimo para no perder dinero, qué precio te conviene poner y cuánto ganás por unidad. Funciona sin Internet y no necesitás saber Excel.</t>
        </is>
      </c>
    </row>
    <row r="9">
      <c r="B9" s="12" t="inlineStr">
        <is>
          <t>EMPEZÁ EN 3 PASOS</t>
        </is>
      </c>
    </row>
    <row r="10" ht="18.5" customHeight="1">
      <c r="B10" s="95" t="inlineStr">
        <is>
          <t>1) En CONFIGURACIÓN, completá los datos de tu negocio y tus porcentajes habituales (comisión, impuestos, margen que querés ganar).</t>
        </is>
      </c>
    </row>
    <row r="11" ht="33" customHeight="1">
      <c r="B11" s="95" t="inlineStr">
        <is>
          <t>2) En CALCULADORA, cargá un producto: cuánto pagaste, cuántas unidades compraste y tus costos de envío, empaque y otros. Los resultados aparecen solos arriba y a la derecha.</t>
        </is>
      </c>
    </row>
    <row r="12" ht="18.5" customHeight="1">
      <c r="B12" s="95" t="inlineStr">
        <is>
          <t>3) En COMPARADOR cargá todos tus productos y mirá el DASHBOARD para saber cuáles te dejan más ganancia y cuáles te hacen perder.</t>
        </is>
      </c>
    </row>
    <row r="14">
      <c r="B14" s="35" t="inlineStr">
        <is>
          <t>COLORES</t>
        </is>
      </c>
    </row>
    <row r="15" ht="33" customHeight="1">
      <c r="B15" s="95" t="inlineStr">
        <is>
          <t>Azul claro: celdas que completás vos.   Gris: información automática (bloqueada).   Naranja: advertencia.   Verde: resultado favorable.   Rojo: pérdida o precio por debajo del costo.</t>
        </is>
      </c>
    </row>
    <row r="16" ht="18.5" customHeight="1">
      <c r="B16" s="95" t="inlineStr">
        <is>
          <t>Completá solamente las celdas resaltadas en azul claro. El resto está protegido para que no borres fórmulas sin querer.</t>
        </is>
      </c>
    </row>
    <row r="18">
      <c r="B18" s="35" t="inlineStr">
        <is>
          <t>MARGEN Y RECARGO: NO SON LO MISMO</t>
        </is>
      </c>
    </row>
    <row r="19" ht="33" customHeight="1">
      <c r="B19" s="95" t="inlineStr">
        <is>
          <t>Margen sobre venta: qué parte del precio final es ganancia. Recargo sobre costo (markup): cuánto le sumás al costo. Ejemplo con costo de 100: un recargo del 30 % da un precio de 130 y un margen real de 23,1 %. Para ganar 30 % de margen real, el precio debe ser 142,86 (recargo de 42,9 %).</t>
        </is>
      </c>
    </row>
    <row r="20" ht="18.5" customHeight="1">
      <c r="B20" s="95" t="inlineStr">
        <is>
          <t>Por eso la planilla calcula con una fórmula exacta y no «suma porcentajes al costo». Podés elegir el método en CONFIGURACIÓN (recomendado: margen sobre venta).</t>
        </is>
      </c>
    </row>
    <row r="22">
      <c r="B22" s="35" t="inlineStr">
        <is>
          <t>CÓMO SE CALCULA</t>
        </is>
      </c>
    </row>
    <row r="23" ht="18.5" customHeight="1">
      <c r="B23" s="95" t="inlineStr">
        <is>
          <t>Costo total unitario = suma de todos los costos por unidad (los costos del lote se reparten entre las unidades adquiridas).</t>
        </is>
      </c>
    </row>
    <row r="24" ht="18.5" customHeight="1">
      <c r="B24" s="95" t="inlineStr">
        <is>
          <t>Divisor base = 1 − comisión − impuestos.   Precio mínimo = Costo ÷ divisor base.</t>
        </is>
      </c>
    </row>
    <row r="25" ht="18.5" customHeight="1">
      <c r="B25" s="95" t="inlineStr">
        <is>
          <t>Precio objetivo (margen sobre venta) = Costo ÷ (1 − comisión − impuestos − margen).   Precio objetivo (recargo) = Costo × (1 + recargo) ÷ (1 − comisión − impuestos).</t>
        </is>
      </c>
    </row>
    <row r="26" ht="18.5" customHeight="1">
      <c r="B26" s="95" t="inlineStr">
        <is>
          <t>Ganancia neta por unidad = Precio × (1 − comisión − impuestos) − Costo.   Margen real = Ganancia neta ÷ Precio.   Rentabilidad sobre costo = Ganancia neta ÷ Costo.</t>
        </is>
      </c>
    </row>
    <row r="27" ht="18.5" customHeight="1">
      <c r="B27" s="95" t="inlineStr">
        <is>
          <t>Unidades para tu meta = Meta de ganancia ÷ Ganancia neta por unidad (redondeado hacia arriba).   Precio promocional posible: conserva la mitad de tu margen objetivo.</t>
        </is>
      </c>
    </row>
    <row r="29">
      <c r="B29" s="12" t="inlineStr">
        <is>
          <t>QUÉ HACE CADA HOJA</t>
        </is>
      </c>
    </row>
    <row r="30" ht="18.5" customHeight="1">
      <c r="B30" s="95" t="inlineStr">
        <is>
          <t>INICIO: portada y menú.   CONFIGURACIÓN: datos y porcentajes que alimentan todo.   CALCULADORA: costo, precio y ganancia de un producto.</t>
        </is>
      </c>
    </row>
    <row r="31" ht="18.5" customHeight="1">
      <c r="B31" s="95" t="inlineStr">
        <is>
          <t>COMPARADOR DE PRODUCTOS: hasta 200 productos con alertas y ranking.   COSTOS Y GASTOS: los gastos que se olvidan y cómo repartir los fijos.</t>
        </is>
      </c>
    </row>
    <row r="32" ht="18.5" customHeight="1">
      <c r="B32" s="95" t="inlineStr">
        <is>
          <t>SIMULADOR DE PRECIOS: escenarios y promociones (descuentos, 2x1, combos, precio por cantidad).   DASHBOARD: indicadores y gráficos.</t>
        </is>
      </c>
    </row>
    <row r="34">
      <c r="B34" s="35" t="inlineStr">
        <is>
          <t>PREGUNTAS FRECUENTES</t>
        </is>
      </c>
    </row>
    <row r="35" ht="18.5" customHeight="1">
      <c r="B35" s="95" t="inlineStr">
        <is>
          <t>• Veo todo en cero o en blanco: si abriste el archivo desde un correo o la descarga, hacé clic en «Habilitar edición» en la barra amarilla de Excel.</t>
        </is>
      </c>
    </row>
    <row r="36" ht="18.5" customHeight="1">
      <c r="B36" s="95" t="inlineStr">
        <is>
          <t>• No puedo escribir en una celda: está protegida. Solo se editan las celdas azul claro. Es una protección contra borrados accidentales.</t>
        </is>
      </c>
    </row>
    <row r="37" ht="33" customHeight="1">
      <c r="B37" s="95" t="inlineStr">
        <is>
          <t>• ¿Cómo ordeno el COMPARADOR? Con el filtro de la fila de títulos podés filtrar. Para ver productos ordenados por ganancia usá el ranking del DASHBOARD o la columna «Ranking».</t>
        </is>
      </c>
    </row>
    <row r="38" ht="18.5" customHeight="1">
      <c r="B38" s="95" t="inlineStr">
        <is>
          <t>• ¿Agrego más de 200 productos? Duplicá el archivo y usá una copia por línea de productos.</t>
        </is>
      </c>
    </row>
    <row r="39" ht="18.5" customHeight="1">
      <c r="B39" s="95" t="inlineStr">
        <is>
          <t>• ¿Otra moneda? Elegila en CONFIGURACIÓN. Los montos se cargan en la moneda que elijas.</t>
        </is>
      </c>
    </row>
    <row r="40" ht="18.5" customHeight="1">
      <c r="B40" s="95" t="inlineStr">
        <is>
          <t>• Los resultados son estimaciones para decidir mejor. Los impuestos dependen de tu situación: consultá con tu contador.</t>
        </is>
      </c>
    </row>
    <row r="42">
      <c r="B42" s="35" t="inlineStr">
        <is>
          <t>SOBRE LA PROTECCIÓN DEL ARCHIVO</t>
        </is>
      </c>
    </row>
    <row r="43" ht="47.5" customHeight="1">
      <c r="B43" s="95" t="inlineStr">
        <is>
          <t>Las fórmulas, títulos, gráficos y la firma de Mix Shop Digital están bloqueados para evitar cambios accidentales. La protección de Excel no es un sistema de seguridad criptográfico: sirve para cuidar el archivo de errores, no para impedir que alguien con intención y conocimientos técnicos la desactive. La marca en encabezado y pie de página funciona del mismo modo.</t>
        </is>
      </c>
    </row>
    <row r="45">
      <c r="B45" s="50" t="inlineStr">
        <is>
          <t>MIX SHOP DIGITAL Y MI NEGOCIO PY</t>
        </is>
      </c>
    </row>
    <row r="46" ht="33" customHeight="1">
      <c r="B46" s="95" t="inlineStr">
        <is>
          <t>Esta calculadora es una herramienta gratuita de Mix Shop Digital. Si querés gestionar todo tu negocio en un solo lugar, conocé Mi Negocio PY, el sistema de gestión para pequeños negocios de Paraguay.</t>
        </is>
      </c>
    </row>
    <row r="47">
      <c r="B47" s="96" t="inlineStr">
        <is>
          <t>→ mixshopdigital.com.py</t>
        </is>
      </c>
    </row>
    <row r="49" ht="8" customHeight="1">
      <c r="B49" s="28" t="n"/>
    </row>
    <row r="50" ht="16" customHeight="1">
      <c r="B50" s="29" t="inlineStr">
        <is>
          <t>MIX SHOP DIGITAL  ·  Herramientas inteligentes que simplifican tu vida.</t>
        </is>
      </c>
    </row>
    <row r="51" ht="16" customHeight="1">
      <c r="B51" s="30"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C527"/>
  <mergeCells count="43">
    <mergeCell ref="E1:J1"/>
    <mergeCell ref="B11:J11"/>
    <mergeCell ref="B42:J42"/>
    <mergeCell ref="B1:D1"/>
    <mergeCell ref="B14:J14"/>
    <mergeCell ref="B23:J23"/>
    <mergeCell ref="B38:J38"/>
    <mergeCell ref="C4:J4"/>
    <mergeCell ref="B29:J29"/>
    <mergeCell ref="B19:J19"/>
    <mergeCell ref="B34:J34"/>
    <mergeCell ref="E2:J2"/>
    <mergeCell ref="B10:J10"/>
    <mergeCell ref="B37:J37"/>
    <mergeCell ref="B40:J40"/>
    <mergeCell ref="B9:J9"/>
    <mergeCell ref="B49:J49"/>
    <mergeCell ref="B6:J6"/>
    <mergeCell ref="B24:J24"/>
    <mergeCell ref="B30:J30"/>
    <mergeCell ref="B15:J15"/>
    <mergeCell ref="B51:J51"/>
    <mergeCell ref="B20:J20"/>
    <mergeCell ref="B45:J45"/>
    <mergeCell ref="B36:J36"/>
    <mergeCell ref="B32:J32"/>
    <mergeCell ref="B50:J50"/>
    <mergeCell ref="B26:J26"/>
    <mergeCell ref="B35:J35"/>
    <mergeCell ref="B47:J47"/>
    <mergeCell ref="B16:J16"/>
    <mergeCell ref="B7:J7"/>
    <mergeCell ref="B25:J25"/>
    <mergeCell ref="B3:J3"/>
    <mergeCell ref="B46:J46"/>
    <mergeCell ref="B22:J22"/>
    <mergeCell ref="B31:J31"/>
    <mergeCell ref="B18:J18"/>
    <mergeCell ref="B27:J27"/>
    <mergeCell ref="B43:J43"/>
    <mergeCell ref="B12:J12"/>
    <mergeCell ref="B39:J39"/>
    <mergeCell ref="B2:D2"/>
  </mergeCells>
  <hyperlinks>
    <hyperlink ref="B4" location="'INICIO'!A1" display="← INICIO"/>
    <hyperlink xmlns:r="http://schemas.openxmlformats.org/officeDocument/2006/relationships" ref="B47" r:id="rId1"/>
    <hyperlink xmlns:r="http://schemas.openxmlformats.org/officeDocument/2006/relationships" ref="B51" r:id="rId2"/>
  </hyperlinks>
  <printOptions horizontalCentered="1"/>
  <pageMargins left="0.75" right="0.75" top="1" bottom="1" header="0.5" footer="0.5"/>
  <pageSetup orientation="landscape" paperSize="9" fitToHeight="0" fitToWidth="1"/>
  <headerFooter>
    <oddHeader>&amp;C&amp;"Arial,Bold"&amp;14 &amp;K0B2A7AMIX SHOP DIGITAL</oddHeader>
    <oddFooter>&amp;L&amp;8 MIX SHOP DIGITAL — Herramientas inteligentes que simplifican tu vida.&amp;C&amp;8 Versión gratuita · mixshopdigital.com.py&amp;R&amp;8 Pág.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MIX SHOP DIGITAL</dc:creator>
  <dc:title xmlns:dc="http://purl.org/dc/elements/1.1/">Calculadora Inteligente de Precios y Ganancias – Mix Shop Digital</dc:title>
  <dc:subject xmlns:dc="http://purl.org/dc/elements/1.1/">Versión gratuita</dc:subject>
  <dcterms:created xmlns:dcterms="http://purl.org/dc/terms/" xmlns:xsi="http://www.w3.org/2001/XMLSchema-instance" xsi:type="dcterms:W3CDTF">2026-10-30T12:07:48Z</dcterms:created>
  <dcterms:modified xmlns:dcterms="http://purl.org/dc/terms/" xmlns:xsi="http://www.w3.org/2001/XMLSchema-instance" xsi:type="dcterms:W3CDTF">2026-10-30T12:07:48Z</dcterms:modified>
</cp:coreProperties>
</file>