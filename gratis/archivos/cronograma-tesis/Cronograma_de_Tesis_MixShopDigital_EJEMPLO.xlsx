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B962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CRONOGRAMA" sheetId="2" state="visible" r:id="rId2"/>
    <sheet xmlns:r="http://schemas.openxmlformats.org/officeDocument/2006/relationships" name="REUNIONES" sheetId="3" state="visible" r:id="rId3"/>
    <sheet xmlns:r="http://schemas.openxmlformats.org/officeDocument/2006/relationships" name="AJUSTES" sheetId="4" state="visible" r:id="rId4"/>
    <sheet xmlns:r="http://schemas.openxmlformats.org/officeDocument/2006/relationships" name="AYUDA" sheetId="5" state="visible" r:id="rId5"/>
  </sheets>
  <definedNames>
    <definedName name="TituloTesis">'AJUSTES'!$C$7</definedName>
    <definedName name="Estudiante">'AJUSTES'!$C$8</definedName>
    <definedName name="Tutor">'AJUSTES'!$C$9</definedName>
    <definedName name="FechaIni">'AJUSTES'!$C$10</definedName>
    <definedName name="FechaFin">'AJUSTES'!$C$11</definedName>
    <definedName name="ListaEtapa">'AJUSTES'!$B$15:$B$23</definedName>
    <definedName name="_xlnm.Print_Area" localSheetId="0">'PANEL'!$A$1:$M$49</definedName>
    <definedName name="_xlnm.Print_Titles" localSheetId="1">'CRONOGRAMA'!$6:$6</definedName>
    <definedName name="_xlnm.Print_Area" localSheetId="1">'CRONOGRAMA'!$A$1:$BI$50</definedName>
    <definedName name="_xlnm.Print_Titles" localSheetId="2">'REUNIONES'!$6:$6</definedName>
    <definedName name="_xlnm.Print_Area" localSheetId="2">'REUNIONES'!$A$1:$D$70</definedName>
    <definedName name="_xlnm.Print_Area" localSheetId="3">'AJUSTES'!$A$1:$D$29</definedName>
    <definedName name="_xlnm.Print_Area" localSheetId="4">'AYUDA'!$A$1:$H$35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dd/mm"/>
    <numFmt numFmtId="166" formatCode="0;-0;&quot;hoy&quot;"/>
    <numFmt numFmtId="167" formatCode="#,##0;-#,##0;0"/>
    <numFmt numFmtId="168" formatCode="0%;-0%;0%"/>
    <numFmt numFmtId="169" formatCode="0;-0;&quot;-&quot;"/>
    <numFmt numFmtId="170" formatCode="0%;-0%;&quot;-&quot;"/>
  </numFmts>
  <fonts count="3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D98A"/>
      <sz val="13"/>
    </font>
    <font>
      <name val="Arial"/>
      <i val="1"/>
      <color rgb="00FFFFFF"/>
      <sz val="9"/>
    </font>
    <font>
      <name val="Arial"/>
      <color rgb="00FFFFFF"/>
      <sz val="9"/>
    </font>
    <font>
      <name val="Arial"/>
      <color rgb="00000000"/>
      <sz val="10"/>
    </font>
    <font>
      <name val="Arial"/>
      <b val="1"/>
      <color rgb="000B2A7A"/>
      <sz val="13"/>
    </font>
    <font>
      <name val="Arial"/>
      <b val="1"/>
      <color rgb="003F9B5B"/>
      <sz val="9"/>
      <u val="single"/>
    </font>
    <font>
      <name val="Arial"/>
      <i val="1"/>
      <color rgb="005B6B60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4532D"/>
      <sz val="9"/>
    </font>
    <font>
      <name val="Arial"/>
      <color rgb="005B6B60"/>
      <sz val="8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FFFFFF"/>
      <sz val="7"/>
    </font>
    <font>
      <name val="Arial"/>
      <color rgb="005B6B60"/>
      <sz val="9"/>
    </font>
    <font>
      <name val="Arial"/>
      <color rgb="00000000"/>
      <sz val="9"/>
    </font>
    <font>
      <name val="Arial"/>
      <b val="1"/>
      <color rgb="0014532D"/>
      <sz val="10"/>
    </font>
    <font>
      <name val="Arial"/>
      <b val="1"/>
      <color rgb="005B6B60"/>
      <sz val="8"/>
    </font>
    <font>
      <name val="Arial"/>
      <b val="1"/>
      <color rgb="003F9B5B"/>
      <sz val="20"/>
    </font>
    <font>
      <name val="Arial"/>
      <b val="1"/>
      <color rgb="0014532D"/>
      <sz val="20"/>
    </font>
    <font>
      <name val="Arial"/>
      <b val="1"/>
      <color rgb="00B8860B"/>
      <sz val="20"/>
    </font>
    <font>
      <name val="Arial"/>
      <b val="1"/>
      <color rgb="00E76F51"/>
      <sz val="20"/>
    </font>
    <font>
      <name val="Arial"/>
      <b val="1"/>
      <color rgb="00000000"/>
      <sz val="11"/>
    </font>
    <font>
      <name val="Arial"/>
      <b val="1"/>
      <color rgb="00000000"/>
      <sz val="9"/>
    </font>
    <font>
      <name val="Arial"/>
      <b val="1"/>
      <color rgb="0014532D"/>
      <sz val="16"/>
    </font>
    <font>
      <name val="Arial"/>
      <b val="1"/>
      <color rgb="00B8860B"/>
      <sz val="16"/>
    </font>
    <font>
      <name val="Arial"/>
      <b val="1"/>
      <color rgb="0014532D"/>
      <sz val="11"/>
    </font>
    <font>
      <name val="Arial"/>
      <b val="1"/>
      <color rgb="003F9B5B"/>
      <sz val="11"/>
      <u val="single"/>
    </font>
  </fonts>
  <fills count="15">
    <fill>
      <patternFill/>
    </fill>
    <fill>
      <patternFill patternType="gray125"/>
    </fill>
    <fill>
      <patternFill patternType="solid">
        <fgColor rgb="0014532D"/>
        <bgColor rgb="0014532D"/>
      </patternFill>
    </fill>
    <fill>
      <patternFill patternType="solid">
        <fgColor rgb="003F9B5B"/>
        <bgColor rgb="003F9B5B"/>
      </patternFill>
    </fill>
    <fill>
      <patternFill patternType="solid">
        <fgColor rgb="00E3A72F"/>
        <bgColor rgb="00E3A72F"/>
      </patternFill>
    </fill>
    <fill>
      <patternFill patternType="solid">
        <fgColor rgb="00FFFFFF"/>
        <bgColor rgb="00FFFFFF"/>
      </patternFill>
    </fill>
    <fill>
      <patternFill patternType="solid">
        <fgColor rgb="00FF7A00"/>
        <bgColor rgb="00FF7A00"/>
      </patternFill>
    </fill>
    <fill>
      <patternFill patternType="solid">
        <fgColor rgb="00FFB800"/>
        <bgColor rgb="00FFB800"/>
      </patternFill>
    </fill>
    <fill>
      <patternFill patternType="solid">
        <fgColor rgb="000094FB"/>
        <bgColor rgb="000094FB"/>
      </patternFill>
    </fill>
    <fill>
      <patternFill patternType="solid">
        <fgColor rgb="00FFF3CC"/>
        <bgColor rgb="00FFF3CC"/>
      </patternFill>
    </fill>
    <fill>
      <patternFill patternType="solid">
        <fgColor rgb="002ECC40"/>
        <bgColor rgb="002ECC40"/>
      </patternFill>
    </fill>
    <fill>
      <patternFill patternType="solid">
        <fgColor rgb="008727E2"/>
        <bgColor rgb="008727E2"/>
      </patternFill>
    </fill>
    <fill>
      <patternFill patternType="solid">
        <fgColor rgb="00EEF3EF"/>
        <bgColor rgb="00EEF3EF"/>
      </patternFill>
    </fill>
    <fill>
      <patternFill patternType="solid">
        <fgColor rgb="00F4F9F4"/>
        <bgColor rgb="00F4F9F4"/>
      </patternFill>
    </fill>
    <fill>
      <patternFill patternType="solid">
        <fgColor rgb="00DCEBDD"/>
        <bgColor rgb="00DCEBDD"/>
      </patternFill>
    </fill>
  </fills>
  <borders count="7">
    <border>
      <left/>
      <right/>
      <top/>
      <bottom/>
      <diagonal/>
    </border>
    <border>
      <left style="thin">
        <color rgb="00C8DACB"/>
      </left>
      <right style="thin">
        <color rgb="00C8DACB"/>
      </right>
      <top style="thin">
        <color rgb="00C8DACB"/>
      </top>
      <bottom style="thin">
        <color rgb="00C8DACB"/>
      </bottom>
    </border>
    <border>
      <left style="hair">
        <color rgb="00D5E0D7"/>
      </left>
      <top style="hair">
        <color rgb="00D5E0D7"/>
      </top>
    </border>
    <border>
      <left style="thick">
        <color rgb="00E3A72F"/>
      </left>
    </border>
    <border>
      <left style="thick">
        <color rgb="003F9B5B"/>
      </left>
    </border>
    <border>
      <left style="thick">
        <color rgb="0014532D"/>
      </left>
    </border>
    <border>
      <left style="thick">
        <color rgb="00E76F51"/>
      </left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5" borderId="0" applyAlignment="1" pivotButton="0" quotePrefix="0" xfId="0">
      <alignment horizontal="left" vertical="center"/>
    </xf>
    <xf numFmtId="0" fontId="0" fillId="5" borderId="0" pivotButton="0" quotePrefix="0" xfId="0"/>
    <xf numFmtId="0" fontId="6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pivotButton="0" quotePrefix="0" xfId="0"/>
    <xf numFmtId="0" fontId="0" fillId="10" borderId="0" pivotButton="0" quotePrefix="0" xfId="0"/>
    <xf numFmtId="0" fontId="0" fillId="8" borderId="0" pivotButton="0" quotePrefix="0" xfId="0"/>
    <xf numFmtId="0" fontId="0" fillId="11" borderId="0" pivotButton="0" quotePrefix="0" xfId="0"/>
    <xf numFmtId="0" fontId="8" fillId="0" borderId="0" applyAlignment="1" pivotButton="0" quotePrefix="0" xfId="0">
      <alignment horizontal="left" vertical="center"/>
    </xf>
    <xf numFmtId="0" fontId="18" fillId="4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9" fillId="13" borderId="4" applyAlignment="1" pivotButton="0" quotePrefix="0" xfId="0">
      <alignment horizontal="center" vertical="center"/>
    </xf>
    <xf numFmtId="0" fontId="19" fillId="13" borderId="5" applyAlignment="1" pivotButton="0" quotePrefix="0" xfId="0">
      <alignment horizontal="center" vertical="center"/>
    </xf>
    <xf numFmtId="0" fontId="19" fillId="13" borderId="3" applyAlignment="1" pivotButton="0" quotePrefix="0" xfId="0">
      <alignment horizontal="center" vertical="center"/>
    </xf>
    <xf numFmtId="0" fontId="19" fillId="13" borderId="6" applyAlignment="1" pivotButton="0" quotePrefix="0" xfId="0">
      <alignment horizontal="center" vertical="center"/>
    </xf>
    <xf numFmtId="9" fontId="20" fillId="13" borderId="4" applyAlignment="1" pivotButton="0" quotePrefix="0" xfId="0">
      <alignment horizontal="center" vertical="center"/>
    </xf>
    <xf numFmtId="167" fontId="21" fillId="13" borderId="5" applyAlignment="1" pivotButton="0" quotePrefix="0" xfId="0">
      <alignment horizontal="center" vertical="center"/>
    </xf>
    <xf numFmtId="0" fontId="22" fillId="13" borderId="3" applyAlignment="1" pivotButton="0" quotePrefix="0" xfId="0">
      <alignment horizontal="center" vertical="center"/>
    </xf>
    <xf numFmtId="167" fontId="23" fillId="13" borderId="6" applyAlignment="1" pivotButton="0" quotePrefix="0" xfId="0">
      <alignment horizontal="center" vertical="center"/>
    </xf>
    <xf numFmtId="0" fontId="12" fillId="13" borderId="4" applyAlignment="1" pivotButton="0" quotePrefix="0" xfId="0">
      <alignment horizontal="center" vertical="center"/>
    </xf>
    <xf numFmtId="0" fontId="12" fillId="13" borderId="5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12" fillId="13" borderId="6" applyAlignment="1" pivotButton="0" quotePrefix="0" xfId="0">
      <alignment horizontal="center" vertical="center"/>
    </xf>
    <xf numFmtId="0" fontId="24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168" fontId="18" fillId="5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18" fillId="14" borderId="1" applyAlignment="1" pivotButton="0" quotePrefix="0" xfId="0">
      <alignment horizontal="center" vertical="center"/>
    </xf>
    <xf numFmtId="0" fontId="17" fillId="5" borderId="1" applyAlignment="1" pivotButton="0" quotePrefix="0" xfId="0">
      <alignment vertical="center"/>
    </xf>
    <xf numFmtId="169" fontId="17" fillId="5" borderId="1" applyAlignment="1" pivotButton="0" quotePrefix="0" xfId="0">
      <alignment horizontal="center" vertical="center"/>
    </xf>
    <xf numFmtId="170" fontId="17" fillId="5" borderId="1" applyAlignment="1" pivotButton="0" quotePrefix="0" xfId="0">
      <alignment horizontal="right" vertical="center"/>
    </xf>
    <xf numFmtId="0" fontId="13" fillId="2" borderId="1" applyAlignment="1" pivotButton="0" quotePrefix="0" xfId="0">
      <alignment vertical="center"/>
    </xf>
    <xf numFmtId="1" fontId="25" fillId="14" borderId="1" applyAlignment="1" pivotButton="0" quotePrefix="0" xfId="0">
      <alignment horizontal="center" vertical="center"/>
    </xf>
    <xf numFmtId="9" fontId="25" fillId="14" borderId="1" applyAlignment="1" pivotButton="0" quotePrefix="0" xfId="0">
      <alignment horizontal="right" vertical="center"/>
    </xf>
    <xf numFmtId="0" fontId="9" fillId="3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center"/>
    </xf>
    <xf numFmtId="169" fontId="5" fillId="5" borderId="1" applyAlignment="1" pivotButton="0" quotePrefix="0" xfId="0">
      <alignment horizontal="center" vertical="center"/>
    </xf>
    <xf numFmtId="170" fontId="5" fillId="5" borderId="1" applyAlignment="1" pivotButton="0" quotePrefix="0" xfId="0">
      <alignment horizontal="right" vertical="center"/>
    </xf>
    <xf numFmtId="1" fontId="10" fillId="14" borderId="1" applyAlignment="1" pivotButton="0" quotePrefix="0" xfId="0">
      <alignment horizontal="center" vertical="center"/>
    </xf>
    <xf numFmtId="9" fontId="10" fillId="14" borderId="1" applyAlignment="1" pivotButton="0" quotePrefix="0" xfId="0">
      <alignment horizontal="right" vertical="center"/>
    </xf>
    <xf numFmtId="164" fontId="26" fillId="13" borderId="3" applyAlignment="1" pivotButton="0" quotePrefix="0" xfId="0">
      <alignment horizontal="center" vertical="center"/>
    </xf>
    <xf numFmtId="164" fontId="27" fillId="13" borderId="3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4" fillId="2" borderId="1" applyAlignment="1" pivotButton="0" quotePrefix="0" xfId="0">
      <alignment horizontal="center" vertical="center" wrapText="1"/>
    </xf>
    <xf numFmtId="165" fontId="15" fillId="3" borderId="1" applyAlignment="1" pivotButton="0" quotePrefix="0" xfId="0">
      <alignment horizontal="center" vertical="center" textRotation="90"/>
    </xf>
    <xf numFmtId="0" fontId="16" fillId="12" borderId="1" applyAlignment="1" pivotButton="0" quotePrefix="0" xfId="0">
      <alignment horizontal="center" vertical="center"/>
    </xf>
    <xf numFmtId="0" fontId="17" fillId="9" borderId="1" applyAlignment="1" applyProtection="1" pivotButton="0" quotePrefix="0" xfId="0">
      <alignment horizontal="left" vertical="center"/>
      <protection locked="0" hidden="0"/>
    </xf>
    <xf numFmtId="164" fontId="17" fillId="9" borderId="1" applyAlignment="1" applyProtection="1" pivotButton="0" quotePrefix="0" xfId="0">
      <alignment horizontal="center" vertical="center"/>
      <protection locked="0" hidden="0"/>
    </xf>
    <xf numFmtId="9" fontId="17" fillId="9" borderId="1" applyAlignment="1" applyProtection="1" pivotButton="0" quotePrefix="0" xfId="0">
      <alignment horizontal="center" vertical="center"/>
      <protection locked="0" hidden="0"/>
    </xf>
    <xf numFmtId="0" fontId="17" fillId="12" borderId="1" applyAlignment="1" pivotButton="0" quotePrefix="0" xfId="0">
      <alignment horizontal="center" vertical="center"/>
    </xf>
    <xf numFmtId="166" fontId="17" fillId="12" borderId="1" applyAlignment="1" pivotButton="0" quotePrefix="0" xfId="0">
      <alignment horizontal="center" vertical="center"/>
    </xf>
    <xf numFmtId="0" fontId="5" fillId="5" borderId="2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5" fillId="9" borderId="1" applyAlignment="1" applyProtection="1" pivotButton="0" quotePrefix="0" xfId="0">
      <alignment horizontal="left" vertical="center"/>
      <protection locked="0" hidden="0"/>
    </xf>
    <xf numFmtId="0" fontId="8" fillId="0" borderId="0" applyAlignment="1" pivotButton="0" quotePrefix="0" xfId="0">
      <alignment horizontal="left" vertical="center" wrapText="1"/>
    </xf>
    <xf numFmtId="164" fontId="5" fillId="9" borderId="1" applyAlignment="1" applyProtection="1" pivotButton="0" quotePrefix="0" xfId="0">
      <alignment horizontal="center" vertical="center"/>
      <protection locked="0" hidden="0"/>
    </xf>
    <xf numFmtId="0" fontId="5" fillId="0" borderId="0" applyAlignment="1" pivotButton="0" quotePrefix="0" xfId="0">
      <alignment horizontal="left" vertical="top" wrapText="1"/>
    </xf>
    <xf numFmtId="0" fontId="28" fillId="4" borderId="0" applyAlignment="1" pivotButton="0" quotePrefix="0" xfId="0">
      <alignment horizontal="left" vertical="center"/>
    </xf>
    <xf numFmtId="0" fontId="29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10">
    <dxf>
      <font>
        <b val="1"/>
        <color rgb="00B00020"/>
      </font>
      <fill>
        <patternFill patternType="solid">
          <fgColor rgb="00FBD5D5"/>
          <bgColor rgb="00FBD5D5"/>
        </patternFill>
      </fill>
    </dxf>
    <dxf>
      <font>
        <b val="1"/>
        <color rgb="009A4A00"/>
      </font>
      <fill>
        <patternFill patternType="solid">
          <fgColor rgb="00FFE3CF"/>
          <bgColor rgb="00FFE3CF"/>
        </patternFill>
      </fill>
    </dxf>
    <dxf>
      <font>
        <b val="1"/>
        <color rgb="0017653B"/>
      </font>
      <fill>
        <patternFill patternType="solid">
          <fgColor rgb="00D6F0E4"/>
          <bgColor rgb="00D6F0E4"/>
        </patternFill>
      </fill>
    </dxf>
    <dxf>
      <font>
        <b val="1"/>
        <color rgb="00B00020"/>
      </font>
    </dxf>
    <dxf>
      <fill>
        <patternFill patternType="solid">
          <fgColor rgb="008FD3A8"/>
          <bgColor rgb="008FD3A8"/>
        </patternFill>
      </fill>
    </dxf>
    <dxf>
      <fill>
        <patternFill patternType="solid">
          <fgColor rgb="00F2998A"/>
          <bgColor rgb="00F2998A"/>
        </patternFill>
      </fill>
    </dxf>
    <dxf>
      <fill>
        <patternFill patternType="solid">
          <fgColor rgb="004C9FD1"/>
          <bgColor rgb="004C9FD1"/>
        </patternFill>
      </fill>
    </dxf>
    <dxf>
      <fill>
        <patternFill patternType="solid">
          <fgColor rgb="00FFEFB8"/>
          <bgColor rgb="00FFEFB8"/>
        </patternFill>
      </fill>
    </dxf>
    <dxf>
      <fill>
        <patternFill patternType="solid">
          <fgColor rgb="00E3A72F"/>
          <bgColor rgb="00E3A72F"/>
        </patternFill>
      </fill>
    </dxf>
    <dxf>
      <font>
        <b val="1"/>
        <color rgb="001F6FA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Avance por etapa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'PANEL'!E17</f>
            </strRef>
          </tx>
          <spPr>
            <a:solidFill xmlns:a="http://schemas.openxmlformats.org/drawingml/2006/main">
              <a:srgbClr val="3F9B5B"/>
            </a:solidFill>
            <a:ln xmlns:a="http://schemas.openxmlformats.org/drawingml/2006/main">
              <a:prstDash val="solid"/>
            </a:ln>
          </spPr>
          <cat>
            <numRef>
              <f>'PANEL'!$B$18:$B$26</f>
            </numRef>
          </cat>
          <val>
            <numRef>
              <f>'PANEL'!$E$18:$E$26</f>
            </numRef>
          </val>
        </ser>
        <gapWidth val="4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Cómo están tus tareas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8FD3A8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C9FD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C3CCC6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76F51"/>
              </a:solidFill>
              <a:ln xmlns:a="http://schemas.openxmlformats.org/drawingml/2006/main">
                <a:prstDash val="solid"/>
              </a:ln>
            </spPr>
          </dPt>
          <cat>
            <numRef>
              <f>'PANEL'!$B$31:$B$34</f>
            </numRef>
          </cat>
          <val>
            <numRef>
              <f>'PANEL'!$D$31:$D$34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15</row>
      <rowOff>0</rowOff>
    </from>
    <ext cx="4752000" cy="284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31</row>
      <rowOff>0</rowOff>
    </from>
    <ext cx="4752000" cy="2376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57150</colOff>
      <row>0</row>
      <rowOff>76200</rowOff>
    </from>
    <ext cx="1409700" cy="285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1</col>
      <colOff>57150</colOff>
      <row>0</row>
      <rowOff>76200</rowOff>
    </from>
    <ext cx="14097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3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drawing" Target="/xl/drawings/drawing4.xm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ixshopdigital.com.py" TargetMode="External" Id="rId1"/><Relationship Type="http://schemas.openxmlformats.org/officeDocument/2006/relationships/hyperlink" Target="https://mixshopdigital.com.py" TargetMode="External" Id="rId2"/><Relationship Type="http://schemas.openxmlformats.org/officeDocument/2006/relationships/drawing" Target="/xl/drawings/drawing5.xml" Id="rId3"/></Relationships>
</file>

<file path=xl/worksheets/sheet1.xml><?xml version="1.0" encoding="utf-8"?>
<worksheet xmlns="http://schemas.openxmlformats.org/spreadsheetml/2006/main">
  <sheetPr>
    <tabColor rgb="003F9B5B"/>
    <outlinePr summaryBelow="1" summaryRight="1"/>
    <pageSetUpPr fitToPage="1"/>
  </sheetPr>
  <dimension ref="B1:M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8" customHeight="1">
      <c r="B1" s="1" t="n"/>
      <c r="C1" s="2" t="n"/>
      <c r="D1" s="2" t="n"/>
      <c r="E1" s="2" t="n"/>
      <c r="F1" s="3" t="inlineStr">
        <is>
          <t>CRONOGRAMA DE TESIS</t>
        </is>
      </c>
      <c r="G1" s="2" t="n"/>
      <c r="H1" s="2" t="n"/>
      <c r="I1" s="2" t="n"/>
      <c r="J1" s="2" t="n"/>
      <c r="K1" s="2" t="n"/>
      <c r="L1" s="2" t="n"/>
      <c r="M1" s="2" t="n"/>
    </row>
    <row r="2" ht="18" customHeight="1">
      <c r="B2" s="4" t="inlineStr">
        <is>
          <t>Herramientas inteligentes que simplifican tu vida.</t>
        </is>
      </c>
      <c r="F2" s="5" t="inlineStr">
        <is>
          <t>Tu tesis, de un vistazo</t>
        </is>
      </c>
    </row>
    <row r="3" ht="5" customHeight="1">
      <c r="B3" s="6" t="n"/>
      <c r="C3" s="7" t="n"/>
      <c r="D3" s="7" t="n"/>
      <c r="E3" s="8" t="n"/>
      <c r="F3" s="8" t="n"/>
      <c r="G3" s="9" t="n"/>
      <c r="H3" s="9" t="n"/>
      <c r="I3" s="9" t="n"/>
      <c r="J3" s="10" t="n"/>
      <c r="K3" s="10" t="n"/>
      <c r="L3" s="11" t="n"/>
      <c r="M3" s="11" t="n"/>
    </row>
    <row r="4" ht="20" customHeight="1">
      <c r="C4" s="12" t="inlineStr">
        <is>
          <t>El panel se arma solo con lo que anotás en CRONOGRAMA y REUNIONES. No hace falta escribir nada acá.</t>
        </is>
      </c>
    </row>
    <row r="5" ht="22" customHeight="1">
      <c r="B5" s="13" t="inlineStr">
        <is>
          <t>+ Cronograma</t>
        </is>
      </c>
      <c r="E5" s="14" t="inlineStr">
        <is>
          <t>Reuniones</t>
        </is>
      </c>
      <c r="G5" s="15" t="inlineStr">
        <is>
          <t>Ajustes</t>
        </is>
      </c>
      <c r="I5" s="15" t="inlineStr">
        <is>
          <t>Ayuda</t>
        </is>
      </c>
    </row>
    <row r="6" ht="22" customHeight="1">
      <c r="B6" s="16">
        <f>"Trabajo: "&amp;TituloTesis&amp;IF(Estudiante="","","   ·   Estudiante: "&amp;Estudiante)&amp;IF(Tutor="","","   ·   Tutor: "&amp;Tutor)</f>
        <v/>
      </c>
    </row>
    <row r="8" ht="16" customHeight="1">
      <c r="B8" s="17" t="inlineStr">
        <is>
          <t>AVANCE GENERAL</t>
        </is>
      </c>
      <c r="E8" s="18" t="inlineStr">
        <is>
          <t>DÍAS PARA TU ENTREGA</t>
        </is>
      </c>
      <c r="H8" s="19" t="inlineStr">
        <is>
          <t>TAREAS COMPLETADAS</t>
        </is>
      </c>
      <c r="K8" s="20" t="inlineStr">
        <is>
          <t>TAREAS ATRASADAS</t>
        </is>
      </c>
    </row>
    <row r="9" ht="30" customHeight="1">
      <c r="B9" s="21">
        <f>IFERROR(SUMPRODUCT(((CRONOGRAMA!$D$7:$D$46&lt;&gt;"")*(CRONOGRAMA!$F$7:$F$46-CRONOGRAMA!$E$7:$E$46+1))*CRONOGRAMA!$G$7:$G$46)/SUMPRODUCT(((CRONOGRAMA!$D$7:$D$46&lt;&gt;"")*(CRONOGRAMA!$F$7:$F$46-CRONOGRAMA!$E$7:$E$46+1))),0)</f>
        <v/>
      </c>
      <c r="E9" s="22">
        <f>IF(N(FechaFin)=0,"-",FechaFin-TODAY())</f>
        <v/>
      </c>
      <c r="H9" s="23">
        <f>COUNTIF(CRONOGRAMA!$H$7:$H$46,"Completada")&amp;" de "&amp;COUNTA(CRONOGRAMA!$D$7:$D$46)</f>
        <v/>
      </c>
      <c r="K9" s="24">
        <f>COUNTIF(CRONOGRAMA!$H$7:$H$46,"Atrasada")</f>
        <v/>
      </c>
    </row>
    <row r="10" ht="15" customHeight="1">
      <c r="B10" s="25" t="inlineStr">
        <is>
          <t>ponderado por duración de cada tarea</t>
        </is>
      </c>
      <c r="E10" s="26" t="inlineStr">
        <is>
          <t>negativo = fecha vencida</t>
        </is>
      </c>
      <c r="H10" s="27" t="inlineStr">
        <is>
          <t>tareas</t>
        </is>
      </c>
      <c r="K10" s="28" t="inlineStr">
        <is>
          <t>pasó su fecha sin completarse</t>
        </is>
      </c>
    </row>
    <row r="11" ht="8" customHeight="1"/>
    <row r="12" ht="24" customHeight="1">
      <c r="B12" s="29">
        <f>IF(COUNTA(CRONOGRAMA!$D$7:$D$46)=0,"Cargá tus tareas en la hoja CRONOGRAMA para ver tu panel.",IF(K9&gt;0,"⚠ Tenés "&amp;K9&amp;" tarea(s) atrasada(s). Revisalas en CRONOGRAMA.",IF(D14+0.1&lt;D13,"⚠ Tu avance está por detrás del tiempo transcurrido. Conviene ajustar el plan.","✔ Vas bien: tu avance acompaña el tiempo transcurrido.")))</f>
        <v/>
      </c>
    </row>
    <row r="13" ht="22" customHeight="1">
      <c r="B13" s="30" t="inlineStr">
        <is>
          <t>Tiempo transcurrido</t>
        </is>
      </c>
      <c r="D13" s="31">
        <f>IF(OR(N(FechaIni)=0,N(FechaFin)&lt;=N(FechaIni)),0,MAX(0,MIN(1,(TODAY()-FechaIni)/(FechaFin-FechaIni))))</f>
        <v/>
      </c>
    </row>
    <row r="14" ht="22" customHeight="1">
      <c r="B14" s="30" t="inlineStr">
        <is>
          <t>Avance real</t>
        </is>
      </c>
      <c r="D14" s="31">
        <f>B9</f>
        <v/>
      </c>
    </row>
    <row r="16">
      <c r="B16" s="32" t="inlineStr">
        <is>
          <t>AVANCE POR ETAPA</t>
        </is>
      </c>
    </row>
    <row r="17" ht="22" customHeight="1">
      <c r="B17" s="33" t="inlineStr">
        <is>
          <t>Etapa</t>
        </is>
      </c>
      <c r="D17" s="33" t="inlineStr">
        <is>
          <t>Tareas</t>
        </is>
      </c>
      <c r="E17" s="33" t="inlineStr">
        <is>
          <t>Avance</t>
        </is>
      </c>
      <c r="F17" s="33" t="inlineStr">
        <is>
          <t>Atrasadas</t>
        </is>
      </c>
    </row>
    <row r="18" ht="18" customHeight="1">
      <c r="B18" s="34">
        <f>IF('AJUSTES'!$B$15="","",'AJUSTES'!$B$15)</f>
        <v/>
      </c>
      <c r="D18" s="35">
        <f>IF(B18="",0,COUNTIFS(CRONOGRAMA!$C$7:$C$46,B18,CRONOGRAMA!$D$7:$D$46,"&lt;&gt;"))</f>
        <v/>
      </c>
      <c r="E18" s="36">
        <f>IF(B18="",0,IFERROR(SUMPRODUCT(((CRONOGRAMA!$C$7:$C$46=B18)*(CRONOGRAMA!$D$7:$D$46&lt;&gt;"")*(CRONOGRAMA!$F$7:$F$46-CRONOGRAMA!$E$7:$E$46+1))*CRONOGRAMA!$G$7:$G$46)/SUMPRODUCT(((CRONOGRAMA!$C$7:$C$46=B18)*(CRONOGRAMA!$D$7:$D$46&lt;&gt;"")*(CRONOGRAMA!$F$7:$F$46-CRONOGRAMA!$E$7:$E$46+1))),0))</f>
        <v/>
      </c>
      <c r="F18" s="35">
        <f>IF(B18="",0,COUNTIFS(CRONOGRAMA!$C$7:$C$46,B18,CRONOGRAMA!$H$7:$H$46,"Atrasada"))</f>
        <v/>
      </c>
    </row>
    <row r="19" ht="18" customHeight="1">
      <c r="B19" s="34">
        <f>IF('AJUSTES'!$B$16="","",'AJUSTES'!$B$16)</f>
        <v/>
      </c>
      <c r="D19" s="35">
        <f>IF(B19="",0,COUNTIFS(CRONOGRAMA!$C$7:$C$46,B19,CRONOGRAMA!$D$7:$D$46,"&lt;&gt;"))</f>
        <v/>
      </c>
      <c r="E19" s="36">
        <f>IF(B19="",0,IFERROR(SUMPRODUCT(((CRONOGRAMA!$C$7:$C$46=B19)*(CRONOGRAMA!$D$7:$D$46&lt;&gt;"")*(CRONOGRAMA!$F$7:$F$46-CRONOGRAMA!$E$7:$E$46+1))*CRONOGRAMA!$G$7:$G$46)/SUMPRODUCT(((CRONOGRAMA!$C$7:$C$46=B19)*(CRONOGRAMA!$D$7:$D$46&lt;&gt;"")*(CRONOGRAMA!$F$7:$F$46-CRONOGRAMA!$E$7:$E$46+1))),0))</f>
        <v/>
      </c>
      <c r="F19" s="35">
        <f>IF(B19="",0,COUNTIFS(CRONOGRAMA!$C$7:$C$46,B19,CRONOGRAMA!$H$7:$H$46,"Atrasada"))</f>
        <v/>
      </c>
    </row>
    <row r="20" ht="18" customHeight="1">
      <c r="B20" s="34">
        <f>IF('AJUSTES'!$B$17="","",'AJUSTES'!$B$17)</f>
        <v/>
      </c>
      <c r="D20" s="35">
        <f>IF(B20="",0,COUNTIFS(CRONOGRAMA!$C$7:$C$46,B20,CRONOGRAMA!$D$7:$D$46,"&lt;&gt;"))</f>
        <v/>
      </c>
      <c r="E20" s="36">
        <f>IF(B20="",0,IFERROR(SUMPRODUCT(((CRONOGRAMA!$C$7:$C$46=B20)*(CRONOGRAMA!$D$7:$D$46&lt;&gt;"")*(CRONOGRAMA!$F$7:$F$46-CRONOGRAMA!$E$7:$E$46+1))*CRONOGRAMA!$G$7:$G$46)/SUMPRODUCT(((CRONOGRAMA!$C$7:$C$46=B20)*(CRONOGRAMA!$D$7:$D$46&lt;&gt;"")*(CRONOGRAMA!$F$7:$F$46-CRONOGRAMA!$E$7:$E$46+1))),0))</f>
        <v/>
      </c>
      <c r="F20" s="35">
        <f>IF(B20="",0,COUNTIFS(CRONOGRAMA!$C$7:$C$46,B20,CRONOGRAMA!$H$7:$H$46,"Atrasada"))</f>
        <v/>
      </c>
    </row>
    <row r="21" ht="18" customHeight="1">
      <c r="B21" s="34">
        <f>IF('AJUSTES'!$B$18="","",'AJUSTES'!$B$18)</f>
        <v/>
      </c>
      <c r="D21" s="35">
        <f>IF(B21="",0,COUNTIFS(CRONOGRAMA!$C$7:$C$46,B21,CRONOGRAMA!$D$7:$D$46,"&lt;&gt;"))</f>
        <v/>
      </c>
      <c r="E21" s="36">
        <f>IF(B21="",0,IFERROR(SUMPRODUCT(((CRONOGRAMA!$C$7:$C$46=B21)*(CRONOGRAMA!$D$7:$D$46&lt;&gt;"")*(CRONOGRAMA!$F$7:$F$46-CRONOGRAMA!$E$7:$E$46+1))*CRONOGRAMA!$G$7:$G$46)/SUMPRODUCT(((CRONOGRAMA!$C$7:$C$46=B21)*(CRONOGRAMA!$D$7:$D$46&lt;&gt;"")*(CRONOGRAMA!$F$7:$F$46-CRONOGRAMA!$E$7:$E$46+1))),0))</f>
        <v/>
      </c>
      <c r="F21" s="35">
        <f>IF(B21="",0,COUNTIFS(CRONOGRAMA!$C$7:$C$46,B21,CRONOGRAMA!$H$7:$H$46,"Atrasada"))</f>
        <v/>
      </c>
    </row>
    <row r="22" ht="18" customHeight="1">
      <c r="B22" s="34">
        <f>IF('AJUSTES'!$B$19="","",'AJUSTES'!$B$19)</f>
        <v/>
      </c>
      <c r="D22" s="35">
        <f>IF(B22="",0,COUNTIFS(CRONOGRAMA!$C$7:$C$46,B22,CRONOGRAMA!$D$7:$D$46,"&lt;&gt;"))</f>
        <v/>
      </c>
      <c r="E22" s="36">
        <f>IF(B22="",0,IFERROR(SUMPRODUCT(((CRONOGRAMA!$C$7:$C$46=B22)*(CRONOGRAMA!$D$7:$D$46&lt;&gt;"")*(CRONOGRAMA!$F$7:$F$46-CRONOGRAMA!$E$7:$E$46+1))*CRONOGRAMA!$G$7:$G$46)/SUMPRODUCT(((CRONOGRAMA!$C$7:$C$46=B22)*(CRONOGRAMA!$D$7:$D$46&lt;&gt;"")*(CRONOGRAMA!$F$7:$F$46-CRONOGRAMA!$E$7:$E$46+1))),0))</f>
        <v/>
      </c>
      <c r="F22" s="35">
        <f>IF(B22="",0,COUNTIFS(CRONOGRAMA!$C$7:$C$46,B22,CRONOGRAMA!$H$7:$H$46,"Atrasada"))</f>
        <v/>
      </c>
    </row>
    <row r="23" ht="18" customHeight="1">
      <c r="B23" s="34">
        <f>IF('AJUSTES'!$B$20="","",'AJUSTES'!$B$20)</f>
        <v/>
      </c>
      <c r="D23" s="35">
        <f>IF(B23="",0,COUNTIFS(CRONOGRAMA!$C$7:$C$46,B23,CRONOGRAMA!$D$7:$D$46,"&lt;&gt;"))</f>
        <v/>
      </c>
      <c r="E23" s="36">
        <f>IF(B23="",0,IFERROR(SUMPRODUCT(((CRONOGRAMA!$C$7:$C$46=B23)*(CRONOGRAMA!$D$7:$D$46&lt;&gt;"")*(CRONOGRAMA!$F$7:$F$46-CRONOGRAMA!$E$7:$E$46+1))*CRONOGRAMA!$G$7:$G$46)/SUMPRODUCT(((CRONOGRAMA!$C$7:$C$46=B23)*(CRONOGRAMA!$D$7:$D$46&lt;&gt;"")*(CRONOGRAMA!$F$7:$F$46-CRONOGRAMA!$E$7:$E$46+1))),0))</f>
        <v/>
      </c>
      <c r="F23" s="35">
        <f>IF(B23="",0,COUNTIFS(CRONOGRAMA!$C$7:$C$46,B23,CRONOGRAMA!$H$7:$H$46,"Atrasada"))</f>
        <v/>
      </c>
    </row>
    <row r="24" ht="18" customHeight="1">
      <c r="B24" s="34">
        <f>IF('AJUSTES'!$B$21="","",'AJUSTES'!$B$21)</f>
        <v/>
      </c>
      <c r="D24" s="35">
        <f>IF(B24="",0,COUNTIFS(CRONOGRAMA!$C$7:$C$46,B24,CRONOGRAMA!$D$7:$D$46,"&lt;&gt;"))</f>
        <v/>
      </c>
      <c r="E24" s="36">
        <f>IF(B24="",0,IFERROR(SUMPRODUCT(((CRONOGRAMA!$C$7:$C$46=B24)*(CRONOGRAMA!$D$7:$D$46&lt;&gt;"")*(CRONOGRAMA!$F$7:$F$46-CRONOGRAMA!$E$7:$E$46+1))*CRONOGRAMA!$G$7:$G$46)/SUMPRODUCT(((CRONOGRAMA!$C$7:$C$46=B24)*(CRONOGRAMA!$D$7:$D$46&lt;&gt;"")*(CRONOGRAMA!$F$7:$F$46-CRONOGRAMA!$E$7:$E$46+1))),0))</f>
        <v/>
      </c>
      <c r="F24" s="35">
        <f>IF(B24="",0,COUNTIFS(CRONOGRAMA!$C$7:$C$46,B24,CRONOGRAMA!$H$7:$H$46,"Atrasada"))</f>
        <v/>
      </c>
    </row>
    <row r="25" ht="18" customHeight="1">
      <c r="B25" s="34">
        <f>IF('AJUSTES'!$B$22="","",'AJUSTES'!$B$22)</f>
        <v/>
      </c>
      <c r="D25" s="35">
        <f>IF(B25="",0,COUNTIFS(CRONOGRAMA!$C$7:$C$46,B25,CRONOGRAMA!$D$7:$D$46,"&lt;&gt;"))</f>
        <v/>
      </c>
      <c r="E25" s="36">
        <f>IF(B25="",0,IFERROR(SUMPRODUCT(((CRONOGRAMA!$C$7:$C$46=B25)*(CRONOGRAMA!$D$7:$D$46&lt;&gt;"")*(CRONOGRAMA!$F$7:$F$46-CRONOGRAMA!$E$7:$E$46+1))*CRONOGRAMA!$G$7:$G$46)/SUMPRODUCT(((CRONOGRAMA!$C$7:$C$46=B25)*(CRONOGRAMA!$D$7:$D$46&lt;&gt;"")*(CRONOGRAMA!$F$7:$F$46-CRONOGRAMA!$E$7:$E$46+1))),0))</f>
        <v/>
      </c>
      <c r="F25" s="35">
        <f>IF(B25="",0,COUNTIFS(CRONOGRAMA!$C$7:$C$46,B25,CRONOGRAMA!$H$7:$H$46,"Atrasada"))</f>
        <v/>
      </c>
    </row>
    <row r="26" ht="18" customHeight="1">
      <c r="B26" s="34">
        <f>IF('AJUSTES'!$B$23="","",'AJUSTES'!$B$23)</f>
        <v/>
      </c>
      <c r="D26" s="35">
        <f>IF(B26="",0,COUNTIFS(CRONOGRAMA!$C$7:$C$46,B26,CRONOGRAMA!$D$7:$D$46,"&lt;&gt;"))</f>
        <v/>
      </c>
      <c r="E26" s="36">
        <f>IF(B26="",0,IFERROR(SUMPRODUCT(((CRONOGRAMA!$C$7:$C$46=B26)*(CRONOGRAMA!$D$7:$D$46&lt;&gt;"")*(CRONOGRAMA!$F$7:$F$46-CRONOGRAMA!$E$7:$E$46+1))*CRONOGRAMA!$G$7:$G$46)/SUMPRODUCT(((CRONOGRAMA!$C$7:$C$46=B26)*(CRONOGRAMA!$D$7:$D$46&lt;&gt;"")*(CRONOGRAMA!$F$7:$F$46-CRONOGRAMA!$E$7:$E$46+1))),0))</f>
        <v/>
      </c>
      <c r="F26" s="35">
        <f>IF(B26="",0,COUNTIFS(CRONOGRAMA!$C$7:$C$46,B26,CRONOGRAMA!$H$7:$H$46,"Atrasada"))</f>
        <v/>
      </c>
    </row>
    <row r="27" ht="20" customHeight="1">
      <c r="B27" s="37" t="inlineStr">
        <is>
          <t>TOTAL</t>
        </is>
      </c>
      <c r="D27" s="38">
        <f>SUM(D18:D26)</f>
        <v/>
      </c>
      <c r="E27" s="39">
        <f>B9</f>
        <v/>
      </c>
      <c r="F27" s="38">
        <f>SUM(F18:F26)</f>
        <v/>
      </c>
    </row>
    <row r="29">
      <c r="B29" s="40" t="inlineStr">
        <is>
          <t>ESTADO DE LAS TAREAS</t>
        </is>
      </c>
    </row>
    <row r="30" ht="22" customHeight="1">
      <c r="B30" s="33" t="inlineStr">
        <is>
          <t>Estado</t>
        </is>
      </c>
      <c r="D30" s="33" t="inlineStr">
        <is>
          <t>Tareas</t>
        </is>
      </c>
      <c r="E30" s="33" t="inlineStr">
        <is>
          <t>%</t>
        </is>
      </c>
    </row>
    <row r="31" ht="20" customHeight="1">
      <c r="B31" s="41" t="inlineStr">
        <is>
          <t>Completada</t>
        </is>
      </c>
      <c r="D31" s="42">
        <f>COUNTIF(CRONOGRAMA!$H$7:$H$46,B31)</f>
        <v/>
      </c>
      <c r="E31" s="43">
        <f>IF($D$35=0,0,D31/$D$35)</f>
        <v/>
      </c>
    </row>
    <row r="32" ht="20" customHeight="1">
      <c r="B32" s="41" t="inlineStr">
        <is>
          <t>En curso</t>
        </is>
      </c>
      <c r="D32" s="42">
        <f>COUNTIF(CRONOGRAMA!$H$7:$H$46,B32)</f>
        <v/>
      </c>
      <c r="E32" s="43">
        <f>IF($D$35=0,0,D32/$D$35)</f>
        <v/>
      </c>
    </row>
    <row r="33" ht="20" customHeight="1">
      <c r="B33" s="41" t="inlineStr">
        <is>
          <t>Por empezar</t>
        </is>
      </c>
      <c r="D33" s="42">
        <f>COUNTIF(CRONOGRAMA!$H$7:$H$46,B33)</f>
        <v/>
      </c>
      <c r="E33" s="43">
        <f>IF($D$35=0,0,D33/$D$35)</f>
        <v/>
      </c>
    </row>
    <row r="34" ht="20" customHeight="1">
      <c r="B34" s="41" t="inlineStr">
        <is>
          <t>Atrasada</t>
        </is>
      </c>
      <c r="D34" s="42">
        <f>COUNTIF(CRONOGRAMA!$H$7:$H$46,B34)</f>
        <v/>
      </c>
      <c r="E34" s="43">
        <f>IF($D$35=0,0,D34/$D$35)</f>
        <v/>
      </c>
    </row>
    <row r="35" ht="20" customHeight="1">
      <c r="B35" s="37" t="inlineStr">
        <is>
          <t>TOTAL</t>
        </is>
      </c>
      <c r="D35" s="44">
        <f>SUM(D31:D34)</f>
        <v/>
      </c>
      <c r="E35" s="45">
        <f>SUM(E31:E34)</f>
        <v/>
      </c>
    </row>
    <row r="37" ht="16" customHeight="1">
      <c r="B37" s="19" t="inlineStr">
        <is>
          <t>ÚLTIMA REUNIÓN CON TU TUTOR</t>
        </is>
      </c>
      <c r="E37" s="19" t="inlineStr">
        <is>
          <t>PRÓXIMA REUNIÓN</t>
        </is>
      </c>
    </row>
    <row r="38" ht="30" customHeight="1">
      <c r="B38" s="46">
        <f>IF(COUNTIFS(REUNIONES!$B$7:$B$66,"&gt;0",REUNIONES!$B$7:$B$66,"&lt;="&amp;TODAY())=0,"-",SUMPRODUCT(MAX((REUNIONES!$B$7:$B$66&lt;=TODAY())*REUNIONES!$B$7:$B$66)))</f>
        <v/>
      </c>
      <c r="E38" s="47">
        <f>IFERROR(SMALL(REUNIONES!$B$7:$B$66,COUNTIF(REUNIONES!$B$7:$B$66,"&lt;"&amp;TODAY())+1),"-")</f>
        <v/>
      </c>
    </row>
    <row r="39" ht="15" customHeight="1">
      <c r="B39" s="27" t="inlineStr">
        <is>
          <t>según REUNIONES</t>
        </is>
      </c>
      <c r="E39" s="27" t="inlineStr">
        <is>
          <t>agendada en REUNIONES</t>
        </is>
      </c>
    </row>
    <row r="46" ht="8" customHeight="1">
      <c r="B46" s="48" t="n"/>
    </row>
    <row r="47" ht="16" customHeight="1">
      <c r="B47" s="49" t="inlineStr">
        <is>
          <t>MIX SHOP DIGITAL  ·  Herramientas inteligentes que simplifican tu vida.</t>
        </is>
      </c>
    </row>
    <row r="48" ht="16" customHeight="1">
      <c r="B48" s="50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962"/>
  <mergeCells count="55">
    <mergeCell ref="E10:G10"/>
    <mergeCell ref="B48:M48"/>
    <mergeCell ref="B25:C25"/>
    <mergeCell ref="B8:D8"/>
    <mergeCell ref="E5:F5"/>
    <mergeCell ref="B22:C22"/>
    <mergeCell ref="E9:G9"/>
    <mergeCell ref="B31:C31"/>
    <mergeCell ref="B18:C18"/>
    <mergeCell ref="B27:C27"/>
    <mergeCell ref="B38:D38"/>
    <mergeCell ref="D14:M14"/>
    <mergeCell ref="B10:D10"/>
    <mergeCell ref="K8:M8"/>
    <mergeCell ref="B21:C21"/>
    <mergeCell ref="C4:M4"/>
    <mergeCell ref="B37:D37"/>
    <mergeCell ref="B23:C23"/>
    <mergeCell ref="B9:D9"/>
    <mergeCell ref="B14:C14"/>
    <mergeCell ref="B17:C17"/>
    <mergeCell ref="B6:M6"/>
    <mergeCell ref="B13:C13"/>
    <mergeCell ref="F2:M2"/>
    <mergeCell ref="B5:D5"/>
    <mergeCell ref="B29:F29"/>
    <mergeCell ref="K10:M10"/>
    <mergeCell ref="B19:C19"/>
    <mergeCell ref="B34:C34"/>
    <mergeCell ref="E37:G37"/>
    <mergeCell ref="G5:H5"/>
    <mergeCell ref="H8:J8"/>
    <mergeCell ref="I5:J5"/>
    <mergeCell ref="B2:E2"/>
    <mergeCell ref="D13:M13"/>
    <mergeCell ref="B16:G16"/>
    <mergeCell ref="B47:M47"/>
    <mergeCell ref="B24:C24"/>
    <mergeCell ref="B1:E1"/>
    <mergeCell ref="H10:J10"/>
    <mergeCell ref="B30:C30"/>
    <mergeCell ref="B33:C33"/>
    <mergeCell ref="K9:M9"/>
    <mergeCell ref="B20:C20"/>
    <mergeCell ref="E39:G39"/>
    <mergeCell ref="E8:G8"/>
    <mergeCell ref="B46:M46"/>
    <mergeCell ref="B32:C32"/>
    <mergeCell ref="H9:J9"/>
    <mergeCell ref="B26:C26"/>
    <mergeCell ref="B39:D39"/>
    <mergeCell ref="B35:C35"/>
    <mergeCell ref="F1:M1"/>
    <mergeCell ref="B12:M12"/>
    <mergeCell ref="E38:G38"/>
  </mergeCells>
  <conditionalFormatting sqref="B12:M12">
    <cfRule type="expression" priority="1" dxfId="0" stopIfTrue="1">
      <formula>ISNUMBER(SEARCH("érdida",$B$12))+ISNUMBER(SEARCH("NO conviene",$B$12))+ISNUMBER(SEARCH("por debajo",$B$12))&gt;0</formula>
    </cfRule>
    <cfRule type="expression" priority="2" dxfId="1" stopIfTrue="1">
      <formula>LEFT($B$12,1)="⚠"</formula>
    </cfRule>
    <cfRule type="expression" priority="3" dxfId="2">
      <formula>LEFT($B$12,1)="✔"</formula>
    </cfRule>
  </conditionalFormatting>
  <conditionalFormatting sqref="D13:M13">
    <cfRule type="dataBar" priority="4">
      <dataBar showValue="1">
        <cfvo type="num" val="0"/>
        <cfvo type="num" val="1"/>
        <color rgb="00B9C6BC"/>
      </dataBar>
    </cfRule>
  </conditionalFormatting>
  <conditionalFormatting sqref="D14:M14">
    <cfRule type="dataBar" priority="5">
      <dataBar showValue="1">
        <cfvo type="num" val="0"/>
        <cfvo type="num" val="1"/>
        <color rgb="003F9B5B"/>
      </dataBar>
    </cfRule>
  </conditionalFormatting>
  <conditionalFormatting sqref="E18:E26">
    <cfRule type="dataBar" priority="6">
      <dataBar showValue="1">
        <cfvo type="num" val="0"/>
        <cfvo type="num" val="1"/>
        <color rgb="008FD3A8"/>
      </dataBar>
    </cfRule>
  </conditionalFormatting>
  <conditionalFormatting sqref="F18:F26">
    <cfRule type="cellIs" priority="7" operator="greaterThan" dxfId="3">
      <formula>0</formula>
    </cfRule>
  </conditionalFormatting>
  <hyperlinks>
    <hyperlink ref="B5" location="'CRONOGRAMA'!A1" display="+ Cronograma"/>
    <hyperlink ref="E5" location="'REUNIONES'!A1" display="Reuniones"/>
    <hyperlink ref="G5" location="'AJUSTES'!A1" display="Ajustes"/>
    <hyperlink ref="I5" location="'AYUDA'!A1" display="Ayuda"/>
    <hyperlink xmlns:r="http://schemas.openxmlformats.org/officeDocument/2006/relationships" ref="B48" r:id="rId1"/>
  </hyperlinks>
  <printOptions horizontalCentered="1"/>
  <pageMargins left="0.75" right="0.75" top="1" bottom="1" header="0.5" footer="0.5"/>
  <pageSetup orientation="portrait" paperSize="9" fitToHeight="1" fitToWidth="1"/>
  <headerFooter>
    <oddHeader>&amp;C&amp;"Arial,Bold"&amp;14 &amp;K14532DMIX SHOP DIGITAL</oddHeader>
    <oddFooter>&amp;L&amp;8 MIX SHOP DIGITAL — Herramientas inteligentes que simplifican tu vida.&amp;C&amp;8 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rgb="003F9B5B"/>
    <outlinePr summaryBelow="1" summaryRight="1"/>
    <pageSetUpPr fitToPage="1"/>
  </sheetPr>
  <dimension ref="B1:BI50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" customWidth="1" min="2" max="2"/>
    <col width="20" customWidth="1" min="3" max="3"/>
    <col width="34" customWidth="1" min="4" max="4"/>
    <col width="11" customWidth="1" min="5" max="5"/>
    <col width="11" customWidth="1" min="6" max="6"/>
    <col width="8" customWidth="1" min="7" max="7"/>
    <col width="12" customWidth="1" min="8" max="8"/>
    <col width="8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</cols>
  <sheetData>
    <row r="1" ht="38" customHeight="1">
      <c r="B1" s="1" t="n"/>
      <c r="C1" s="2" t="n"/>
      <c r="D1" s="2" t="n"/>
      <c r="E1" s="2" t="n"/>
      <c r="F1" s="3" t="inlineStr">
        <is>
          <t>CRONOGRAMA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18" customHeight="1">
      <c r="B2" s="4" t="inlineStr">
        <is>
          <t>Herramientas inteligentes que simplifican tu vida.</t>
        </is>
      </c>
      <c r="F2" s="5" t="inlineStr">
        <is>
          <t>Tu plan, semana a semana</t>
        </is>
      </c>
    </row>
    <row r="3" ht="5" customHeight="1">
      <c r="B3" s="6" t="n"/>
      <c r="C3" s="7" t="n"/>
      <c r="D3" s="7" t="n"/>
      <c r="E3" s="7" t="n"/>
      <c r="F3" s="8" t="n"/>
      <c r="G3" s="8" t="n"/>
      <c r="H3" s="8" t="n"/>
      <c r="I3" s="8" t="n"/>
      <c r="J3" s="9" t="n"/>
      <c r="K3" s="9" t="n"/>
      <c r="L3" s="9" t="n"/>
      <c r="M3" s="9" t="n"/>
      <c r="N3" s="10" t="n"/>
      <c r="O3" s="10" t="n"/>
      <c r="P3" s="10" t="n"/>
      <c r="Q3" s="10" t="n"/>
      <c r="R3" s="11" t="n"/>
      <c r="S3" s="11" t="n"/>
      <c r="T3" s="11" t="n"/>
    </row>
    <row r="4" ht="20" customHeight="1">
      <c r="B4" s="51" t="n"/>
      <c r="C4" s="12" t="inlineStr">
        <is>
          <t>Una fila por tarea. Completá las celdas amarillas: el estado y el diagrama de barras se arman solos. Deslizá hacia la derecha para ver las semanas.</t>
        </is>
      </c>
    </row>
    <row r="5" ht="22" customHeight="1">
      <c r="C5" s="14" t="inlineStr">
        <is>
          <t>←  Volver al PANEL</t>
        </is>
      </c>
    </row>
    <row r="6" ht="40" customHeight="1">
      <c r="B6" s="52" t="inlineStr">
        <is>
          <t>N°</t>
        </is>
      </c>
      <c r="C6" s="52" t="inlineStr">
        <is>
          <t>Etapa</t>
        </is>
      </c>
      <c r="D6" s="52" t="inlineStr">
        <is>
          <t>Tarea</t>
        </is>
      </c>
      <c r="E6" s="52" t="inlineStr">
        <is>
          <t>Inicio</t>
        </is>
      </c>
      <c r="F6" s="52" t="inlineStr">
        <is>
          <t>Fin</t>
        </is>
      </c>
      <c r="G6" s="52" t="inlineStr">
        <is>
          <t>Avance</t>
        </is>
      </c>
      <c r="H6" s="52" t="inlineStr">
        <is>
          <t>Estado</t>
        </is>
      </c>
      <c r="I6" s="52" t="inlineStr">
        <is>
          <t>Días que faltan</t>
        </is>
      </c>
      <c r="J6" s="53">
        <f>IF(N(FechaIni)=0,"",FechaIni-WEEKDAY(FechaIni,2)+1)</f>
        <v/>
      </c>
      <c r="K6" s="53">
        <f>IF(J6="","",J6+7)</f>
        <v/>
      </c>
      <c r="L6" s="53">
        <f>IF(K6="","",K6+7)</f>
        <v/>
      </c>
      <c r="M6" s="53">
        <f>IF(L6="","",L6+7)</f>
        <v/>
      </c>
      <c r="N6" s="53">
        <f>IF(M6="","",M6+7)</f>
        <v/>
      </c>
      <c r="O6" s="53">
        <f>IF(N6="","",N6+7)</f>
        <v/>
      </c>
      <c r="P6" s="53">
        <f>IF(O6="","",O6+7)</f>
        <v/>
      </c>
      <c r="Q6" s="53">
        <f>IF(P6="","",P6+7)</f>
        <v/>
      </c>
      <c r="R6" s="53">
        <f>IF(Q6="","",Q6+7)</f>
        <v/>
      </c>
      <c r="S6" s="53">
        <f>IF(R6="","",R6+7)</f>
        <v/>
      </c>
      <c r="T6" s="53">
        <f>IF(S6="","",S6+7)</f>
        <v/>
      </c>
      <c r="U6" s="53">
        <f>IF(T6="","",T6+7)</f>
        <v/>
      </c>
      <c r="V6" s="53">
        <f>IF(U6="","",U6+7)</f>
        <v/>
      </c>
      <c r="W6" s="53">
        <f>IF(V6="","",V6+7)</f>
        <v/>
      </c>
      <c r="X6" s="53">
        <f>IF(W6="","",W6+7)</f>
        <v/>
      </c>
      <c r="Y6" s="53">
        <f>IF(X6="","",X6+7)</f>
        <v/>
      </c>
      <c r="Z6" s="53">
        <f>IF(Y6="","",Y6+7)</f>
        <v/>
      </c>
      <c r="AA6" s="53">
        <f>IF(Z6="","",Z6+7)</f>
        <v/>
      </c>
      <c r="AB6" s="53">
        <f>IF(AA6="","",AA6+7)</f>
        <v/>
      </c>
      <c r="AC6" s="53">
        <f>IF(AB6="","",AB6+7)</f>
        <v/>
      </c>
      <c r="AD6" s="53">
        <f>IF(AC6="","",AC6+7)</f>
        <v/>
      </c>
      <c r="AE6" s="53">
        <f>IF(AD6="","",AD6+7)</f>
        <v/>
      </c>
      <c r="AF6" s="53">
        <f>IF(AE6="","",AE6+7)</f>
        <v/>
      </c>
      <c r="AG6" s="53">
        <f>IF(AF6="","",AF6+7)</f>
        <v/>
      </c>
      <c r="AH6" s="53">
        <f>IF(AG6="","",AG6+7)</f>
        <v/>
      </c>
      <c r="AI6" s="53">
        <f>IF(AH6="","",AH6+7)</f>
        <v/>
      </c>
      <c r="AJ6" s="53">
        <f>IF(AI6="","",AI6+7)</f>
        <v/>
      </c>
      <c r="AK6" s="53">
        <f>IF(AJ6="","",AJ6+7)</f>
        <v/>
      </c>
      <c r="AL6" s="53">
        <f>IF(AK6="","",AK6+7)</f>
        <v/>
      </c>
      <c r="AM6" s="53">
        <f>IF(AL6="","",AL6+7)</f>
        <v/>
      </c>
      <c r="AN6" s="53">
        <f>IF(AM6="","",AM6+7)</f>
        <v/>
      </c>
      <c r="AO6" s="53">
        <f>IF(AN6="","",AN6+7)</f>
        <v/>
      </c>
      <c r="AP6" s="53">
        <f>IF(AO6="","",AO6+7)</f>
        <v/>
      </c>
      <c r="AQ6" s="53">
        <f>IF(AP6="","",AP6+7)</f>
        <v/>
      </c>
      <c r="AR6" s="53">
        <f>IF(AQ6="","",AQ6+7)</f>
        <v/>
      </c>
      <c r="AS6" s="53">
        <f>IF(AR6="","",AR6+7)</f>
        <v/>
      </c>
      <c r="AT6" s="53">
        <f>IF(AS6="","",AS6+7)</f>
        <v/>
      </c>
      <c r="AU6" s="53">
        <f>IF(AT6="","",AT6+7)</f>
        <v/>
      </c>
      <c r="AV6" s="53">
        <f>IF(AU6="","",AU6+7)</f>
        <v/>
      </c>
      <c r="AW6" s="53">
        <f>IF(AV6="","",AV6+7)</f>
        <v/>
      </c>
      <c r="AX6" s="53">
        <f>IF(AW6="","",AW6+7)</f>
        <v/>
      </c>
      <c r="AY6" s="53">
        <f>IF(AX6="","",AX6+7)</f>
        <v/>
      </c>
      <c r="AZ6" s="53">
        <f>IF(AY6="","",AY6+7)</f>
        <v/>
      </c>
      <c r="BA6" s="53">
        <f>IF(AZ6="","",AZ6+7)</f>
        <v/>
      </c>
      <c r="BB6" s="53">
        <f>IF(BA6="","",BA6+7)</f>
        <v/>
      </c>
      <c r="BC6" s="53">
        <f>IF(BB6="","",BB6+7)</f>
        <v/>
      </c>
      <c r="BD6" s="53">
        <f>IF(BC6="","",BC6+7)</f>
        <v/>
      </c>
      <c r="BE6" s="53">
        <f>IF(BD6="","",BD6+7)</f>
        <v/>
      </c>
      <c r="BF6" s="53">
        <f>IF(BE6="","",BE6+7)</f>
        <v/>
      </c>
      <c r="BG6" s="53">
        <f>IF(BF6="","",BF6+7)</f>
        <v/>
      </c>
      <c r="BH6" s="53">
        <f>IF(BG6="","",BG6+7)</f>
        <v/>
      </c>
      <c r="BI6" s="53">
        <f>IF(BH6="","",BH6+7)</f>
        <v/>
      </c>
    </row>
    <row r="7" ht="19" customHeight="1">
      <c r="B7" s="54">
        <f>IF(D7="","",1)</f>
        <v/>
      </c>
      <c r="C7" s="55" t="inlineStr">
        <is>
          <t>Tema y proyecto</t>
        </is>
      </c>
      <c r="D7" s="55" t="inlineStr">
        <is>
          <t>Elegir el tema y definir el problema</t>
        </is>
      </c>
      <c r="E7" s="56" t="n">
        <v>46174</v>
      </c>
      <c r="F7" s="56" t="n">
        <v>46193</v>
      </c>
      <c r="G7" s="57" t="n">
        <v>1</v>
      </c>
      <c r="H7" s="58">
        <f>IF(D7="","",IF(N(G7)&gt;=1,"Completada",IF(AND(N(F7)&gt;0,F7&lt;TODAY()),"Atrasada",IF(AND(N(E7)&gt;0,E7&lt;=TODAY()),"En curso","Por empezar"))))</f>
        <v/>
      </c>
      <c r="I7" s="59">
        <f>IF(OR(D7="",N(F7)=0,N(G7)&gt;=1),"",F7-TODAY())</f>
        <v/>
      </c>
      <c r="J7" s="60" t="n"/>
      <c r="K7" s="60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  <c r="Z7" s="60" t="n"/>
      <c r="AA7" s="60" t="n"/>
      <c r="AB7" s="60" t="n"/>
      <c r="AC7" s="60" t="n"/>
      <c r="AD7" s="60" t="n"/>
      <c r="AE7" s="60" t="n"/>
      <c r="AF7" s="60" t="n"/>
      <c r="AG7" s="60" t="n"/>
      <c r="AH7" s="60" t="n"/>
      <c r="AI7" s="60" t="n"/>
      <c r="AJ7" s="60" t="n"/>
      <c r="AK7" s="60" t="n"/>
      <c r="AL7" s="60" t="n"/>
      <c r="AM7" s="60" t="n"/>
      <c r="AN7" s="60" t="n"/>
      <c r="AO7" s="60" t="n"/>
      <c r="AP7" s="60" t="n"/>
      <c r="AQ7" s="60" t="n"/>
      <c r="AR7" s="60" t="n"/>
      <c r="AS7" s="60" t="n"/>
      <c r="AT7" s="60" t="n"/>
      <c r="AU7" s="60" t="n"/>
      <c r="AV7" s="60" t="n"/>
      <c r="AW7" s="60" t="n"/>
      <c r="AX7" s="60" t="n"/>
      <c r="AY7" s="60" t="n"/>
      <c r="AZ7" s="60" t="n"/>
      <c r="BA7" s="60" t="n"/>
      <c r="BB7" s="60" t="n"/>
      <c r="BC7" s="60" t="n"/>
      <c r="BD7" s="60" t="n"/>
      <c r="BE7" s="60" t="n"/>
      <c r="BF7" s="60" t="n"/>
      <c r="BG7" s="60" t="n"/>
      <c r="BH7" s="60" t="n"/>
      <c r="BI7" s="60" t="n"/>
    </row>
    <row r="8" ht="19" customHeight="1">
      <c r="B8" s="54">
        <f>IF(D8="","",2)</f>
        <v/>
      </c>
      <c r="C8" s="55" t="inlineStr">
        <is>
          <t>Tema y proyecto</t>
        </is>
      </c>
      <c r="D8" s="55" t="inlineStr">
        <is>
          <t>Redactar el anteproyecto</t>
        </is>
      </c>
      <c r="E8" s="56" t="n">
        <v>46194</v>
      </c>
      <c r="F8" s="56" t="n">
        <v>46234</v>
      </c>
      <c r="G8" s="57" t="n">
        <v>1</v>
      </c>
      <c r="H8" s="58">
        <f>IF(D8="","",IF(N(G8)&gt;=1,"Completada",IF(AND(N(F8)&gt;0,F8&lt;TODAY()),"Atrasada",IF(AND(N(E8)&gt;0,E8&lt;=TODAY()),"En curso","Por empezar"))))</f>
        <v/>
      </c>
      <c r="I8" s="59">
        <f>IF(OR(D8="",N(F8)=0,N(G8)&gt;=1),"",F8-TODAY())</f>
        <v/>
      </c>
      <c r="J8" s="60" t="n"/>
      <c r="K8" s="60" t="n"/>
      <c r="L8" s="60" t="n"/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  <c r="AF8" s="60" t="n"/>
      <c r="AG8" s="60" t="n"/>
      <c r="AH8" s="60" t="n"/>
      <c r="AI8" s="60" t="n"/>
      <c r="AJ8" s="60" t="n"/>
      <c r="AK8" s="60" t="n"/>
      <c r="AL8" s="60" t="n"/>
      <c r="AM8" s="60" t="n"/>
      <c r="AN8" s="60" t="n"/>
      <c r="AO8" s="60" t="n"/>
      <c r="AP8" s="60" t="n"/>
      <c r="AQ8" s="60" t="n"/>
      <c r="AR8" s="60" t="n"/>
      <c r="AS8" s="60" t="n"/>
      <c r="AT8" s="60" t="n"/>
      <c r="AU8" s="60" t="n"/>
      <c r="AV8" s="60" t="n"/>
      <c r="AW8" s="60" t="n"/>
      <c r="AX8" s="60" t="n"/>
      <c r="AY8" s="60" t="n"/>
      <c r="AZ8" s="60" t="n"/>
      <c r="BA8" s="60" t="n"/>
      <c r="BB8" s="60" t="n"/>
      <c r="BC8" s="60" t="n"/>
      <c r="BD8" s="60" t="n"/>
      <c r="BE8" s="60" t="n"/>
      <c r="BF8" s="60" t="n"/>
      <c r="BG8" s="60" t="n"/>
      <c r="BH8" s="60" t="n"/>
      <c r="BI8" s="60" t="n"/>
    </row>
    <row r="9" ht="19" customHeight="1">
      <c r="B9" s="54">
        <f>IF(D9="","",3)</f>
        <v/>
      </c>
      <c r="C9" s="55" t="inlineStr">
        <is>
          <t>Marco teórico</t>
        </is>
      </c>
      <c r="D9" s="55" t="inlineStr">
        <is>
          <t>Buscar y leer antecedentes</t>
        </is>
      </c>
      <c r="E9" s="56" t="n">
        <v>46218</v>
      </c>
      <c r="F9" s="56" t="n">
        <v>46265</v>
      </c>
      <c r="G9" s="57" t="n">
        <v>1</v>
      </c>
      <c r="H9" s="58">
        <f>IF(D9="","",IF(N(G9)&gt;=1,"Completada",IF(AND(N(F9)&gt;0,F9&lt;TODAY()),"Atrasada",IF(AND(N(E9)&gt;0,E9&lt;=TODAY()),"En curso","Por empezar"))))</f>
        <v/>
      </c>
      <c r="I9" s="59">
        <f>IF(OR(D9="",N(F9)=0,N(G9)&gt;=1),"",F9-TODAY())</f>
        <v/>
      </c>
      <c r="J9" s="60" t="n"/>
      <c r="K9" s="60" t="n"/>
      <c r="L9" s="60" t="n"/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  <c r="Z9" s="60" t="n"/>
      <c r="AA9" s="60" t="n"/>
      <c r="AB9" s="60" t="n"/>
      <c r="AC9" s="60" t="n"/>
      <c r="AD9" s="60" t="n"/>
      <c r="AE9" s="60" t="n"/>
      <c r="AF9" s="60" t="n"/>
      <c r="AG9" s="60" t="n"/>
      <c r="AH9" s="60" t="n"/>
      <c r="AI9" s="60" t="n"/>
      <c r="AJ9" s="60" t="n"/>
      <c r="AK9" s="60" t="n"/>
      <c r="AL9" s="60" t="n"/>
      <c r="AM9" s="60" t="n"/>
      <c r="AN9" s="60" t="n"/>
      <c r="AO9" s="60" t="n"/>
      <c r="AP9" s="60" t="n"/>
      <c r="AQ9" s="60" t="n"/>
      <c r="AR9" s="60" t="n"/>
      <c r="AS9" s="60" t="n"/>
      <c r="AT9" s="60" t="n"/>
      <c r="AU9" s="60" t="n"/>
      <c r="AV9" s="60" t="n"/>
      <c r="AW9" s="60" t="n"/>
      <c r="AX9" s="60" t="n"/>
      <c r="AY9" s="60" t="n"/>
      <c r="AZ9" s="60" t="n"/>
      <c r="BA9" s="60" t="n"/>
      <c r="BB9" s="60" t="n"/>
      <c r="BC9" s="60" t="n"/>
      <c r="BD9" s="60" t="n"/>
      <c r="BE9" s="60" t="n"/>
      <c r="BF9" s="60" t="n"/>
      <c r="BG9" s="60" t="n"/>
      <c r="BH9" s="60" t="n"/>
      <c r="BI9" s="60" t="n"/>
    </row>
    <row r="10" ht="19" customHeight="1">
      <c r="B10" s="54">
        <f>IF(D10="","",4)</f>
        <v/>
      </c>
      <c r="C10" s="55" t="inlineStr">
        <is>
          <t>Marco teórico</t>
        </is>
      </c>
      <c r="D10" s="55" t="inlineStr">
        <is>
          <t>Redactar el marco teórico</t>
        </is>
      </c>
      <c r="E10" s="56" t="n">
        <v>46266</v>
      </c>
      <c r="F10" s="56" t="n">
        <v>46310</v>
      </c>
      <c r="G10" s="57" t="n">
        <v>1</v>
      </c>
      <c r="H10" s="58">
        <f>IF(D10="","",IF(N(G10)&gt;=1,"Completada",IF(AND(N(F10)&gt;0,F10&lt;TODAY()),"Atrasada",IF(AND(N(E10)&gt;0,E10&lt;=TODAY()),"En curso","Por empezar"))))</f>
        <v/>
      </c>
      <c r="I10" s="59">
        <f>IF(OR(D10="",N(F10)=0,N(G10)&gt;=1),"",F10-TODAY())</f>
        <v/>
      </c>
      <c r="J10" s="60" t="n"/>
      <c r="K10" s="60" t="n"/>
      <c r="L10" s="60" t="n"/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  <c r="AF10" s="60" t="n"/>
      <c r="AG10" s="60" t="n"/>
      <c r="AH10" s="60" t="n"/>
      <c r="AI10" s="60" t="n"/>
      <c r="AJ10" s="60" t="n"/>
      <c r="AK10" s="60" t="n"/>
      <c r="AL10" s="60" t="n"/>
      <c r="AM10" s="60" t="n"/>
      <c r="AN10" s="60" t="n"/>
      <c r="AO10" s="60" t="n"/>
      <c r="AP10" s="60" t="n"/>
      <c r="AQ10" s="60" t="n"/>
      <c r="AR10" s="60" t="n"/>
      <c r="AS10" s="60" t="n"/>
      <c r="AT10" s="60" t="n"/>
      <c r="AU10" s="60" t="n"/>
      <c r="AV10" s="60" t="n"/>
      <c r="AW10" s="60" t="n"/>
      <c r="AX10" s="60" t="n"/>
      <c r="AY10" s="60" t="n"/>
      <c r="AZ10" s="60" t="n"/>
      <c r="BA10" s="60" t="n"/>
      <c r="BB10" s="60" t="n"/>
      <c r="BC10" s="60" t="n"/>
      <c r="BD10" s="60" t="n"/>
      <c r="BE10" s="60" t="n"/>
      <c r="BF10" s="60" t="n"/>
      <c r="BG10" s="60" t="n"/>
      <c r="BH10" s="60" t="n"/>
      <c r="BI10" s="60" t="n"/>
    </row>
    <row r="11" ht="19" customHeight="1">
      <c r="B11" s="54">
        <f>IF(D11="","",5)</f>
        <v/>
      </c>
      <c r="C11" s="55" t="inlineStr">
        <is>
          <t>Metodología</t>
        </is>
      </c>
      <c r="D11" s="55" t="inlineStr">
        <is>
          <t>Diseñar la encuesta</t>
        </is>
      </c>
      <c r="E11" s="56" t="n">
        <v>46280</v>
      </c>
      <c r="F11" s="56" t="n">
        <v>46305</v>
      </c>
      <c r="G11" s="57" t="n">
        <v>1</v>
      </c>
      <c r="H11" s="58">
        <f>IF(D11="","",IF(N(G11)&gt;=1,"Completada",IF(AND(N(F11)&gt;0,F11&lt;TODAY()),"Atrasada",IF(AND(N(E11)&gt;0,E11&lt;=TODAY()),"En curso","Por empezar"))))</f>
        <v/>
      </c>
      <c r="I11" s="59">
        <f>IF(OR(D11="",N(F11)=0,N(G11)&gt;=1),"",F11-TODAY())</f>
        <v/>
      </c>
      <c r="J11" s="60" t="n"/>
      <c r="K11" s="60" t="n"/>
      <c r="L11" s="60" t="n"/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  <c r="Z11" s="60" t="n"/>
      <c r="AA11" s="60" t="n"/>
      <c r="AB11" s="60" t="n"/>
      <c r="AC11" s="60" t="n"/>
      <c r="AD11" s="60" t="n"/>
      <c r="AE11" s="60" t="n"/>
      <c r="AF11" s="60" t="n"/>
      <c r="AG11" s="60" t="n"/>
      <c r="AH11" s="60" t="n"/>
      <c r="AI11" s="60" t="n"/>
      <c r="AJ11" s="60" t="n"/>
      <c r="AK11" s="60" t="n"/>
      <c r="AL11" s="60" t="n"/>
      <c r="AM11" s="60" t="n"/>
      <c r="AN11" s="60" t="n"/>
      <c r="AO11" s="60" t="n"/>
      <c r="AP11" s="60" t="n"/>
      <c r="AQ11" s="60" t="n"/>
      <c r="AR11" s="60" t="n"/>
      <c r="AS11" s="60" t="n"/>
      <c r="AT11" s="60" t="n"/>
      <c r="AU11" s="60" t="n"/>
      <c r="AV11" s="60" t="n"/>
      <c r="AW11" s="60" t="n"/>
      <c r="AX11" s="60" t="n"/>
      <c r="AY11" s="60" t="n"/>
      <c r="AZ11" s="60" t="n"/>
      <c r="BA11" s="60" t="n"/>
      <c r="BB11" s="60" t="n"/>
      <c r="BC11" s="60" t="n"/>
      <c r="BD11" s="60" t="n"/>
      <c r="BE11" s="60" t="n"/>
      <c r="BF11" s="60" t="n"/>
      <c r="BG11" s="60" t="n"/>
      <c r="BH11" s="60" t="n"/>
      <c r="BI11" s="60" t="n"/>
    </row>
    <row r="12" ht="19" customHeight="1">
      <c r="B12" s="54">
        <f>IF(D12="","",6)</f>
        <v/>
      </c>
      <c r="C12" s="55" t="inlineStr">
        <is>
          <t>Metodología</t>
        </is>
      </c>
      <c r="D12" s="55" t="inlineStr">
        <is>
          <t>Validar la encuesta con el tutor</t>
        </is>
      </c>
      <c r="E12" s="56" t="n">
        <v>46306</v>
      </c>
      <c r="F12" s="56" t="n">
        <v>46320</v>
      </c>
      <c r="G12" s="57" t="n">
        <v>0.8</v>
      </c>
      <c r="H12" s="58">
        <f>IF(D12="","",IF(N(G12)&gt;=1,"Completada",IF(AND(N(F12)&gt;0,F12&lt;TODAY()),"Atrasada",IF(AND(N(E12)&gt;0,E12&lt;=TODAY()),"En curso","Por empezar"))))</f>
        <v/>
      </c>
      <c r="I12" s="59">
        <f>IF(OR(D12="",N(F12)=0,N(G12)&gt;=1),"",F12-TODAY())</f>
        <v/>
      </c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0" t="n"/>
      <c r="AV12" s="60" t="n"/>
      <c r="AW12" s="60" t="n"/>
      <c r="AX12" s="60" t="n"/>
      <c r="AY12" s="60" t="n"/>
      <c r="AZ12" s="60" t="n"/>
      <c r="BA12" s="60" t="n"/>
      <c r="BB12" s="60" t="n"/>
      <c r="BC12" s="60" t="n"/>
      <c r="BD12" s="60" t="n"/>
      <c r="BE12" s="60" t="n"/>
      <c r="BF12" s="60" t="n"/>
      <c r="BG12" s="60" t="n"/>
      <c r="BH12" s="60" t="n"/>
      <c r="BI12" s="60" t="n"/>
    </row>
    <row r="13" ht="19" customHeight="1">
      <c r="B13" s="54">
        <f>IF(D13="","",7)</f>
        <v/>
      </c>
      <c r="C13" s="55" t="inlineStr">
        <is>
          <t>Trabajo de campo</t>
        </is>
      </c>
      <c r="D13" s="55" t="inlineStr">
        <is>
          <t>Aplicar las encuestas</t>
        </is>
      </c>
      <c r="E13" s="56" t="n">
        <v>46315</v>
      </c>
      <c r="F13" s="56" t="n">
        <v>46356</v>
      </c>
      <c r="G13" s="57" t="n">
        <v>0.4</v>
      </c>
      <c r="H13" s="58">
        <f>IF(D13="","",IF(N(G13)&gt;=1,"Completada",IF(AND(N(F13)&gt;0,F13&lt;TODAY()),"Atrasada",IF(AND(N(E13)&gt;0,E13&lt;=TODAY()),"En curso","Por empezar"))))</f>
        <v/>
      </c>
      <c r="I13" s="59">
        <f>IF(OR(D13="",N(F13)=0,N(G13)&gt;=1),"",F13-TODAY())</f>
        <v/>
      </c>
      <c r="J13" s="60" t="n"/>
      <c r="K13" s="60" t="n"/>
      <c r="L13" s="60" t="n"/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  <c r="Z13" s="60" t="n"/>
      <c r="AA13" s="60" t="n"/>
      <c r="AB13" s="60" t="n"/>
      <c r="AC13" s="60" t="n"/>
      <c r="AD13" s="60" t="n"/>
      <c r="AE13" s="60" t="n"/>
      <c r="AF13" s="60" t="n"/>
      <c r="AG13" s="60" t="n"/>
      <c r="AH13" s="60" t="n"/>
      <c r="AI13" s="60" t="n"/>
      <c r="AJ13" s="60" t="n"/>
      <c r="AK13" s="60" t="n"/>
      <c r="AL13" s="60" t="n"/>
      <c r="AM13" s="60" t="n"/>
      <c r="AN13" s="60" t="n"/>
      <c r="AO13" s="60" t="n"/>
      <c r="AP13" s="60" t="n"/>
      <c r="AQ13" s="60" t="n"/>
      <c r="AR13" s="60" t="n"/>
      <c r="AS13" s="60" t="n"/>
      <c r="AT13" s="60" t="n"/>
      <c r="AU13" s="60" t="n"/>
      <c r="AV13" s="60" t="n"/>
      <c r="AW13" s="60" t="n"/>
      <c r="AX13" s="60" t="n"/>
      <c r="AY13" s="60" t="n"/>
      <c r="AZ13" s="60" t="n"/>
      <c r="BA13" s="60" t="n"/>
      <c r="BB13" s="60" t="n"/>
      <c r="BC13" s="60" t="n"/>
      <c r="BD13" s="60" t="n"/>
      <c r="BE13" s="60" t="n"/>
      <c r="BF13" s="60" t="n"/>
      <c r="BG13" s="60" t="n"/>
      <c r="BH13" s="60" t="n"/>
      <c r="BI13" s="60" t="n"/>
    </row>
    <row r="14" ht="19" customHeight="1">
      <c r="B14" s="54">
        <f>IF(D14="","",8)</f>
        <v/>
      </c>
      <c r="C14" s="55" t="inlineStr">
        <is>
          <t>Trabajo de campo</t>
        </is>
      </c>
      <c r="D14" s="55" t="inlineStr">
        <is>
          <t>Cargar los datos</t>
        </is>
      </c>
      <c r="E14" s="56" t="n">
        <v>46341</v>
      </c>
      <c r="F14" s="56" t="n">
        <v>46366</v>
      </c>
      <c r="G14" s="57" t="n">
        <v>0</v>
      </c>
      <c r="H14" s="58">
        <f>IF(D14="","",IF(N(G14)&gt;=1,"Completada",IF(AND(N(F14)&gt;0,F14&lt;TODAY()),"Atrasada",IF(AND(N(E14)&gt;0,E14&lt;=TODAY()),"En curso","Por empezar"))))</f>
        <v/>
      </c>
      <c r="I14" s="59">
        <f>IF(OR(D14="",N(F14)=0,N(G14)&gt;=1),"",F14-TODAY())</f>
        <v/>
      </c>
      <c r="J14" s="60" t="n"/>
      <c r="K14" s="60" t="n"/>
      <c r="L14" s="60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  <c r="AF14" s="60" t="n"/>
      <c r="AG14" s="60" t="n"/>
      <c r="AH14" s="60" t="n"/>
      <c r="AI14" s="60" t="n"/>
      <c r="AJ14" s="60" t="n"/>
      <c r="AK14" s="60" t="n"/>
      <c r="AL14" s="60" t="n"/>
      <c r="AM14" s="60" t="n"/>
      <c r="AN14" s="60" t="n"/>
      <c r="AO14" s="60" t="n"/>
      <c r="AP14" s="60" t="n"/>
      <c r="AQ14" s="60" t="n"/>
      <c r="AR14" s="60" t="n"/>
      <c r="AS14" s="60" t="n"/>
      <c r="AT14" s="60" t="n"/>
      <c r="AU14" s="60" t="n"/>
      <c r="AV14" s="60" t="n"/>
      <c r="AW14" s="60" t="n"/>
      <c r="AX14" s="60" t="n"/>
      <c r="AY14" s="60" t="n"/>
      <c r="AZ14" s="60" t="n"/>
      <c r="BA14" s="60" t="n"/>
      <c r="BB14" s="60" t="n"/>
      <c r="BC14" s="60" t="n"/>
      <c r="BD14" s="60" t="n"/>
      <c r="BE14" s="60" t="n"/>
      <c r="BF14" s="60" t="n"/>
      <c r="BG14" s="60" t="n"/>
      <c r="BH14" s="60" t="n"/>
      <c r="BI14" s="60" t="n"/>
    </row>
    <row r="15" ht="19" customHeight="1">
      <c r="B15" s="54">
        <f>IF(D15="","",9)</f>
        <v/>
      </c>
      <c r="C15" s="55" t="inlineStr">
        <is>
          <t>Análisis de datos</t>
        </is>
      </c>
      <c r="D15" s="55" t="inlineStr">
        <is>
          <t>Procesar y analizar resultados</t>
        </is>
      </c>
      <c r="E15" s="56" t="n">
        <v>46357</v>
      </c>
      <c r="F15" s="56" t="n">
        <v>46402</v>
      </c>
      <c r="G15" s="57" t="n">
        <v>0</v>
      </c>
      <c r="H15" s="58">
        <f>IF(D15="","",IF(N(G15)&gt;=1,"Completada",IF(AND(N(F15)&gt;0,F15&lt;TODAY()),"Atrasada",IF(AND(N(E15)&gt;0,E15&lt;=TODAY()),"En curso","Por empezar"))))</f>
        <v/>
      </c>
      <c r="I15" s="59">
        <f>IF(OR(D15="",N(F15)=0,N(G15)&gt;=1),"",F15-TODAY())</f>
        <v/>
      </c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  <c r="Z15" s="60" t="n"/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0" t="n"/>
      <c r="AV15" s="60" t="n"/>
      <c r="AW15" s="60" t="n"/>
      <c r="AX15" s="60" t="n"/>
      <c r="AY15" s="60" t="n"/>
      <c r="AZ15" s="60" t="n"/>
      <c r="BA15" s="60" t="n"/>
      <c r="BB15" s="60" t="n"/>
      <c r="BC15" s="60" t="n"/>
      <c r="BD15" s="60" t="n"/>
      <c r="BE15" s="60" t="n"/>
      <c r="BF15" s="60" t="n"/>
      <c r="BG15" s="60" t="n"/>
      <c r="BH15" s="60" t="n"/>
      <c r="BI15" s="60" t="n"/>
    </row>
    <row r="16" ht="19" customHeight="1">
      <c r="B16" s="54">
        <f>IF(D16="","",10)</f>
        <v/>
      </c>
      <c r="C16" s="55" t="inlineStr">
        <is>
          <t>Análisis de datos</t>
        </is>
      </c>
      <c r="D16" s="55" t="inlineStr">
        <is>
          <t>Elaborar tablas y gráficos</t>
        </is>
      </c>
      <c r="E16" s="56" t="n">
        <v>46392</v>
      </c>
      <c r="F16" s="56" t="n">
        <v>46418</v>
      </c>
      <c r="G16" s="57" t="n">
        <v>0</v>
      </c>
      <c r="H16" s="58">
        <f>IF(D16="","",IF(N(G16)&gt;=1,"Completada",IF(AND(N(F16)&gt;0,F16&lt;TODAY()),"Atrasada",IF(AND(N(E16)&gt;0,E16&lt;=TODAY()),"En curso","Por empezar"))))</f>
        <v/>
      </c>
      <c r="I16" s="59">
        <f>IF(OR(D16="",N(F16)=0,N(G16)&gt;=1),"",F16-TODAY())</f>
        <v/>
      </c>
      <c r="J16" s="60" t="n"/>
      <c r="K16" s="60" t="n"/>
      <c r="L16" s="60" t="n"/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  <c r="AF16" s="60" t="n"/>
      <c r="AG16" s="60" t="n"/>
      <c r="AH16" s="60" t="n"/>
      <c r="AI16" s="60" t="n"/>
      <c r="AJ16" s="60" t="n"/>
      <c r="AK16" s="60" t="n"/>
      <c r="AL16" s="60" t="n"/>
      <c r="AM16" s="60" t="n"/>
      <c r="AN16" s="60" t="n"/>
      <c r="AO16" s="60" t="n"/>
      <c r="AP16" s="60" t="n"/>
      <c r="AQ16" s="60" t="n"/>
      <c r="AR16" s="60" t="n"/>
      <c r="AS16" s="60" t="n"/>
      <c r="AT16" s="60" t="n"/>
      <c r="AU16" s="60" t="n"/>
      <c r="AV16" s="60" t="n"/>
      <c r="AW16" s="60" t="n"/>
      <c r="AX16" s="60" t="n"/>
      <c r="AY16" s="60" t="n"/>
      <c r="AZ16" s="60" t="n"/>
      <c r="BA16" s="60" t="n"/>
      <c r="BB16" s="60" t="n"/>
      <c r="BC16" s="60" t="n"/>
      <c r="BD16" s="60" t="n"/>
      <c r="BE16" s="60" t="n"/>
      <c r="BF16" s="60" t="n"/>
      <c r="BG16" s="60" t="n"/>
      <c r="BH16" s="60" t="n"/>
      <c r="BI16" s="60" t="n"/>
    </row>
    <row r="17" ht="19" customHeight="1">
      <c r="B17" s="54">
        <f>IF(D17="","",11)</f>
        <v/>
      </c>
      <c r="C17" s="55" t="inlineStr">
        <is>
          <t>Redacción</t>
        </is>
      </c>
      <c r="D17" s="55" t="inlineStr">
        <is>
          <t>Redactar resultados y discusión</t>
        </is>
      </c>
      <c r="E17" s="56" t="n">
        <v>46402</v>
      </c>
      <c r="F17" s="56" t="n">
        <v>46446</v>
      </c>
      <c r="G17" s="57" t="n">
        <v>0</v>
      </c>
      <c r="H17" s="58">
        <f>IF(D17="","",IF(N(G17)&gt;=1,"Completada",IF(AND(N(F17)&gt;0,F17&lt;TODAY()),"Atrasada",IF(AND(N(E17)&gt;0,E17&lt;=TODAY()),"En curso","Por empezar"))))</f>
        <v/>
      </c>
      <c r="I17" s="59">
        <f>IF(OR(D17="",N(F17)=0,N(G17)&gt;=1),"",F17-TODAY())</f>
        <v/>
      </c>
      <c r="J17" s="60" t="n"/>
      <c r="K17" s="60" t="n"/>
      <c r="L17" s="60" t="n"/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  <c r="Z17" s="60" t="n"/>
      <c r="AA17" s="60" t="n"/>
      <c r="AB17" s="60" t="n"/>
      <c r="AC17" s="60" t="n"/>
      <c r="AD17" s="60" t="n"/>
      <c r="AE17" s="60" t="n"/>
      <c r="AF17" s="60" t="n"/>
      <c r="AG17" s="60" t="n"/>
      <c r="AH17" s="60" t="n"/>
      <c r="AI17" s="60" t="n"/>
      <c r="AJ17" s="60" t="n"/>
      <c r="AK17" s="60" t="n"/>
      <c r="AL17" s="60" t="n"/>
      <c r="AM17" s="60" t="n"/>
      <c r="AN17" s="60" t="n"/>
      <c r="AO17" s="60" t="n"/>
      <c r="AP17" s="60" t="n"/>
      <c r="AQ17" s="60" t="n"/>
      <c r="AR17" s="60" t="n"/>
      <c r="AS17" s="60" t="n"/>
      <c r="AT17" s="60" t="n"/>
      <c r="AU17" s="60" t="n"/>
      <c r="AV17" s="60" t="n"/>
      <c r="AW17" s="60" t="n"/>
      <c r="AX17" s="60" t="n"/>
      <c r="AY17" s="60" t="n"/>
      <c r="AZ17" s="60" t="n"/>
      <c r="BA17" s="60" t="n"/>
      <c r="BB17" s="60" t="n"/>
      <c r="BC17" s="60" t="n"/>
      <c r="BD17" s="60" t="n"/>
      <c r="BE17" s="60" t="n"/>
      <c r="BF17" s="60" t="n"/>
      <c r="BG17" s="60" t="n"/>
      <c r="BH17" s="60" t="n"/>
      <c r="BI17" s="60" t="n"/>
    </row>
    <row r="18" ht="19" customHeight="1">
      <c r="B18" s="54">
        <f>IF(D18="","",12)</f>
        <v/>
      </c>
      <c r="C18" s="55" t="inlineStr">
        <is>
          <t>Redacción</t>
        </is>
      </c>
      <c r="D18" s="55" t="inlineStr">
        <is>
          <t>Redactar conclusiones</t>
        </is>
      </c>
      <c r="E18" s="56" t="n">
        <v>46447</v>
      </c>
      <c r="F18" s="56" t="n">
        <v>46461</v>
      </c>
      <c r="G18" s="57" t="n">
        <v>0</v>
      </c>
      <c r="H18" s="58">
        <f>IF(D18="","",IF(N(G18)&gt;=1,"Completada",IF(AND(N(F18)&gt;0,F18&lt;TODAY()),"Atrasada",IF(AND(N(E18)&gt;0,E18&lt;=TODAY()),"En curso","Por empezar"))))</f>
        <v/>
      </c>
      <c r="I18" s="59">
        <f>IF(OR(D18="",N(F18)=0,N(G18)&gt;=1),"",F18-TODAY())</f>
        <v/>
      </c>
      <c r="J18" s="60" t="n"/>
      <c r="K18" s="60" t="n"/>
      <c r="L18" s="60" t="n"/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  <c r="AF18" s="60" t="n"/>
      <c r="AG18" s="60" t="n"/>
      <c r="AH18" s="60" t="n"/>
      <c r="AI18" s="60" t="n"/>
      <c r="AJ18" s="60" t="n"/>
      <c r="AK18" s="60" t="n"/>
      <c r="AL18" s="60" t="n"/>
      <c r="AM18" s="60" t="n"/>
      <c r="AN18" s="60" t="n"/>
      <c r="AO18" s="60" t="n"/>
      <c r="AP18" s="60" t="n"/>
      <c r="AQ18" s="60" t="n"/>
      <c r="AR18" s="60" t="n"/>
      <c r="AS18" s="60" t="n"/>
      <c r="AT18" s="60" t="n"/>
      <c r="AU18" s="60" t="n"/>
      <c r="AV18" s="60" t="n"/>
      <c r="AW18" s="60" t="n"/>
      <c r="AX18" s="60" t="n"/>
      <c r="AY18" s="60" t="n"/>
      <c r="AZ18" s="60" t="n"/>
      <c r="BA18" s="60" t="n"/>
      <c r="BB18" s="60" t="n"/>
      <c r="BC18" s="60" t="n"/>
      <c r="BD18" s="60" t="n"/>
      <c r="BE18" s="60" t="n"/>
      <c r="BF18" s="60" t="n"/>
      <c r="BG18" s="60" t="n"/>
      <c r="BH18" s="60" t="n"/>
      <c r="BI18" s="60" t="n"/>
    </row>
    <row r="19" ht="19" customHeight="1">
      <c r="B19" s="54">
        <f>IF(D19="","",13)</f>
        <v/>
      </c>
      <c r="C19" s="55" t="inlineStr">
        <is>
          <t>Redacción</t>
        </is>
      </c>
      <c r="D19" s="55" t="inlineStr">
        <is>
          <t>Introducción y resumen</t>
        </is>
      </c>
      <c r="E19" s="56" t="n">
        <v>46456</v>
      </c>
      <c r="F19" s="56" t="n">
        <v>46471</v>
      </c>
      <c r="G19" s="57" t="n">
        <v>0</v>
      </c>
      <c r="H19" s="58">
        <f>IF(D19="","",IF(N(G19)&gt;=1,"Completada",IF(AND(N(F19)&gt;0,F19&lt;TODAY()),"Atrasada",IF(AND(N(E19)&gt;0,E19&lt;=TODAY()),"En curso","Por empezar"))))</f>
        <v/>
      </c>
      <c r="I19" s="59">
        <f>IF(OR(D19="",N(F19)=0,N(G19)&gt;=1),"",F19-TODAY())</f>
        <v/>
      </c>
      <c r="J19" s="60" t="n"/>
      <c r="K19" s="60" t="n"/>
      <c r="L19" s="60" t="n"/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  <c r="Z19" s="60" t="n"/>
      <c r="AA19" s="60" t="n"/>
      <c r="AB19" s="60" t="n"/>
      <c r="AC19" s="60" t="n"/>
      <c r="AD19" s="60" t="n"/>
      <c r="AE19" s="60" t="n"/>
      <c r="AF19" s="60" t="n"/>
      <c r="AG19" s="60" t="n"/>
      <c r="AH19" s="60" t="n"/>
      <c r="AI19" s="60" t="n"/>
      <c r="AJ19" s="60" t="n"/>
      <c r="AK19" s="60" t="n"/>
      <c r="AL19" s="60" t="n"/>
      <c r="AM19" s="60" t="n"/>
      <c r="AN19" s="60" t="n"/>
      <c r="AO19" s="60" t="n"/>
      <c r="AP19" s="60" t="n"/>
      <c r="AQ19" s="60" t="n"/>
      <c r="AR19" s="60" t="n"/>
      <c r="AS19" s="60" t="n"/>
      <c r="AT19" s="60" t="n"/>
      <c r="AU19" s="60" t="n"/>
      <c r="AV19" s="60" t="n"/>
      <c r="AW19" s="60" t="n"/>
      <c r="AX19" s="60" t="n"/>
      <c r="AY19" s="60" t="n"/>
      <c r="AZ19" s="60" t="n"/>
      <c r="BA19" s="60" t="n"/>
      <c r="BB19" s="60" t="n"/>
      <c r="BC19" s="60" t="n"/>
      <c r="BD19" s="60" t="n"/>
      <c r="BE19" s="60" t="n"/>
      <c r="BF19" s="60" t="n"/>
      <c r="BG19" s="60" t="n"/>
      <c r="BH19" s="60" t="n"/>
      <c r="BI19" s="60" t="n"/>
    </row>
    <row r="20" ht="19" customHeight="1">
      <c r="B20" s="54">
        <f>IF(D20="","",14)</f>
        <v/>
      </c>
      <c r="C20" s="55" t="inlineStr">
        <is>
          <t>Revisión del tutor</t>
        </is>
      </c>
      <c r="D20" s="55" t="inlineStr">
        <is>
          <t>Revisión del borrador completo</t>
        </is>
      </c>
      <c r="E20" s="56" t="n">
        <v>46462</v>
      </c>
      <c r="F20" s="56" t="n">
        <v>46477</v>
      </c>
      <c r="G20" s="57" t="n">
        <v>0</v>
      </c>
      <c r="H20" s="58">
        <f>IF(D20="","",IF(N(G20)&gt;=1,"Completada",IF(AND(N(F20)&gt;0,F20&lt;TODAY()),"Atrasada",IF(AND(N(E20)&gt;0,E20&lt;=TODAY()),"En curso","Por empezar"))))</f>
        <v/>
      </c>
      <c r="I20" s="59">
        <f>IF(OR(D20="",N(F20)=0,N(G20)&gt;=1),"",F20-TODAY())</f>
        <v/>
      </c>
      <c r="J20" s="60" t="n"/>
      <c r="K20" s="60" t="n"/>
      <c r="L20" s="60" t="n"/>
      <c r="M20" s="60" t="n"/>
      <c r="N20" s="60" t="n"/>
      <c r="O20" s="60" t="n"/>
      <c r="P20" s="60" t="n"/>
      <c r="Q20" s="60" t="n"/>
      <c r="R20" s="60" t="n"/>
      <c r="S20" s="60" t="n"/>
      <c r="T20" s="60" t="n"/>
      <c r="U20" s="60" t="n"/>
      <c r="V20" s="60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  <c r="AF20" s="60" t="n"/>
      <c r="AG20" s="60" t="n"/>
      <c r="AH20" s="60" t="n"/>
      <c r="AI20" s="60" t="n"/>
      <c r="AJ20" s="60" t="n"/>
      <c r="AK20" s="60" t="n"/>
      <c r="AL20" s="60" t="n"/>
      <c r="AM20" s="60" t="n"/>
      <c r="AN20" s="60" t="n"/>
      <c r="AO20" s="60" t="n"/>
      <c r="AP20" s="60" t="n"/>
      <c r="AQ20" s="60" t="n"/>
      <c r="AR20" s="60" t="n"/>
      <c r="AS20" s="60" t="n"/>
      <c r="AT20" s="60" t="n"/>
      <c r="AU20" s="60" t="n"/>
      <c r="AV20" s="60" t="n"/>
      <c r="AW20" s="60" t="n"/>
      <c r="AX20" s="60" t="n"/>
      <c r="AY20" s="60" t="n"/>
      <c r="AZ20" s="60" t="n"/>
      <c r="BA20" s="60" t="n"/>
      <c r="BB20" s="60" t="n"/>
      <c r="BC20" s="60" t="n"/>
      <c r="BD20" s="60" t="n"/>
      <c r="BE20" s="60" t="n"/>
      <c r="BF20" s="60" t="n"/>
      <c r="BG20" s="60" t="n"/>
      <c r="BH20" s="60" t="n"/>
      <c r="BI20" s="60" t="n"/>
    </row>
    <row r="21" ht="19" customHeight="1">
      <c r="B21" s="54">
        <f>IF(D21="","",15)</f>
        <v/>
      </c>
      <c r="C21" s="55" t="inlineStr">
        <is>
          <t>Revisión del tutor</t>
        </is>
      </c>
      <c r="D21" s="55" t="inlineStr">
        <is>
          <t>Hacer las correcciones</t>
        </is>
      </c>
      <c r="E21" s="56" t="n">
        <v>46478</v>
      </c>
      <c r="F21" s="56" t="n">
        <v>46487</v>
      </c>
      <c r="G21" s="57" t="n">
        <v>0</v>
      </c>
      <c r="H21" s="58">
        <f>IF(D21="","",IF(N(G21)&gt;=1,"Completada",IF(AND(N(F21)&gt;0,F21&lt;TODAY()),"Atrasada",IF(AND(N(E21)&gt;0,E21&lt;=TODAY()),"En curso","Por empezar"))))</f>
        <v/>
      </c>
      <c r="I21" s="59">
        <f>IF(OR(D21="",N(F21)=0,N(G21)&gt;=1),"",F21-TODAY())</f>
        <v/>
      </c>
      <c r="J21" s="60" t="n"/>
      <c r="K21" s="60" t="n"/>
      <c r="L21" s="60" t="n"/>
      <c r="M21" s="60" t="n"/>
      <c r="N21" s="60" t="n"/>
      <c r="O21" s="60" t="n"/>
      <c r="P21" s="60" t="n"/>
      <c r="Q21" s="60" t="n"/>
      <c r="R21" s="60" t="n"/>
      <c r="S21" s="60" t="n"/>
      <c r="T21" s="60" t="n"/>
      <c r="U21" s="60" t="n"/>
      <c r="V21" s="60" t="n"/>
      <c r="W21" s="60" t="n"/>
      <c r="X21" s="60" t="n"/>
      <c r="Y21" s="60" t="n"/>
      <c r="Z21" s="60" t="n"/>
      <c r="AA21" s="60" t="n"/>
      <c r="AB21" s="60" t="n"/>
      <c r="AC21" s="60" t="n"/>
      <c r="AD21" s="60" t="n"/>
      <c r="AE21" s="60" t="n"/>
      <c r="AF21" s="60" t="n"/>
      <c r="AG21" s="60" t="n"/>
      <c r="AH21" s="60" t="n"/>
      <c r="AI21" s="60" t="n"/>
      <c r="AJ21" s="60" t="n"/>
      <c r="AK21" s="60" t="n"/>
      <c r="AL21" s="60" t="n"/>
      <c r="AM21" s="60" t="n"/>
      <c r="AN21" s="60" t="n"/>
      <c r="AO21" s="60" t="n"/>
      <c r="AP21" s="60" t="n"/>
      <c r="AQ21" s="60" t="n"/>
      <c r="AR21" s="60" t="n"/>
      <c r="AS21" s="60" t="n"/>
      <c r="AT21" s="60" t="n"/>
      <c r="AU21" s="60" t="n"/>
      <c r="AV21" s="60" t="n"/>
      <c r="AW21" s="60" t="n"/>
      <c r="AX21" s="60" t="n"/>
      <c r="AY21" s="60" t="n"/>
      <c r="AZ21" s="60" t="n"/>
      <c r="BA21" s="60" t="n"/>
      <c r="BB21" s="60" t="n"/>
      <c r="BC21" s="60" t="n"/>
      <c r="BD21" s="60" t="n"/>
      <c r="BE21" s="60" t="n"/>
      <c r="BF21" s="60" t="n"/>
      <c r="BG21" s="60" t="n"/>
      <c r="BH21" s="60" t="n"/>
      <c r="BI21" s="60" t="n"/>
    </row>
    <row r="22" ht="19" customHeight="1">
      <c r="B22" s="54">
        <f>IF(D22="","",16)</f>
        <v/>
      </c>
      <c r="C22" s="55" t="inlineStr">
        <is>
          <t>Formato y entrega</t>
        </is>
      </c>
      <c r="D22" s="55" t="inlineStr">
        <is>
          <t>Formato, citas y referencias</t>
        </is>
      </c>
      <c r="E22" s="56" t="n">
        <v>46478</v>
      </c>
      <c r="F22" s="56" t="n">
        <v>46492</v>
      </c>
      <c r="G22" s="57" t="n">
        <v>0</v>
      </c>
      <c r="H22" s="58">
        <f>IF(D22="","",IF(N(G22)&gt;=1,"Completada",IF(AND(N(F22)&gt;0,F22&lt;TODAY()),"Atrasada",IF(AND(N(E22)&gt;0,E22&lt;=TODAY()),"En curso","Por empezar"))))</f>
        <v/>
      </c>
      <c r="I22" s="59">
        <f>IF(OR(D22="",N(F22)=0,N(G22)&gt;=1),"",F22-TODAY())</f>
        <v/>
      </c>
      <c r="J22" s="60" t="n"/>
      <c r="K22" s="60" t="n"/>
      <c r="L22" s="60" t="n"/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  <c r="AF22" s="60" t="n"/>
      <c r="AG22" s="60" t="n"/>
      <c r="AH22" s="60" t="n"/>
      <c r="AI22" s="60" t="n"/>
      <c r="AJ22" s="60" t="n"/>
      <c r="AK22" s="60" t="n"/>
      <c r="AL22" s="60" t="n"/>
      <c r="AM22" s="60" t="n"/>
      <c r="AN22" s="60" t="n"/>
      <c r="AO22" s="60" t="n"/>
      <c r="AP22" s="60" t="n"/>
      <c r="AQ22" s="60" t="n"/>
      <c r="AR22" s="60" t="n"/>
      <c r="AS22" s="60" t="n"/>
      <c r="AT22" s="60" t="n"/>
      <c r="AU22" s="60" t="n"/>
      <c r="AV22" s="60" t="n"/>
      <c r="AW22" s="60" t="n"/>
      <c r="AX22" s="60" t="n"/>
      <c r="AY22" s="60" t="n"/>
      <c r="AZ22" s="60" t="n"/>
      <c r="BA22" s="60" t="n"/>
      <c r="BB22" s="60" t="n"/>
      <c r="BC22" s="60" t="n"/>
      <c r="BD22" s="60" t="n"/>
      <c r="BE22" s="60" t="n"/>
      <c r="BF22" s="60" t="n"/>
      <c r="BG22" s="60" t="n"/>
      <c r="BH22" s="60" t="n"/>
      <c r="BI22" s="60" t="n"/>
    </row>
    <row r="23" ht="19" customHeight="1">
      <c r="B23" s="54">
        <f>IF(D23="","",17)</f>
        <v/>
      </c>
      <c r="C23" s="55" t="inlineStr">
        <is>
          <t>Formato y entrega</t>
        </is>
      </c>
      <c r="D23" s="55" t="inlineStr">
        <is>
          <t>Entregar las copias</t>
        </is>
      </c>
      <c r="E23" s="56" t="n">
        <v>46493</v>
      </c>
      <c r="F23" s="56" t="n">
        <v>46497</v>
      </c>
      <c r="G23" s="57" t="n">
        <v>0</v>
      </c>
      <c r="H23" s="58">
        <f>IF(D23="","",IF(N(G23)&gt;=1,"Completada",IF(AND(N(F23)&gt;0,F23&lt;TODAY()),"Atrasada",IF(AND(N(E23)&gt;0,E23&lt;=TODAY()),"En curso","Por empezar"))))</f>
        <v/>
      </c>
      <c r="I23" s="59">
        <f>IF(OR(D23="",N(F23)=0,N(G23)&gt;=1),"",F23-TODAY())</f>
        <v/>
      </c>
      <c r="J23" s="60" t="n"/>
      <c r="K23" s="60" t="n"/>
      <c r="L23" s="60" t="n"/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  <c r="Z23" s="60" t="n"/>
      <c r="AA23" s="60" t="n"/>
      <c r="AB23" s="60" t="n"/>
      <c r="AC23" s="60" t="n"/>
      <c r="AD23" s="60" t="n"/>
      <c r="AE23" s="60" t="n"/>
      <c r="AF23" s="60" t="n"/>
      <c r="AG23" s="60" t="n"/>
      <c r="AH23" s="60" t="n"/>
      <c r="AI23" s="60" t="n"/>
      <c r="AJ23" s="60" t="n"/>
      <c r="AK23" s="60" t="n"/>
      <c r="AL23" s="60" t="n"/>
      <c r="AM23" s="60" t="n"/>
      <c r="AN23" s="60" t="n"/>
      <c r="AO23" s="60" t="n"/>
      <c r="AP23" s="60" t="n"/>
      <c r="AQ23" s="60" t="n"/>
      <c r="AR23" s="60" t="n"/>
      <c r="AS23" s="60" t="n"/>
      <c r="AT23" s="60" t="n"/>
      <c r="AU23" s="60" t="n"/>
      <c r="AV23" s="60" t="n"/>
      <c r="AW23" s="60" t="n"/>
      <c r="AX23" s="60" t="n"/>
      <c r="AY23" s="60" t="n"/>
      <c r="AZ23" s="60" t="n"/>
      <c r="BA23" s="60" t="n"/>
      <c r="BB23" s="60" t="n"/>
      <c r="BC23" s="60" t="n"/>
      <c r="BD23" s="60" t="n"/>
      <c r="BE23" s="60" t="n"/>
      <c r="BF23" s="60" t="n"/>
      <c r="BG23" s="60" t="n"/>
      <c r="BH23" s="60" t="n"/>
      <c r="BI23" s="60" t="n"/>
    </row>
    <row r="24" ht="19" customHeight="1">
      <c r="B24" s="54">
        <f>IF(D24="","",18)</f>
        <v/>
      </c>
      <c r="C24" s="55" t="inlineStr">
        <is>
          <t>Defensa</t>
        </is>
      </c>
      <c r="D24" s="55" t="inlineStr">
        <is>
          <t>Preparar la presentación</t>
        </is>
      </c>
      <c r="E24" s="56" t="n">
        <v>46487</v>
      </c>
      <c r="F24" s="56" t="n">
        <v>46502</v>
      </c>
      <c r="G24" s="57" t="n">
        <v>0</v>
      </c>
      <c r="H24" s="58">
        <f>IF(D24="","",IF(N(G24)&gt;=1,"Completada",IF(AND(N(F24)&gt;0,F24&lt;TODAY()),"Atrasada",IF(AND(N(E24)&gt;0,E24&lt;=TODAY()),"En curso","Por empezar"))))</f>
        <v/>
      </c>
      <c r="I24" s="59">
        <f>IF(OR(D24="",N(F24)=0,N(G24)&gt;=1),"",F24-TODAY())</f>
        <v/>
      </c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0" t="n"/>
      <c r="AV24" s="60" t="n"/>
      <c r="AW24" s="60" t="n"/>
      <c r="AX24" s="60" t="n"/>
      <c r="AY24" s="60" t="n"/>
      <c r="AZ24" s="60" t="n"/>
      <c r="BA24" s="60" t="n"/>
      <c r="BB24" s="60" t="n"/>
      <c r="BC24" s="60" t="n"/>
      <c r="BD24" s="60" t="n"/>
      <c r="BE24" s="60" t="n"/>
      <c r="BF24" s="60" t="n"/>
      <c r="BG24" s="60" t="n"/>
      <c r="BH24" s="60" t="n"/>
      <c r="BI24" s="60" t="n"/>
    </row>
    <row r="25" ht="19" customHeight="1">
      <c r="B25" s="54">
        <f>IF(D25="","",19)</f>
        <v/>
      </c>
      <c r="C25" s="55" t="inlineStr">
        <is>
          <t>Defensa</t>
        </is>
      </c>
      <c r="D25" s="55" t="inlineStr">
        <is>
          <t>Defensa oral</t>
        </is>
      </c>
      <c r="E25" s="56" t="n">
        <v>46507</v>
      </c>
      <c r="F25" s="56" t="n">
        <v>46507</v>
      </c>
      <c r="G25" s="57" t="n">
        <v>0</v>
      </c>
      <c r="H25" s="58">
        <f>IF(D25="","",IF(N(G25)&gt;=1,"Completada",IF(AND(N(F25)&gt;0,F25&lt;TODAY()),"Atrasada",IF(AND(N(E25)&gt;0,E25&lt;=TODAY()),"En curso","Por empezar"))))</f>
        <v/>
      </c>
      <c r="I25" s="59">
        <f>IF(OR(D25="",N(F25)=0,N(G25)&gt;=1),"",F25-TODAY())</f>
        <v/>
      </c>
      <c r="J25" s="60" t="n"/>
      <c r="K25" s="60" t="n"/>
      <c r="L25" s="60" t="n"/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  <c r="Z25" s="60" t="n"/>
      <c r="AA25" s="60" t="n"/>
      <c r="AB25" s="60" t="n"/>
      <c r="AC25" s="60" t="n"/>
      <c r="AD25" s="60" t="n"/>
      <c r="AE25" s="60" t="n"/>
      <c r="AF25" s="60" t="n"/>
      <c r="AG25" s="60" t="n"/>
      <c r="AH25" s="60" t="n"/>
      <c r="AI25" s="60" t="n"/>
      <c r="AJ25" s="60" t="n"/>
      <c r="AK25" s="60" t="n"/>
      <c r="AL25" s="60" t="n"/>
      <c r="AM25" s="60" t="n"/>
      <c r="AN25" s="60" t="n"/>
      <c r="AO25" s="60" t="n"/>
      <c r="AP25" s="60" t="n"/>
      <c r="AQ25" s="60" t="n"/>
      <c r="AR25" s="60" t="n"/>
      <c r="AS25" s="60" t="n"/>
      <c r="AT25" s="60" t="n"/>
      <c r="AU25" s="60" t="n"/>
      <c r="AV25" s="60" t="n"/>
      <c r="AW25" s="60" t="n"/>
      <c r="AX25" s="60" t="n"/>
      <c r="AY25" s="60" t="n"/>
      <c r="AZ25" s="60" t="n"/>
      <c r="BA25" s="60" t="n"/>
      <c r="BB25" s="60" t="n"/>
      <c r="BC25" s="60" t="n"/>
      <c r="BD25" s="60" t="n"/>
      <c r="BE25" s="60" t="n"/>
      <c r="BF25" s="60" t="n"/>
      <c r="BG25" s="60" t="n"/>
      <c r="BH25" s="60" t="n"/>
      <c r="BI25" s="60" t="n"/>
    </row>
    <row r="26" ht="19" customHeight="1">
      <c r="B26" s="54">
        <f>IF(D26="","",20)</f>
        <v/>
      </c>
      <c r="C26" s="55" t="n"/>
      <c r="D26" s="55" t="n"/>
      <c r="E26" s="56" t="n"/>
      <c r="F26" s="56" t="n"/>
      <c r="G26" s="57" t="n"/>
      <c r="H26" s="58">
        <f>IF(D26="","",IF(N(G26)&gt;=1,"Completada",IF(AND(N(F26)&gt;0,F26&lt;TODAY()),"Atrasada",IF(AND(N(E26)&gt;0,E26&lt;=TODAY()),"En curso","Por empezar"))))</f>
        <v/>
      </c>
      <c r="I26" s="59">
        <f>IF(OR(D26="",N(F26)=0,N(G26)&gt;=1),"",F26-TODAY())</f>
        <v/>
      </c>
      <c r="J26" s="60" t="n"/>
      <c r="K26" s="60" t="n"/>
      <c r="L26" s="60" t="n"/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  <c r="AF26" s="60" t="n"/>
      <c r="AG26" s="60" t="n"/>
      <c r="AH26" s="60" t="n"/>
      <c r="AI26" s="60" t="n"/>
      <c r="AJ26" s="60" t="n"/>
      <c r="AK26" s="60" t="n"/>
      <c r="AL26" s="60" t="n"/>
      <c r="AM26" s="60" t="n"/>
      <c r="AN26" s="60" t="n"/>
      <c r="AO26" s="60" t="n"/>
      <c r="AP26" s="60" t="n"/>
      <c r="AQ26" s="60" t="n"/>
      <c r="AR26" s="60" t="n"/>
      <c r="AS26" s="60" t="n"/>
      <c r="AT26" s="60" t="n"/>
      <c r="AU26" s="60" t="n"/>
      <c r="AV26" s="60" t="n"/>
      <c r="AW26" s="60" t="n"/>
      <c r="AX26" s="60" t="n"/>
      <c r="AY26" s="60" t="n"/>
      <c r="AZ26" s="60" t="n"/>
      <c r="BA26" s="60" t="n"/>
      <c r="BB26" s="60" t="n"/>
      <c r="BC26" s="60" t="n"/>
      <c r="BD26" s="60" t="n"/>
      <c r="BE26" s="60" t="n"/>
      <c r="BF26" s="60" t="n"/>
      <c r="BG26" s="60" t="n"/>
      <c r="BH26" s="60" t="n"/>
      <c r="BI26" s="60" t="n"/>
    </row>
    <row r="27" ht="19" customHeight="1">
      <c r="B27" s="54">
        <f>IF(D27="","",21)</f>
        <v/>
      </c>
      <c r="C27" s="55" t="n"/>
      <c r="D27" s="55" t="n"/>
      <c r="E27" s="56" t="n"/>
      <c r="F27" s="56" t="n"/>
      <c r="G27" s="57" t="n"/>
      <c r="H27" s="58">
        <f>IF(D27="","",IF(N(G27)&gt;=1,"Completada",IF(AND(N(F27)&gt;0,F27&lt;TODAY()),"Atrasada",IF(AND(N(E27)&gt;0,E27&lt;=TODAY()),"En curso","Por empezar"))))</f>
        <v/>
      </c>
      <c r="I27" s="59">
        <f>IF(OR(D27="",N(F27)=0,N(G27)&gt;=1),"",F27-TODAY())</f>
        <v/>
      </c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0" t="n"/>
      <c r="AV27" s="60" t="n"/>
      <c r="AW27" s="60" t="n"/>
      <c r="AX27" s="60" t="n"/>
      <c r="AY27" s="60" t="n"/>
      <c r="AZ27" s="60" t="n"/>
      <c r="BA27" s="60" t="n"/>
      <c r="BB27" s="60" t="n"/>
      <c r="BC27" s="60" t="n"/>
      <c r="BD27" s="60" t="n"/>
      <c r="BE27" s="60" t="n"/>
      <c r="BF27" s="60" t="n"/>
      <c r="BG27" s="60" t="n"/>
      <c r="BH27" s="60" t="n"/>
      <c r="BI27" s="60" t="n"/>
    </row>
    <row r="28" ht="19" customHeight="1">
      <c r="B28" s="54">
        <f>IF(D28="","",22)</f>
        <v/>
      </c>
      <c r="C28" s="55" t="n"/>
      <c r="D28" s="55" t="n"/>
      <c r="E28" s="56" t="n"/>
      <c r="F28" s="56" t="n"/>
      <c r="G28" s="57" t="n"/>
      <c r="H28" s="58">
        <f>IF(D28="","",IF(N(G28)&gt;=1,"Completada",IF(AND(N(F28)&gt;0,F28&lt;TODAY()),"Atrasada",IF(AND(N(E28)&gt;0,E28&lt;=TODAY()),"En curso","Por empezar"))))</f>
        <v/>
      </c>
      <c r="I28" s="59">
        <f>IF(OR(D28="",N(F28)=0,N(G28)&gt;=1),"",F28-TODAY())</f>
        <v/>
      </c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  <c r="AF28" s="60" t="n"/>
      <c r="AG28" s="60" t="n"/>
      <c r="AH28" s="60" t="n"/>
      <c r="AI28" s="60" t="n"/>
      <c r="AJ28" s="60" t="n"/>
      <c r="AK28" s="60" t="n"/>
      <c r="AL28" s="60" t="n"/>
      <c r="AM28" s="60" t="n"/>
      <c r="AN28" s="60" t="n"/>
      <c r="AO28" s="60" t="n"/>
      <c r="AP28" s="60" t="n"/>
      <c r="AQ28" s="60" t="n"/>
      <c r="AR28" s="60" t="n"/>
      <c r="AS28" s="60" t="n"/>
      <c r="AT28" s="60" t="n"/>
      <c r="AU28" s="60" t="n"/>
      <c r="AV28" s="60" t="n"/>
      <c r="AW28" s="60" t="n"/>
      <c r="AX28" s="60" t="n"/>
      <c r="AY28" s="60" t="n"/>
      <c r="AZ28" s="60" t="n"/>
      <c r="BA28" s="60" t="n"/>
      <c r="BB28" s="60" t="n"/>
      <c r="BC28" s="60" t="n"/>
      <c r="BD28" s="60" t="n"/>
      <c r="BE28" s="60" t="n"/>
      <c r="BF28" s="60" t="n"/>
      <c r="BG28" s="60" t="n"/>
      <c r="BH28" s="60" t="n"/>
      <c r="BI28" s="60" t="n"/>
    </row>
    <row r="29" ht="19" customHeight="1">
      <c r="B29" s="54">
        <f>IF(D29="","",23)</f>
        <v/>
      </c>
      <c r="C29" s="55" t="n"/>
      <c r="D29" s="55" t="n"/>
      <c r="E29" s="56" t="n"/>
      <c r="F29" s="56" t="n"/>
      <c r="G29" s="57" t="n"/>
      <c r="H29" s="58">
        <f>IF(D29="","",IF(N(G29)&gt;=1,"Completada",IF(AND(N(F29)&gt;0,F29&lt;TODAY()),"Atrasada",IF(AND(N(E29)&gt;0,E29&lt;=TODAY()),"En curso","Por empezar"))))</f>
        <v/>
      </c>
      <c r="I29" s="59">
        <f>IF(OR(D29="",N(F29)=0,N(G29)&gt;=1),"",F29-TODAY())</f>
        <v/>
      </c>
      <c r="J29" s="60" t="n"/>
      <c r="K29" s="60" t="n"/>
      <c r="L29" s="60" t="n"/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  <c r="Z29" s="60" t="n"/>
      <c r="AA29" s="60" t="n"/>
      <c r="AB29" s="60" t="n"/>
      <c r="AC29" s="60" t="n"/>
      <c r="AD29" s="60" t="n"/>
      <c r="AE29" s="60" t="n"/>
      <c r="AF29" s="60" t="n"/>
      <c r="AG29" s="60" t="n"/>
      <c r="AH29" s="60" t="n"/>
      <c r="AI29" s="60" t="n"/>
      <c r="AJ29" s="60" t="n"/>
      <c r="AK29" s="60" t="n"/>
      <c r="AL29" s="60" t="n"/>
      <c r="AM29" s="60" t="n"/>
      <c r="AN29" s="60" t="n"/>
      <c r="AO29" s="60" t="n"/>
      <c r="AP29" s="60" t="n"/>
      <c r="AQ29" s="60" t="n"/>
      <c r="AR29" s="60" t="n"/>
      <c r="AS29" s="60" t="n"/>
      <c r="AT29" s="60" t="n"/>
      <c r="AU29" s="60" t="n"/>
      <c r="AV29" s="60" t="n"/>
      <c r="AW29" s="60" t="n"/>
      <c r="AX29" s="60" t="n"/>
      <c r="AY29" s="60" t="n"/>
      <c r="AZ29" s="60" t="n"/>
      <c r="BA29" s="60" t="n"/>
      <c r="BB29" s="60" t="n"/>
      <c r="BC29" s="60" t="n"/>
      <c r="BD29" s="60" t="n"/>
      <c r="BE29" s="60" t="n"/>
      <c r="BF29" s="60" t="n"/>
      <c r="BG29" s="60" t="n"/>
      <c r="BH29" s="60" t="n"/>
      <c r="BI29" s="60" t="n"/>
    </row>
    <row r="30" ht="19" customHeight="1">
      <c r="B30" s="54">
        <f>IF(D30="","",24)</f>
        <v/>
      </c>
      <c r="C30" s="55" t="n"/>
      <c r="D30" s="55" t="n"/>
      <c r="E30" s="56" t="n"/>
      <c r="F30" s="56" t="n"/>
      <c r="G30" s="57" t="n"/>
      <c r="H30" s="58">
        <f>IF(D30="","",IF(N(G30)&gt;=1,"Completada",IF(AND(N(F30)&gt;0,F30&lt;TODAY()),"Atrasada",IF(AND(N(E30)&gt;0,E30&lt;=TODAY()),"En curso","Por empezar"))))</f>
        <v/>
      </c>
      <c r="I30" s="59">
        <f>IF(OR(D30="",N(F30)=0,N(G30)&gt;=1),"",F30-TODAY())</f>
        <v/>
      </c>
      <c r="J30" s="60" t="n"/>
      <c r="K30" s="60" t="n"/>
      <c r="L30" s="60" t="n"/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  <c r="AF30" s="60" t="n"/>
      <c r="AG30" s="60" t="n"/>
      <c r="AH30" s="60" t="n"/>
      <c r="AI30" s="60" t="n"/>
      <c r="AJ30" s="60" t="n"/>
      <c r="AK30" s="60" t="n"/>
      <c r="AL30" s="60" t="n"/>
      <c r="AM30" s="60" t="n"/>
      <c r="AN30" s="60" t="n"/>
      <c r="AO30" s="60" t="n"/>
      <c r="AP30" s="60" t="n"/>
      <c r="AQ30" s="60" t="n"/>
      <c r="AR30" s="60" t="n"/>
      <c r="AS30" s="60" t="n"/>
      <c r="AT30" s="60" t="n"/>
      <c r="AU30" s="60" t="n"/>
      <c r="AV30" s="60" t="n"/>
      <c r="AW30" s="60" t="n"/>
      <c r="AX30" s="60" t="n"/>
      <c r="AY30" s="60" t="n"/>
      <c r="AZ30" s="60" t="n"/>
      <c r="BA30" s="60" t="n"/>
      <c r="BB30" s="60" t="n"/>
      <c r="BC30" s="60" t="n"/>
      <c r="BD30" s="60" t="n"/>
      <c r="BE30" s="60" t="n"/>
      <c r="BF30" s="60" t="n"/>
      <c r="BG30" s="60" t="n"/>
      <c r="BH30" s="60" t="n"/>
      <c r="BI30" s="60" t="n"/>
    </row>
    <row r="31" ht="19" customHeight="1">
      <c r="B31" s="54">
        <f>IF(D31="","",25)</f>
        <v/>
      </c>
      <c r="C31" s="55" t="n"/>
      <c r="D31" s="55" t="n"/>
      <c r="E31" s="56" t="n"/>
      <c r="F31" s="56" t="n"/>
      <c r="G31" s="57" t="n"/>
      <c r="H31" s="58">
        <f>IF(D31="","",IF(N(G31)&gt;=1,"Completada",IF(AND(N(F31)&gt;0,F31&lt;TODAY()),"Atrasada",IF(AND(N(E31)&gt;0,E31&lt;=TODAY()),"En curso","Por empezar"))))</f>
        <v/>
      </c>
      <c r="I31" s="59">
        <f>IF(OR(D31="",N(F31)=0,N(G31)&gt;=1),"",F31-TODAY())</f>
        <v/>
      </c>
      <c r="J31" s="60" t="n"/>
      <c r="K31" s="60" t="n"/>
      <c r="L31" s="60" t="n"/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  <c r="Z31" s="60" t="n"/>
      <c r="AA31" s="60" t="n"/>
      <c r="AB31" s="60" t="n"/>
      <c r="AC31" s="60" t="n"/>
      <c r="AD31" s="60" t="n"/>
      <c r="AE31" s="60" t="n"/>
      <c r="AF31" s="60" t="n"/>
      <c r="AG31" s="60" t="n"/>
      <c r="AH31" s="60" t="n"/>
      <c r="AI31" s="60" t="n"/>
      <c r="AJ31" s="60" t="n"/>
      <c r="AK31" s="60" t="n"/>
      <c r="AL31" s="60" t="n"/>
      <c r="AM31" s="60" t="n"/>
      <c r="AN31" s="60" t="n"/>
      <c r="AO31" s="60" t="n"/>
      <c r="AP31" s="60" t="n"/>
      <c r="AQ31" s="60" t="n"/>
      <c r="AR31" s="60" t="n"/>
      <c r="AS31" s="60" t="n"/>
      <c r="AT31" s="60" t="n"/>
      <c r="AU31" s="60" t="n"/>
      <c r="AV31" s="60" t="n"/>
      <c r="AW31" s="60" t="n"/>
      <c r="AX31" s="60" t="n"/>
      <c r="AY31" s="60" t="n"/>
      <c r="AZ31" s="60" t="n"/>
      <c r="BA31" s="60" t="n"/>
      <c r="BB31" s="60" t="n"/>
      <c r="BC31" s="60" t="n"/>
      <c r="BD31" s="60" t="n"/>
      <c r="BE31" s="60" t="n"/>
      <c r="BF31" s="60" t="n"/>
      <c r="BG31" s="60" t="n"/>
      <c r="BH31" s="60" t="n"/>
      <c r="BI31" s="60" t="n"/>
    </row>
    <row r="32" ht="19" customHeight="1">
      <c r="B32" s="54">
        <f>IF(D32="","",26)</f>
        <v/>
      </c>
      <c r="C32" s="55" t="n"/>
      <c r="D32" s="55" t="n"/>
      <c r="E32" s="56" t="n"/>
      <c r="F32" s="56" t="n"/>
      <c r="G32" s="57" t="n"/>
      <c r="H32" s="58">
        <f>IF(D32="","",IF(N(G32)&gt;=1,"Completada",IF(AND(N(F32)&gt;0,F32&lt;TODAY()),"Atrasada",IF(AND(N(E32)&gt;0,E32&lt;=TODAY()),"En curso","Por empezar"))))</f>
        <v/>
      </c>
      <c r="I32" s="59">
        <f>IF(OR(D32="",N(F32)=0,N(G32)&gt;=1),"",F32-TODAY())</f>
        <v/>
      </c>
      <c r="J32" s="60" t="n"/>
      <c r="K32" s="60" t="n"/>
      <c r="L32" s="60" t="n"/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  <c r="AF32" s="60" t="n"/>
      <c r="AG32" s="60" t="n"/>
      <c r="AH32" s="60" t="n"/>
      <c r="AI32" s="60" t="n"/>
      <c r="AJ32" s="60" t="n"/>
      <c r="AK32" s="60" t="n"/>
      <c r="AL32" s="60" t="n"/>
      <c r="AM32" s="60" t="n"/>
      <c r="AN32" s="60" t="n"/>
      <c r="AO32" s="60" t="n"/>
      <c r="AP32" s="60" t="n"/>
      <c r="AQ32" s="60" t="n"/>
      <c r="AR32" s="60" t="n"/>
      <c r="AS32" s="60" t="n"/>
      <c r="AT32" s="60" t="n"/>
      <c r="AU32" s="60" t="n"/>
      <c r="AV32" s="60" t="n"/>
      <c r="AW32" s="60" t="n"/>
      <c r="AX32" s="60" t="n"/>
      <c r="AY32" s="60" t="n"/>
      <c r="AZ32" s="60" t="n"/>
      <c r="BA32" s="60" t="n"/>
      <c r="BB32" s="60" t="n"/>
      <c r="BC32" s="60" t="n"/>
      <c r="BD32" s="60" t="n"/>
      <c r="BE32" s="60" t="n"/>
      <c r="BF32" s="60" t="n"/>
      <c r="BG32" s="60" t="n"/>
      <c r="BH32" s="60" t="n"/>
      <c r="BI32" s="60" t="n"/>
    </row>
    <row r="33" ht="19" customHeight="1">
      <c r="B33" s="54">
        <f>IF(D33="","",27)</f>
        <v/>
      </c>
      <c r="C33" s="55" t="n"/>
      <c r="D33" s="55" t="n"/>
      <c r="E33" s="56" t="n"/>
      <c r="F33" s="56" t="n"/>
      <c r="G33" s="57" t="n"/>
      <c r="H33" s="58">
        <f>IF(D33="","",IF(N(G33)&gt;=1,"Completada",IF(AND(N(F33)&gt;0,F33&lt;TODAY()),"Atrasada",IF(AND(N(E33)&gt;0,E33&lt;=TODAY()),"En curso","Por empezar"))))</f>
        <v/>
      </c>
      <c r="I33" s="59">
        <f>IF(OR(D33="",N(F33)=0,N(G33)&gt;=1),"",F33-TODAY())</f>
        <v/>
      </c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0" t="n"/>
      <c r="AV33" s="60" t="n"/>
      <c r="AW33" s="60" t="n"/>
      <c r="AX33" s="60" t="n"/>
      <c r="AY33" s="60" t="n"/>
      <c r="AZ33" s="60" t="n"/>
      <c r="BA33" s="60" t="n"/>
      <c r="BB33" s="60" t="n"/>
      <c r="BC33" s="60" t="n"/>
      <c r="BD33" s="60" t="n"/>
      <c r="BE33" s="60" t="n"/>
      <c r="BF33" s="60" t="n"/>
      <c r="BG33" s="60" t="n"/>
      <c r="BH33" s="60" t="n"/>
      <c r="BI33" s="60" t="n"/>
    </row>
    <row r="34" ht="19" customHeight="1">
      <c r="B34" s="54">
        <f>IF(D34="","",28)</f>
        <v/>
      </c>
      <c r="C34" s="55" t="n"/>
      <c r="D34" s="55" t="n"/>
      <c r="E34" s="56" t="n"/>
      <c r="F34" s="56" t="n"/>
      <c r="G34" s="57" t="n"/>
      <c r="H34" s="58">
        <f>IF(D34="","",IF(N(G34)&gt;=1,"Completada",IF(AND(N(F34)&gt;0,F34&lt;TODAY()),"Atrasada",IF(AND(N(E34)&gt;0,E34&lt;=TODAY()),"En curso","Por empezar"))))</f>
        <v/>
      </c>
      <c r="I34" s="59">
        <f>IF(OR(D34="",N(F34)=0,N(G34)&gt;=1),"",F34-TODAY())</f>
        <v/>
      </c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  <c r="AF34" s="60" t="n"/>
      <c r="AG34" s="60" t="n"/>
      <c r="AH34" s="60" t="n"/>
      <c r="AI34" s="60" t="n"/>
      <c r="AJ34" s="60" t="n"/>
      <c r="AK34" s="60" t="n"/>
      <c r="AL34" s="60" t="n"/>
      <c r="AM34" s="60" t="n"/>
      <c r="AN34" s="60" t="n"/>
      <c r="AO34" s="60" t="n"/>
      <c r="AP34" s="60" t="n"/>
      <c r="AQ34" s="60" t="n"/>
      <c r="AR34" s="60" t="n"/>
      <c r="AS34" s="60" t="n"/>
      <c r="AT34" s="60" t="n"/>
      <c r="AU34" s="60" t="n"/>
      <c r="AV34" s="60" t="n"/>
      <c r="AW34" s="60" t="n"/>
      <c r="AX34" s="60" t="n"/>
      <c r="AY34" s="60" t="n"/>
      <c r="AZ34" s="60" t="n"/>
      <c r="BA34" s="60" t="n"/>
      <c r="BB34" s="60" t="n"/>
      <c r="BC34" s="60" t="n"/>
      <c r="BD34" s="60" t="n"/>
      <c r="BE34" s="60" t="n"/>
      <c r="BF34" s="60" t="n"/>
      <c r="BG34" s="60" t="n"/>
      <c r="BH34" s="60" t="n"/>
      <c r="BI34" s="60" t="n"/>
    </row>
    <row r="35" ht="19" customHeight="1">
      <c r="B35" s="54">
        <f>IF(D35="","",29)</f>
        <v/>
      </c>
      <c r="C35" s="55" t="n"/>
      <c r="D35" s="55" t="n"/>
      <c r="E35" s="56" t="n"/>
      <c r="F35" s="56" t="n"/>
      <c r="G35" s="57" t="n"/>
      <c r="H35" s="58">
        <f>IF(D35="","",IF(N(G35)&gt;=1,"Completada",IF(AND(N(F35)&gt;0,F35&lt;TODAY()),"Atrasada",IF(AND(N(E35)&gt;0,E35&lt;=TODAY()),"En curso","Por empezar"))))</f>
        <v/>
      </c>
      <c r="I35" s="59">
        <f>IF(OR(D35="",N(F35)=0,N(G35)&gt;=1),"",F35-TODAY())</f>
        <v/>
      </c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  <c r="Z35" s="60" t="n"/>
      <c r="AA35" s="60" t="n"/>
      <c r="AB35" s="60" t="n"/>
      <c r="AC35" s="60" t="n"/>
      <c r="AD35" s="60" t="n"/>
      <c r="AE35" s="60" t="n"/>
      <c r="AF35" s="60" t="n"/>
      <c r="AG35" s="60" t="n"/>
      <c r="AH35" s="60" t="n"/>
      <c r="AI35" s="60" t="n"/>
      <c r="AJ35" s="60" t="n"/>
      <c r="AK35" s="60" t="n"/>
      <c r="AL35" s="60" t="n"/>
      <c r="AM35" s="60" t="n"/>
      <c r="AN35" s="60" t="n"/>
      <c r="AO35" s="60" t="n"/>
      <c r="AP35" s="60" t="n"/>
      <c r="AQ35" s="60" t="n"/>
      <c r="AR35" s="60" t="n"/>
      <c r="AS35" s="60" t="n"/>
      <c r="AT35" s="60" t="n"/>
      <c r="AU35" s="60" t="n"/>
      <c r="AV35" s="60" t="n"/>
      <c r="AW35" s="60" t="n"/>
      <c r="AX35" s="60" t="n"/>
      <c r="AY35" s="60" t="n"/>
      <c r="AZ35" s="60" t="n"/>
      <c r="BA35" s="60" t="n"/>
      <c r="BB35" s="60" t="n"/>
      <c r="BC35" s="60" t="n"/>
      <c r="BD35" s="60" t="n"/>
      <c r="BE35" s="60" t="n"/>
      <c r="BF35" s="60" t="n"/>
      <c r="BG35" s="60" t="n"/>
      <c r="BH35" s="60" t="n"/>
      <c r="BI35" s="60" t="n"/>
    </row>
    <row r="36" ht="19" customHeight="1">
      <c r="B36" s="54">
        <f>IF(D36="","",30)</f>
        <v/>
      </c>
      <c r="C36" s="55" t="n"/>
      <c r="D36" s="55" t="n"/>
      <c r="E36" s="56" t="n"/>
      <c r="F36" s="56" t="n"/>
      <c r="G36" s="57" t="n"/>
      <c r="H36" s="58">
        <f>IF(D36="","",IF(N(G36)&gt;=1,"Completada",IF(AND(N(F36)&gt;0,F36&lt;TODAY()),"Atrasada",IF(AND(N(E36)&gt;0,E36&lt;=TODAY()),"En curso","Por empezar"))))</f>
        <v/>
      </c>
      <c r="I36" s="59">
        <f>IF(OR(D36="",N(F36)=0,N(G36)&gt;=1),"",F36-TODAY())</f>
        <v/>
      </c>
      <c r="J36" s="60" t="n"/>
      <c r="K36" s="60" t="n"/>
      <c r="L36" s="60" t="n"/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  <c r="AF36" s="60" t="n"/>
      <c r="AG36" s="60" t="n"/>
      <c r="AH36" s="60" t="n"/>
      <c r="AI36" s="60" t="n"/>
      <c r="AJ36" s="60" t="n"/>
      <c r="AK36" s="60" t="n"/>
      <c r="AL36" s="60" t="n"/>
      <c r="AM36" s="60" t="n"/>
      <c r="AN36" s="60" t="n"/>
      <c r="AO36" s="60" t="n"/>
      <c r="AP36" s="60" t="n"/>
      <c r="AQ36" s="60" t="n"/>
      <c r="AR36" s="60" t="n"/>
      <c r="AS36" s="60" t="n"/>
      <c r="AT36" s="60" t="n"/>
      <c r="AU36" s="60" t="n"/>
      <c r="AV36" s="60" t="n"/>
      <c r="AW36" s="60" t="n"/>
      <c r="AX36" s="60" t="n"/>
      <c r="AY36" s="60" t="n"/>
      <c r="AZ36" s="60" t="n"/>
      <c r="BA36" s="60" t="n"/>
      <c r="BB36" s="60" t="n"/>
      <c r="BC36" s="60" t="n"/>
      <c r="BD36" s="60" t="n"/>
      <c r="BE36" s="60" t="n"/>
      <c r="BF36" s="60" t="n"/>
      <c r="BG36" s="60" t="n"/>
      <c r="BH36" s="60" t="n"/>
      <c r="BI36" s="60" t="n"/>
    </row>
    <row r="37" ht="19" customHeight="1">
      <c r="B37" s="54">
        <f>IF(D37="","",31)</f>
        <v/>
      </c>
      <c r="C37" s="55" t="n"/>
      <c r="D37" s="55" t="n"/>
      <c r="E37" s="56" t="n"/>
      <c r="F37" s="56" t="n"/>
      <c r="G37" s="57" t="n"/>
      <c r="H37" s="58">
        <f>IF(D37="","",IF(N(G37)&gt;=1,"Completada",IF(AND(N(F37)&gt;0,F37&lt;TODAY()),"Atrasada",IF(AND(N(E37)&gt;0,E37&lt;=TODAY()),"En curso","Por empezar"))))</f>
        <v/>
      </c>
      <c r="I37" s="59">
        <f>IF(OR(D37="",N(F37)=0,N(G37)&gt;=1),"",F37-TODAY())</f>
        <v/>
      </c>
      <c r="J37" s="60" t="n"/>
      <c r="K37" s="60" t="n"/>
      <c r="L37" s="60" t="n"/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  <c r="Z37" s="60" t="n"/>
      <c r="AA37" s="60" t="n"/>
      <c r="AB37" s="60" t="n"/>
      <c r="AC37" s="60" t="n"/>
      <c r="AD37" s="60" t="n"/>
      <c r="AE37" s="60" t="n"/>
      <c r="AF37" s="60" t="n"/>
      <c r="AG37" s="60" t="n"/>
      <c r="AH37" s="60" t="n"/>
      <c r="AI37" s="60" t="n"/>
      <c r="AJ37" s="60" t="n"/>
      <c r="AK37" s="60" t="n"/>
      <c r="AL37" s="60" t="n"/>
      <c r="AM37" s="60" t="n"/>
      <c r="AN37" s="60" t="n"/>
      <c r="AO37" s="60" t="n"/>
      <c r="AP37" s="60" t="n"/>
      <c r="AQ37" s="60" t="n"/>
      <c r="AR37" s="60" t="n"/>
      <c r="AS37" s="60" t="n"/>
      <c r="AT37" s="60" t="n"/>
      <c r="AU37" s="60" t="n"/>
      <c r="AV37" s="60" t="n"/>
      <c r="AW37" s="60" t="n"/>
      <c r="AX37" s="60" t="n"/>
      <c r="AY37" s="60" t="n"/>
      <c r="AZ37" s="60" t="n"/>
      <c r="BA37" s="60" t="n"/>
      <c r="BB37" s="60" t="n"/>
      <c r="BC37" s="60" t="n"/>
      <c r="BD37" s="60" t="n"/>
      <c r="BE37" s="60" t="n"/>
      <c r="BF37" s="60" t="n"/>
      <c r="BG37" s="60" t="n"/>
      <c r="BH37" s="60" t="n"/>
      <c r="BI37" s="60" t="n"/>
    </row>
    <row r="38" ht="19" customHeight="1">
      <c r="B38" s="54">
        <f>IF(D38="","",32)</f>
        <v/>
      </c>
      <c r="C38" s="55" t="n"/>
      <c r="D38" s="55" t="n"/>
      <c r="E38" s="56" t="n"/>
      <c r="F38" s="56" t="n"/>
      <c r="G38" s="57" t="n"/>
      <c r="H38" s="58">
        <f>IF(D38="","",IF(N(G38)&gt;=1,"Completada",IF(AND(N(F38)&gt;0,F38&lt;TODAY()),"Atrasada",IF(AND(N(E38)&gt;0,E38&lt;=TODAY()),"En curso","Por empezar"))))</f>
        <v/>
      </c>
      <c r="I38" s="59">
        <f>IF(OR(D38="",N(F38)=0,N(G38)&gt;=1),"",F38-TODAY())</f>
        <v/>
      </c>
      <c r="J38" s="60" t="n"/>
      <c r="K38" s="60" t="n"/>
      <c r="L38" s="60" t="n"/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  <c r="AF38" s="60" t="n"/>
      <c r="AG38" s="60" t="n"/>
      <c r="AH38" s="60" t="n"/>
      <c r="AI38" s="60" t="n"/>
      <c r="AJ38" s="60" t="n"/>
      <c r="AK38" s="60" t="n"/>
      <c r="AL38" s="60" t="n"/>
      <c r="AM38" s="60" t="n"/>
      <c r="AN38" s="60" t="n"/>
      <c r="AO38" s="60" t="n"/>
      <c r="AP38" s="60" t="n"/>
      <c r="AQ38" s="60" t="n"/>
      <c r="AR38" s="60" t="n"/>
      <c r="AS38" s="60" t="n"/>
      <c r="AT38" s="60" t="n"/>
      <c r="AU38" s="60" t="n"/>
      <c r="AV38" s="60" t="n"/>
      <c r="AW38" s="60" t="n"/>
      <c r="AX38" s="60" t="n"/>
      <c r="AY38" s="60" t="n"/>
      <c r="AZ38" s="60" t="n"/>
      <c r="BA38" s="60" t="n"/>
      <c r="BB38" s="60" t="n"/>
      <c r="BC38" s="60" t="n"/>
      <c r="BD38" s="60" t="n"/>
      <c r="BE38" s="60" t="n"/>
      <c r="BF38" s="60" t="n"/>
      <c r="BG38" s="60" t="n"/>
      <c r="BH38" s="60" t="n"/>
      <c r="BI38" s="60" t="n"/>
    </row>
    <row r="39" ht="19" customHeight="1">
      <c r="B39" s="54">
        <f>IF(D39="","",33)</f>
        <v/>
      </c>
      <c r="C39" s="55" t="n"/>
      <c r="D39" s="55" t="n"/>
      <c r="E39" s="56" t="n"/>
      <c r="F39" s="56" t="n"/>
      <c r="G39" s="57" t="n"/>
      <c r="H39" s="58">
        <f>IF(D39="","",IF(N(G39)&gt;=1,"Completada",IF(AND(N(F39)&gt;0,F39&lt;TODAY()),"Atrasada",IF(AND(N(E39)&gt;0,E39&lt;=TODAY()),"En curso","Por empezar"))))</f>
        <v/>
      </c>
      <c r="I39" s="59">
        <f>IF(OR(D39="",N(F39)=0,N(G39)&gt;=1),"",F39-TODAY())</f>
        <v/>
      </c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0" t="n"/>
      <c r="AV39" s="60" t="n"/>
      <c r="AW39" s="60" t="n"/>
      <c r="AX39" s="60" t="n"/>
      <c r="AY39" s="60" t="n"/>
      <c r="AZ39" s="60" t="n"/>
      <c r="BA39" s="60" t="n"/>
      <c r="BB39" s="60" t="n"/>
      <c r="BC39" s="60" t="n"/>
      <c r="BD39" s="60" t="n"/>
      <c r="BE39" s="60" t="n"/>
      <c r="BF39" s="60" t="n"/>
      <c r="BG39" s="60" t="n"/>
      <c r="BH39" s="60" t="n"/>
      <c r="BI39" s="60" t="n"/>
    </row>
    <row r="40" ht="19" customHeight="1">
      <c r="B40" s="54">
        <f>IF(D40="","",34)</f>
        <v/>
      </c>
      <c r="C40" s="55" t="n"/>
      <c r="D40" s="55" t="n"/>
      <c r="E40" s="56" t="n"/>
      <c r="F40" s="56" t="n"/>
      <c r="G40" s="57" t="n"/>
      <c r="H40" s="58">
        <f>IF(D40="","",IF(N(G40)&gt;=1,"Completada",IF(AND(N(F40)&gt;0,F40&lt;TODAY()),"Atrasada",IF(AND(N(E40)&gt;0,E40&lt;=TODAY()),"En curso","Por empezar"))))</f>
        <v/>
      </c>
      <c r="I40" s="59">
        <f>IF(OR(D40="",N(F40)=0,N(G40)&gt;=1),"",F40-TODAY())</f>
        <v/>
      </c>
      <c r="J40" s="60" t="n"/>
      <c r="K40" s="60" t="n"/>
      <c r="L40" s="60" t="n"/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  <c r="AF40" s="60" t="n"/>
      <c r="AG40" s="60" t="n"/>
      <c r="AH40" s="60" t="n"/>
      <c r="AI40" s="60" t="n"/>
      <c r="AJ40" s="60" t="n"/>
      <c r="AK40" s="60" t="n"/>
      <c r="AL40" s="60" t="n"/>
      <c r="AM40" s="60" t="n"/>
      <c r="AN40" s="60" t="n"/>
      <c r="AO40" s="60" t="n"/>
      <c r="AP40" s="60" t="n"/>
      <c r="AQ40" s="60" t="n"/>
      <c r="AR40" s="60" t="n"/>
      <c r="AS40" s="60" t="n"/>
      <c r="AT40" s="60" t="n"/>
      <c r="AU40" s="60" t="n"/>
      <c r="AV40" s="60" t="n"/>
      <c r="AW40" s="60" t="n"/>
      <c r="AX40" s="60" t="n"/>
      <c r="AY40" s="60" t="n"/>
      <c r="AZ40" s="60" t="n"/>
      <c r="BA40" s="60" t="n"/>
      <c r="BB40" s="60" t="n"/>
      <c r="BC40" s="60" t="n"/>
      <c r="BD40" s="60" t="n"/>
      <c r="BE40" s="60" t="n"/>
      <c r="BF40" s="60" t="n"/>
      <c r="BG40" s="60" t="n"/>
      <c r="BH40" s="60" t="n"/>
      <c r="BI40" s="60" t="n"/>
    </row>
    <row r="41" ht="19" customHeight="1">
      <c r="B41" s="54">
        <f>IF(D41="","",35)</f>
        <v/>
      </c>
      <c r="C41" s="55" t="n"/>
      <c r="D41" s="55" t="n"/>
      <c r="E41" s="56" t="n"/>
      <c r="F41" s="56" t="n"/>
      <c r="G41" s="57" t="n"/>
      <c r="H41" s="58">
        <f>IF(D41="","",IF(N(G41)&gt;=1,"Completada",IF(AND(N(F41)&gt;0,F41&lt;TODAY()),"Atrasada",IF(AND(N(E41)&gt;0,E41&lt;=TODAY()),"En curso","Por empezar"))))</f>
        <v/>
      </c>
      <c r="I41" s="59">
        <f>IF(OR(D41="",N(F41)=0,N(G41)&gt;=1),"",F41-TODAY())</f>
        <v/>
      </c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  <c r="Z41" s="60" t="n"/>
      <c r="AA41" s="60" t="n"/>
      <c r="AB41" s="60" t="n"/>
      <c r="AC41" s="60" t="n"/>
      <c r="AD41" s="60" t="n"/>
      <c r="AE41" s="60" t="n"/>
      <c r="AF41" s="60" t="n"/>
      <c r="AG41" s="60" t="n"/>
      <c r="AH41" s="60" t="n"/>
      <c r="AI41" s="60" t="n"/>
      <c r="AJ41" s="60" t="n"/>
      <c r="AK41" s="60" t="n"/>
      <c r="AL41" s="60" t="n"/>
      <c r="AM41" s="60" t="n"/>
      <c r="AN41" s="60" t="n"/>
      <c r="AO41" s="60" t="n"/>
      <c r="AP41" s="60" t="n"/>
      <c r="AQ41" s="60" t="n"/>
      <c r="AR41" s="60" t="n"/>
      <c r="AS41" s="60" t="n"/>
      <c r="AT41" s="60" t="n"/>
      <c r="AU41" s="60" t="n"/>
      <c r="AV41" s="60" t="n"/>
      <c r="AW41" s="60" t="n"/>
      <c r="AX41" s="60" t="n"/>
      <c r="AY41" s="60" t="n"/>
      <c r="AZ41" s="60" t="n"/>
      <c r="BA41" s="60" t="n"/>
      <c r="BB41" s="60" t="n"/>
      <c r="BC41" s="60" t="n"/>
      <c r="BD41" s="60" t="n"/>
      <c r="BE41" s="60" t="n"/>
      <c r="BF41" s="60" t="n"/>
      <c r="BG41" s="60" t="n"/>
      <c r="BH41" s="60" t="n"/>
      <c r="BI41" s="60" t="n"/>
    </row>
    <row r="42" ht="19" customHeight="1">
      <c r="B42" s="54">
        <f>IF(D42="","",36)</f>
        <v/>
      </c>
      <c r="C42" s="55" t="n"/>
      <c r="D42" s="55" t="n"/>
      <c r="E42" s="56" t="n"/>
      <c r="F42" s="56" t="n"/>
      <c r="G42" s="57" t="n"/>
      <c r="H42" s="58">
        <f>IF(D42="","",IF(N(G42)&gt;=1,"Completada",IF(AND(N(F42)&gt;0,F42&lt;TODAY()),"Atrasada",IF(AND(N(E42)&gt;0,E42&lt;=TODAY()),"En curso","Por empezar"))))</f>
        <v/>
      </c>
      <c r="I42" s="59">
        <f>IF(OR(D42="",N(F42)=0,N(G42)&gt;=1),"",F42-TODAY())</f>
        <v/>
      </c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0" t="n"/>
      <c r="AV42" s="60" t="n"/>
      <c r="AW42" s="60" t="n"/>
      <c r="AX42" s="60" t="n"/>
      <c r="AY42" s="60" t="n"/>
      <c r="AZ42" s="60" t="n"/>
      <c r="BA42" s="60" t="n"/>
      <c r="BB42" s="60" t="n"/>
      <c r="BC42" s="60" t="n"/>
      <c r="BD42" s="60" t="n"/>
      <c r="BE42" s="60" t="n"/>
      <c r="BF42" s="60" t="n"/>
      <c r="BG42" s="60" t="n"/>
      <c r="BH42" s="60" t="n"/>
      <c r="BI42" s="60" t="n"/>
    </row>
    <row r="43" ht="19" customHeight="1">
      <c r="B43" s="54">
        <f>IF(D43="","",37)</f>
        <v/>
      </c>
      <c r="C43" s="55" t="n"/>
      <c r="D43" s="55" t="n"/>
      <c r="E43" s="56" t="n"/>
      <c r="F43" s="56" t="n"/>
      <c r="G43" s="57" t="n"/>
      <c r="H43" s="58">
        <f>IF(D43="","",IF(N(G43)&gt;=1,"Completada",IF(AND(N(F43)&gt;0,F43&lt;TODAY()),"Atrasada",IF(AND(N(E43)&gt;0,E43&lt;=TODAY()),"En curso","Por empezar"))))</f>
        <v/>
      </c>
      <c r="I43" s="59">
        <f>IF(OR(D43="",N(F43)=0,N(G43)&gt;=1),"",F43-TODAY())</f>
        <v/>
      </c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0" t="n"/>
      <c r="AL43" s="60" t="n"/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</row>
    <row r="44" ht="19" customHeight="1">
      <c r="B44" s="54">
        <f>IF(D44="","",38)</f>
        <v/>
      </c>
      <c r="C44" s="55" t="n"/>
      <c r="D44" s="55" t="n"/>
      <c r="E44" s="56" t="n"/>
      <c r="F44" s="56" t="n"/>
      <c r="G44" s="57" t="n"/>
      <c r="H44" s="58">
        <f>IF(D44="","",IF(N(G44)&gt;=1,"Completada",IF(AND(N(F44)&gt;0,F44&lt;TODAY()),"Atrasada",IF(AND(N(E44)&gt;0,E44&lt;=TODAY()),"En curso","Por empezar"))))</f>
        <v/>
      </c>
      <c r="I44" s="59">
        <f>IF(OR(D44="",N(F44)=0,N(G44)&gt;=1),"",F44-TODAY())</f>
        <v/>
      </c>
      <c r="J44" s="60" t="n"/>
      <c r="K44" s="60" t="n"/>
      <c r="L44" s="60" t="n"/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  <c r="AF44" s="60" t="n"/>
      <c r="AG44" s="60" t="n"/>
      <c r="AH44" s="60" t="n"/>
      <c r="AI44" s="60" t="n"/>
      <c r="AJ44" s="60" t="n"/>
      <c r="AK44" s="60" t="n"/>
      <c r="AL44" s="60" t="n"/>
      <c r="AM44" s="60" t="n"/>
      <c r="AN44" s="60" t="n"/>
      <c r="AO44" s="60" t="n"/>
      <c r="AP44" s="60" t="n"/>
      <c r="AQ44" s="60" t="n"/>
      <c r="AR44" s="60" t="n"/>
      <c r="AS44" s="60" t="n"/>
      <c r="AT44" s="60" t="n"/>
      <c r="AU44" s="60" t="n"/>
      <c r="AV44" s="60" t="n"/>
      <c r="AW44" s="60" t="n"/>
      <c r="AX44" s="60" t="n"/>
      <c r="AY44" s="60" t="n"/>
      <c r="AZ44" s="60" t="n"/>
      <c r="BA44" s="60" t="n"/>
      <c r="BB44" s="60" t="n"/>
      <c r="BC44" s="60" t="n"/>
      <c r="BD44" s="60" t="n"/>
      <c r="BE44" s="60" t="n"/>
      <c r="BF44" s="60" t="n"/>
      <c r="BG44" s="60" t="n"/>
      <c r="BH44" s="60" t="n"/>
      <c r="BI44" s="60" t="n"/>
    </row>
    <row r="45" ht="19" customHeight="1">
      <c r="B45" s="54">
        <f>IF(D45="","",39)</f>
        <v/>
      </c>
      <c r="C45" s="55" t="n"/>
      <c r="D45" s="55" t="n"/>
      <c r="E45" s="56" t="n"/>
      <c r="F45" s="56" t="n"/>
      <c r="G45" s="57" t="n"/>
      <c r="H45" s="58">
        <f>IF(D45="","",IF(N(G45)&gt;=1,"Completada",IF(AND(N(F45)&gt;0,F45&lt;TODAY()),"Atrasada",IF(AND(N(E45)&gt;0,E45&lt;=TODAY()),"En curso","Por empezar"))))</f>
        <v/>
      </c>
      <c r="I45" s="59">
        <f>IF(OR(D45="",N(F45)=0,N(G45)&gt;=1),"",F45-TODAY())</f>
        <v/>
      </c>
      <c r="J45" s="60" t="n"/>
      <c r="K45" s="60" t="n"/>
      <c r="L45" s="60" t="n"/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  <c r="Z45" s="60" t="n"/>
      <c r="AA45" s="60" t="n"/>
      <c r="AB45" s="60" t="n"/>
      <c r="AC45" s="60" t="n"/>
      <c r="AD45" s="60" t="n"/>
      <c r="AE45" s="60" t="n"/>
      <c r="AF45" s="60" t="n"/>
      <c r="AG45" s="60" t="n"/>
      <c r="AH45" s="60" t="n"/>
      <c r="AI45" s="60" t="n"/>
      <c r="AJ45" s="60" t="n"/>
      <c r="AK45" s="60" t="n"/>
      <c r="AL45" s="60" t="n"/>
      <c r="AM45" s="60" t="n"/>
      <c r="AN45" s="60" t="n"/>
      <c r="AO45" s="60" t="n"/>
      <c r="AP45" s="60" t="n"/>
      <c r="AQ45" s="60" t="n"/>
      <c r="AR45" s="60" t="n"/>
      <c r="AS45" s="60" t="n"/>
      <c r="AT45" s="60" t="n"/>
      <c r="AU45" s="60" t="n"/>
      <c r="AV45" s="60" t="n"/>
      <c r="AW45" s="60" t="n"/>
      <c r="AX45" s="60" t="n"/>
      <c r="AY45" s="60" t="n"/>
      <c r="AZ45" s="60" t="n"/>
      <c r="BA45" s="60" t="n"/>
      <c r="BB45" s="60" t="n"/>
      <c r="BC45" s="60" t="n"/>
      <c r="BD45" s="60" t="n"/>
      <c r="BE45" s="60" t="n"/>
      <c r="BF45" s="60" t="n"/>
      <c r="BG45" s="60" t="n"/>
      <c r="BH45" s="60" t="n"/>
      <c r="BI45" s="60" t="n"/>
    </row>
    <row r="46" ht="19" customHeight="1">
      <c r="B46" s="54">
        <f>IF(D46="","",40)</f>
        <v/>
      </c>
      <c r="C46" s="55" t="n"/>
      <c r="D46" s="55" t="n"/>
      <c r="E46" s="56" t="n"/>
      <c r="F46" s="56" t="n"/>
      <c r="G46" s="57" t="n"/>
      <c r="H46" s="58">
        <f>IF(D46="","",IF(N(G46)&gt;=1,"Completada",IF(AND(N(F46)&gt;0,F46&lt;TODAY()),"Atrasada",IF(AND(N(E46)&gt;0,E46&lt;=TODAY()),"En curso","Por empezar"))))</f>
        <v/>
      </c>
      <c r="I46" s="59">
        <f>IF(OR(D46="",N(F46)=0,N(G46)&gt;=1),"",F46-TODAY())</f>
        <v/>
      </c>
      <c r="J46" s="60" t="n"/>
      <c r="K46" s="60" t="n"/>
      <c r="L46" s="60" t="n"/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  <c r="AF46" s="60" t="n"/>
      <c r="AG46" s="60" t="n"/>
      <c r="AH46" s="60" t="n"/>
      <c r="AI46" s="60" t="n"/>
      <c r="AJ46" s="60" t="n"/>
      <c r="AK46" s="60" t="n"/>
      <c r="AL46" s="60" t="n"/>
      <c r="AM46" s="60" t="n"/>
      <c r="AN46" s="60" t="n"/>
      <c r="AO46" s="60" t="n"/>
      <c r="AP46" s="60" t="n"/>
      <c r="AQ46" s="60" t="n"/>
      <c r="AR46" s="60" t="n"/>
      <c r="AS46" s="60" t="n"/>
      <c r="AT46" s="60" t="n"/>
      <c r="AU46" s="60" t="n"/>
      <c r="AV46" s="60" t="n"/>
      <c r="AW46" s="60" t="n"/>
      <c r="AX46" s="60" t="n"/>
      <c r="AY46" s="60" t="n"/>
      <c r="AZ46" s="60" t="n"/>
      <c r="BA46" s="60" t="n"/>
      <c r="BB46" s="60" t="n"/>
      <c r="BC46" s="60" t="n"/>
      <c r="BD46" s="60" t="n"/>
      <c r="BE46" s="60" t="n"/>
      <c r="BF46" s="60" t="n"/>
      <c r="BG46" s="60" t="n"/>
      <c r="BH46" s="60" t="n"/>
      <c r="BI46" s="60" t="n"/>
    </row>
    <row r="48" ht="8" customHeight="1">
      <c r="B48" s="48" t="n"/>
    </row>
    <row r="49" ht="16" customHeight="1">
      <c r="B49" s="49" t="inlineStr">
        <is>
          <t>MIX SHOP DIGITAL  ·  Herramientas inteligentes que simplifican tu vida.</t>
        </is>
      </c>
    </row>
    <row r="50" ht="16" customHeight="1">
      <c r="B50" s="50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962"/>
  <mergeCells count="9">
    <mergeCell ref="B1:E1"/>
    <mergeCell ref="B50:T50"/>
    <mergeCell ref="C5:D5"/>
    <mergeCell ref="B49:T49"/>
    <mergeCell ref="B2:E2"/>
    <mergeCell ref="F1:T1"/>
    <mergeCell ref="B48:T48"/>
    <mergeCell ref="F2:T2"/>
    <mergeCell ref="C4:T4"/>
  </mergeCells>
  <conditionalFormatting sqref="J7:BI46">
    <cfRule type="expression" priority="1" dxfId="4" stopIfTrue="1">
      <formula>AND($D7&lt;&gt;"",N($E7)&gt;0,N($F7)&gt;0,J$6&lt;&gt;"",$E7&lt;=J$6+6,$F7&gt;=J$6,$H7="Completada")</formula>
    </cfRule>
    <cfRule type="expression" priority="2" dxfId="5" stopIfTrue="1">
      <formula>AND($D7&lt;&gt;"",N($E7)&gt;0,N($F7)&gt;0,J$6&lt;&gt;"",$E7&lt;=J$6+6,$F7&gt;=J$6,$H7="Atrasada")</formula>
    </cfRule>
    <cfRule type="expression" priority="3" dxfId="6" stopIfTrue="1">
      <formula>AND($D7&lt;&gt;"",N($E7)&gt;0,N($F7)&gt;0,J$6&lt;&gt;"",$E7&lt;=J$6+6,$F7&gt;=J$6)</formula>
    </cfRule>
    <cfRule type="expression" priority="4" dxfId="7">
      <formula>AND(J$6&lt;&gt;"",TODAY()&gt;=J$6,TODAY()&lt;=J$6+6)</formula>
    </cfRule>
  </conditionalFormatting>
  <conditionalFormatting sqref="J6:BI6">
    <cfRule type="expression" priority="5" dxfId="8">
      <formula>AND(J$6&lt;&gt;"",TODAY()&gt;=J$6,TODAY()&lt;=J$6+6)</formula>
    </cfRule>
  </conditionalFormatting>
  <conditionalFormatting sqref="H7:H46">
    <cfRule type="expression" priority="6" dxfId="0">
      <formula>$H7="Atrasada"</formula>
    </cfRule>
    <cfRule type="expression" priority="7" dxfId="2">
      <formula>$H7="Completada"</formula>
    </cfRule>
    <cfRule type="expression" priority="8" dxfId="9">
      <formula>$H7="En curso"</formula>
    </cfRule>
  </conditionalFormatting>
  <conditionalFormatting sqref="F7:F46">
    <cfRule type="expression" priority="9" dxfId="1">
      <formula>AND(N($E7)&gt;0,N($F7)&gt;0,$F7&lt;$E7)</formula>
    </cfRule>
  </conditionalFormatting>
  <conditionalFormatting sqref="G7:G46">
    <cfRule type="dataBar" priority="10">
      <dataBar showValue="1">
        <cfvo type="num" val="0"/>
        <cfvo type="num" val="1"/>
        <color rgb="008FD3A8"/>
      </dataBar>
    </cfRule>
  </conditionalFormatting>
  <dataValidations count="3">
    <dataValidation sqref="E7:F46" showDropDown="0" showInputMessage="1" showErrorMessage="1" allowBlank="1" errorTitle="Fecha no válida" error="Escribí una fecha válida. Ej.: 15/03/2026" promptTitle="Fecha" prompt="Ej.: 15/03/2026" type="date" operator="between">
      <formula1>36526</formula1>
      <formula2>73415</formula2>
    </dataValidation>
    <dataValidation sqref="C7:C46" showDropDown="0" showInputMessage="1" showErrorMessage="1" allowBlank="1" errorTitle="Valor no válido" error="Elegí un valor de la lista desplegable." promptTitle="Etapa" prompt="Elegí la etapa. Podés editar la lista en AJUSTES." type="list" errorStyle="stop">
      <formula1>ListaEtapa</formula1>
    </dataValidation>
    <dataValidation sqref="G7:G46" showDropDown="0" showInputMessage="1" showErrorMessage="1" allowBlank="1" errorTitle="Dato no válido" error="Escribí un porcentaje entre 0 % y 100 %." promptTitle="Avance" prompt="Cuánto llevás de esta tarea. Ej.: 50 %. Con 100 % queda completada." type="decimal" operator="between">
      <formula1>0</formula1>
      <formula2>1</formula2>
    </dataValidation>
  </dataValidations>
  <hyperlinks>
    <hyperlink ref="C5" location="'PANEL'!A1" display="←  Volver al PANEL"/>
    <hyperlink xmlns:r="http://schemas.openxmlformats.org/officeDocument/2006/relationships" ref="B5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tabColor rgb="00E3A72F"/>
    <outlinePr summaryBelow="1" summaryRight="1"/>
    <pageSetUpPr fitToPage="1"/>
  </sheetPr>
  <dimension ref="B1:E7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4" customWidth="1" min="2" max="2"/>
    <col width="34" customWidth="1" min="3" max="3"/>
    <col width="62" customWidth="1" min="4" max="4"/>
  </cols>
  <sheetData>
    <row r="1" ht="38" customHeight="1">
      <c r="B1" s="1" t="n"/>
      <c r="C1" s="3" t="inlineStr">
        <is>
          <t>REUNIONES</t>
        </is>
      </c>
      <c r="D1" s="2" t="n"/>
      <c r="E1" s="2" t="n"/>
    </row>
    <row r="2" ht="18" customHeight="1">
      <c r="B2" s="4" t="inlineStr">
        <is>
          <t>Herramientas inteligentes que simplifican tu vida.</t>
        </is>
      </c>
      <c r="C2" s="5" t="inlineStr">
        <is>
          <t>Lo que hablás con tu tutor</t>
        </is>
      </c>
    </row>
    <row r="3" ht="5" customHeight="1">
      <c r="B3" s="6" t="n"/>
      <c r="C3" s="8" t="n"/>
      <c r="D3" s="9" t="n"/>
      <c r="E3" s="10" t="n"/>
    </row>
    <row r="4" ht="20" customHeight="1">
      <c r="B4" s="51" t="inlineStr">
        <is>
          <t>← VOLVER</t>
        </is>
      </c>
      <c r="C4" s="12" t="inlineStr">
        <is>
          <t>Anotá cada reunión, también las que ya agendaste para más adelante. El PANEL te muestra la última y la próxima.</t>
        </is>
      </c>
    </row>
    <row r="6" ht="24" customHeight="1">
      <c r="B6" s="15" t="inlineStr">
        <is>
          <t>Fecha</t>
        </is>
      </c>
      <c r="C6" s="15" t="inlineStr">
        <is>
          <t>Tema tratado</t>
        </is>
      </c>
      <c r="D6" s="15" t="inlineStr">
        <is>
          <t>Acuerdos y tareas pendientes</t>
        </is>
      </c>
    </row>
    <row r="7">
      <c r="B7" s="56" t="n">
        <v>46183</v>
      </c>
      <c r="C7" s="55" t="inlineStr">
        <is>
          <t>Elección del tema</t>
        </is>
      </c>
      <c r="D7" s="55" t="inlineStr">
        <is>
          <t>Delimitar el problema y entregar el anteproyecto.</t>
        </is>
      </c>
    </row>
    <row r="8">
      <c r="B8" s="56" t="n">
        <v>46211</v>
      </c>
      <c r="C8" s="55" t="inlineStr">
        <is>
          <t>Anteproyecto</t>
        </is>
      </c>
      <c r="D8" s="55" t="inlineStr">
        <is>
          <t>Ajustar los objetivos. Buscar 15 antecedentes.</t>
        </is>
      </c>
    </row>
    <row r="9">
      <c r="B9" s="56" t="n">
        <v>46246</v>
      </c>
      <c r="C9" s="55" t="inlineStr">
        <is>
          <t>Antecedentes</t>
        </is>
      </c>
      <c r="D9" s="55" t="inlineStr">
        <is>
          <t>Ordenar las fuentes por tema.</t>
        </is>
      </c>
    </row>
    <row r="10">
      <c r="B10" s="56" t="n">
        <v>46281</v>
      </c>
      <c r="C10" s="55" t="inlineStr">
        <is>
          <t>Marco teórico</t>
        </is>
      </c>
      <c r="D10" s="55" t="inlineStr">
        <is>
          <t>Corregir citas y completar el capítulo 2.</t>
        </is>
      </c>
    </row>
    <row r="11">
      <c r="B11" s="56" t="n">
        <v>46309</v>
      </c>
      <c r="C11" s="55" t="inlineStr">
        <is>
          <t>Encuesta</t>
        </is>
      </c>
      <c r="D11" s="55" t="inlineStr">
        <is>
          <t>Validar la encuesta antes de aplicarla.</t>
        </is>
      </c>
    </row>
    <row r="12">
      <c r="B12" s="56" t="n">
        <v>46337</v>
      </c>
      <c r="C12" s="55" t="inlineStr">
        <is>
          <t>Avance del trabajo de campo</t>
        </is>
      </c>
      <c r="D12" s="55" t="n"/>
    </row>
    <row r="13">
      <c r="B13" s="56" t="n">
        <v>46365</v>
      </c>
      <c r="C13" s="55" t="inlineStr">
        <is>
          <t>Primeros resultados</t>
        </is>
      </c>
      <c r="D13" s="55" t="n"/>
    </row>
    <row r="14">
      <c r="B14" s="56" t="n"/>
      <c r="C14" s="55" t="n"/>
      <c r="D14" s="55" t="n"/>
    </row>
    <row r="15">
      <c r="B15" s="56" t="n"/>
      <c r="C15" s="55" t="n"/>
      <c r="D15" s="55" t="n"/>
    </row>
    <row r="16">
      <c r="B16" s="56" t="n"/>
      <c r="C16" s="55" t="n"/>
      <c r="D16" s="55" t="n"/>
    </row>
    <row r="17">
      <c r="B17" s="56" t="n"/>
      <c r="C17" s="55" t="n"/>
      <c r="D17" s="55" t="n"/>
    </row>
    <row r="18">
      <c r="B18" s="56" t="n"/>
      <c r="C18" s="55" t="n"/>
      <c r="D18" s="55" t="n"/>
    </row>
    <row r="19">
      <c r="B19" s="56" t="n"/>
      <c r="C19" s="55" t="n"/>
      <c r="D19" s="55" t="n"/>
    </row>
    <row r="20">
      <c r="B20" s="56" t="n"/>
      <c r="C20" s="55" t="n"/>
      <c r="D20" s="55" t="n"/>
    </row>
    <row r="21">
      <c r="B21" s="56" t="n"/>
      <c r="C21" s="55" t="n"/>
      <c r="D21" s="55" t="n"/>
    </row>
    <row r="22">
      <c r="B22" s="56" t="n"/>
      <c r="C22" s="55" t="n"/>
      <c r="D22" s="55" t="n"/>
    </row>
    <row r="23">
      <c r="B23" s="56" t="n"/>
      <c r="C23" s="55" t="n"/>
      <c r="D23" s="55" t="n"/>
    </row>
    <row r="24">
      <c r="B24" s="56" t="n"/>
      <c r="C24" s="55" t="n"/>
      <c r="D24" s="55" t="n"/>
    </row>
    <row r="25">
      <c r="B25" s="56" t="n"/>
      <c r="C25" s="55" t="n"/>
      <c r="D25" s="55" t="n"/>
    </row>
    <row r="26">
      <c r="B26" s="56" t="n"/>
      <c r="C26" s="55" t="n"/>
      <c r="D26" s="55" t="n"/>
    </row>
    <row r="27">
      <c r="B27" s="56" t="n"/>
      <c r="C27" s="55" t="n"/>
      <c r="D27" s="55" t="n"/>
    </row>
    <row r="28">
      <c r="B28" s="56" t="n"/>
      <c r="C28" s="55" t="n"/>
      <c r="D28" s="55" t="n"/>
    </row>
    <row r="29">
      <c r="B29" s="56" t="n"/>
      <c r="C29" s="55" t="n"/>
      <c r="D29" s="55" t="n"/>
    </row>
    <row r="30">
      <c r="B30" s="56" t="n"/>
      <c r="C30" s="55" t="n"/>
      <c r="D30" s="55" t="n"/>
    </row>
    <row r="31">
      <c r="B31" s="56" t="n"/>
      <c r="C31" s="55" t="n"/>
      <c r="D31" s="55" t="n"/>
    </row>
    <row r="32">
      <c r="B32" s="56" t="n"/>
      <c r="C32" s="55" t="n"/>
      <c r="D32" s="55" t="n"/>
    </row>
    <row r="33">
      <c r="B33" s="56" t="n"/>
      <c r="C33" s="55" t="n"/>
      <c r="D33" s="55" t="n"/>
    </row>
    <row r="34">
      <c r="B34" s="56" t="n"/>
      <c r="C34" s="55" t="n"/>
      <c r="D34" s="55" t="n"/>
    </row>
    <row r="35">
      <c r="B35" s="56" t="n"/>
      <c r="C35" s="55" t="n"/>
      <c r="D35" s="55" t="n"/>
    </row>
    <row r="36">
      <c r="B36" s="56" t="n"/>
      <c r="C36" s="55" t="n"/>
      <c r="D36" s="55" t="n"/>
    </row>
    <row r="37">
      <c r="B37" s="56" t="n"/>
      <c r="C37" s="55" t="n"/>
      <c r="D37" s="55" t="n"/>
    </row>
    <row r="38">
      <c r="B38" s="56" t="n"/>
      <c r="C38" s="55" t="n"/>
      <c r="D38" s="55" t="n"/>
    </row>
    <row r="39">
      <c r="B39" s="56" t="n"/>
      <c r="C39" s="55" t="n"/>
      <c r="D39" s="55" t="n"/>
    </row>
    <row r="40">
      <c r="B40" s="56" t="n"/>
      <c r="C40" s="55" t="n"/>
      <c r="D40" s="55" t="n"/>
    </row>
    <row r="41">
      <c r="B41" s="56" t="n"/>
      <c r="C41" s="55" t="n"/>
      <c r="D41" s="55" t="n"/>
    </row>
    <row r="42">
      <c r="B42" s="56" t="n"/>
      <c r="C42" s="55" t="n"/>
      <c r="D42" s="55" t="n"/>
    </row>
    <row r="43">
      <c r="B43" s="56" t="n"/>
      <c r="C43" s="55" t="n"/>
      <c r="D43" s="55" t="n"/>
    </row>
    <row r="44">
      <c r="B44" s="56" t="n"/>
      <c r="C44" s="55" t="n"/>
      <c r="D44" s="55" t="n"/>
    </row>
    <row r="45">
      <c r="B45" s="56" t="n"/>
      <c r="C45" s="55" t="n"/>
      <c r="D45" s="55" t="n"/>
    </row>
    <row r="46">
      <c r="B46" s="56" t="n"/>
      <c r="C46" s="55" t="n"/>
      <c r="D46" s="55" t="n"/>
    </row>
    <row r="47">
      <c r="B47" s="56" t="n"/>
      <c r="C47" s="55" t="n"/>
      <c r="D47" s="55" t="n"/>
    </row>
    <row r="48">
      <c r="B48" s="56" t="n"/>
      <c r="C48" s="55" t="n"/>
      <c r="D48" s="55" t="n"/>
    </row>
    <row r="49">
      <c r="B49" s="56" t="n"/>
      <c r="C49" s="55" t="n"/>
      <c r="D49" s="55" t="n"/>
    </row>
    <row r="50">
      <c r="B50" s="56" t="n"/>
      <c r="C50" s="55" t="n"/>
      <c r="D50" s="55" t="n"/>
    </row>
    <row r="51">
      <c r="B51" s="56" t="n"/>
      <c r="C51" s="55" t="n"/>
      <c r="D51" s="55" t="n"/>
    </row>
    <row r="52">
      <c r="B52" s="56" t="n"/>
      <c r="C52" s="55" t="n"/>
      <c r="D52" s="55" t="n"/>
    </row>
    <row r="53">
      <c r="B53" s="56" t="n"/>
      <c r="C53" s="55" t="n"/>
      <c r="D53" s="55" t="n"/>
    </row>
    <row r="54">
      <c r="B54" s="56" t="n"/>
      <c r="C54" s="55" t="n"/>
      <c r="D54" s="55" t="n"/>
    </row>
    <row r="55">
      <c r="B55" s="56" t="n"/>
      <c r="C55" s="55" t="n"/>
      <c r="D55" s="55" t="n"/>
    </row>
    <row r="56">
      <c r="B56" s="56" t="n"/>
      <c r="C56" s="55" t="n"/>
      <c r="D56" s="55" t="n"/>
    </row>
    <row r="57">
      <c r="B57" s="56" t="n"/>
      <c r="C57" s="55" t="n"/>
      <c r="D57" s="55" t="n"/>
    </row>
    <row r="58">
      <c r="B58" s="56" t="n"/>
      <c r="C58" s="55" t="n"/>
      <c r="D58" s="55" t="n"/>
    </row>
    <row r="59">
      <c r="B59" s="56" t="n"/>
      <c r="C59" s="55" t="n"/>
      <c r="D59" s="55" t="n"/>
    </row>
    <row r="60">
      <c r="B60" s="56" t="n"/>
      <c r="C60" s="55" t="n"/>
      <c r="D60" s="55" t="n"/>
    </row>
    <row r="61">
      <c r="B61" s="56" t="n"/>
      <c r="C61" s="55" t="n"/>
      <c r="D61" s="55" t="n"/>
    </row>
    <row r="62">
      <c r="B62" s="56" t="n"/>
      <c r="C62" s="55" t="n"/>
      <c r="D62" s="55" t="n"/>
    </row>
    <row r="63">
      <c r="B63" s="56" t="n"/>
      <c r="C63" s="55" t="n"/>
      <c r="D63" s="55" t="n"/>
    </row>
    <row r="64">
      <c r="B64" s="56" t="n"/>
      <c r="C64" s="55" t="n"/>
      <c r="D64" s="55" t="n"/>
    </row>
    <row r="65">
      <c r="B65" s="56" t="n"/>
      <c r="C65" s="55" t="n"/>
      <c r="D65" s="55" t="n"/>
    </row>
    <row r="66">
      <c r="B66" s="56" t="n"/>
      <c r="C66" s="55" t="n"/>
      <c r="D66" s="55" t="n"/>
    </row>
    <row r="68" ht="8" customHeight="1">
      <c r="B68" s="48" t="n"/>
    </row>
    <row r="69" ht="16" customHeight="1">
      <c r="B69" s="49" t="inlineStr">
        <is>
          <t>MIX SHOP DIGITAL  ·  Herramientas inteligentes que simplifican tu vida.</t>
        </is>
      </c>
    </row>
    <row r="70" ht="16" customHeight="1">
      <c r="B70" s="50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0" password="B962"/>
  <mergeCells count="6">
    <mergeCell ref="C2:E2"/>
    <mergeCell ref="C1:E1"/>
    <mergeCell ref="B69:E69"/>
    <mergeCell ref="B70:E70"/>
    <mergeCell ref="B68:E68"/>
    <mergeCell ref="C4:E4"/>
  </mergeCells>
  <conditionalFormatting sqref="B7:D66">
    <cfRule type="expression" priority="1" dxfId="7">
      <formula>AND($B7&lt;&gt;"",$B7&gt;=TODAY())</formula>
    </cfRule>
  </conditionalFormatting>
  <dataValidations count="1">
    <dataValidation sqref="B7:B66" showDropDown="0" showInputMessage="1" showErrorMessage="1" allowBlank="1" errorTitle="Fecha no válida" error="Escribí una fecha válida. Ej.: 15/03/2026" promptTitle="Fecha" prompt="Fecha de la reunión (pasada o futura). Ej.: 15/03/2026" type="date" operator="between">
      <formula1>36526</formula1>
      <formula2>73415</formula2>
    </dataValidation>
  </dataValidations>
  <hyperlinks>
    <hyperlink ref="B4" location="'PANEL'!A1" display="← VOLVER"/>
    <hyperlink xmlns:r="http://schemas.openxmlformats.org/officeDocument/2006/relationships" ref="B70" r:id="rId1"/>
  </hyperlinks>
  <printOptions horizontalCentered="1"/>
  <pageMargins left="0.75" right="0.75" top="1" bottom="1" header="0.5" footer="0.5"/>
  <pageSetup orientation="landscape" paperSize="9" fitToHeight="0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tabColor rgb="003F9B5B"/>
    <outlinePr summaryBelow="1" summaryRight="1"/>
    <pageSetUpPr fitToPage="1"/>
  </sheetPr>
  <dimension ref="B1:D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8" customWidth="1" min="2" max="2"/>
    <col width="38" customWidth="1" min="3" max="3"/>
    <col width="56" customWidth="1" min="4" max="4"/>
  </cols>
  <sheetData>
    <row r="1" ht="38" customHeight="1">
      <c r="B1" s="1" t="n"/>
      <c r="C1" s="3" t="inlineStr">
        <is>
          <t>AJUSTES</t>
        </is>
      </c>
      <c r="D1" s="2" t="n"/>
    </row>
    <row r="2" ht="18" customHeight="1">
      <c r="B2" s="4" t="inlineStr">
        <is>
          <t>Herramientas inteligentes que simplifican tu vida.</t>
        </is>
      </c>
      <c r="C2" s="5" t="inlineStr">
        <is>
          <t>Cargalos una sola vez</t>
        </is>
      </c>
    </row>
    <row r="3" ht="5" customHeight="1">
      <c r="B3" s="6" t="n"/>
      <c r="C3" s="8" t="n"/>
      <c r="D3" s="10" t="n"/>
    </row>
    <row r="4" ht="20" customHeight="1">
      <c r="B4" s="51" t="inlineStr">
        <is>
          <t>← VOLVER</t>
        </is>
      </c>
      <c r="C4" s="12" t="inlineStr">
        <is>
          <t>Completá solamente las celdas amarillas. Estos datos alimentan las demás hojas automáticamente.</t>
        </is>
      </c>
    </row>
    <row r="6">
      <c r="B6" s="32" t="inlineStr">
        <is>
          <t>1. TU TESIS</t>
        </is>
      </c>
    </row>
    <row r="7" ht="28" customHeight="1">
      <c r="B7" s="61" t="inlineStr">
        <is>
          <t>Título del trabajo</t>
        </is>
      </c>
      <c r="C7" s="62" t="inlineStr">
        <is>
          <t>Lectura y rendimiento escolar (EJEMPLO)</t>
        </is>
      </c>
      <c r="D7" s="63" t="inlineStr">
        <is>
          <t>Aparece en el PANEL.</t>
        </is>
      </c>
    </row>
    <row r="8" ht="28" customHeight="1">
      <c r="B8" s="61" t="inlineStr">
        <is>
          <t>Estudiante</t>
        </is>
      </c>
      <c r="C8" s="62" t="inlineStr">
        <is>
          <t>María</t>
        </is>
      </c>
      <c r="D8" s="63" t="inlineStr">
        <is>
          <t>Opcional.</t>
        </is>
      </c>
    </row>
    <row r="9" ht="28" customHeight="1">
      <c r="B9" s="61" t="inlineStr">
        <is>
          <t>Tutor</t>
        </is>
      </c>
      <c r="C9" s="62" t="inlineStr">
        <is>
          <t>Prof. Ramírez</t>
        </is>
      </c>
      <c r="D9" s="63" t="inlineStr">
        <is>
          <t>Opcional.</t>
        </is>
      </c>
    </row>
    <row r="10" ht="28" customHeight="1">
      <c r="B10" s="61" t="inlineStr">
        <is>
          <t>Fecha de inicio</t>
        </is>
      </c>
      <c r="C10" s="64" t="n">
        <v>46174</v>
      </c>
      <c r="D10" s="63" t="inlineStr">
        <is>
          <t>El día en que empezaste (o vas a empezar). El diagrama arranca esa semana.</t>
        </is>
      </c>
    </row>
    <row r="11" ht="28" customHeight="1">
      <c r="B11" s="61" t="inlineStr">
        <is>
          <t>Fecha de entrega o defensa</t>
        </is>
      </c>
      <c r="C11" s="64" t="n">
        <v>46507</v>
      </c>
      <c r="D11" s="63" t="inlineStr">
        <is>
          <t>Tu fecha límite. El PANEL cuenta los días que faltan.</t>
        </is>
      </c>
    </row>
    <row r="13">
      <c r="B13" s="40" t="inlineStr">
        <is>
          <t>2. ETAPAS DE TU TESIS (podés renombrarlas)</t>
        </is>
      </c>
    </row>
    <row r="14">
      <c r="B14" s="12" t="inlineStr">
        <is>
          <t>Se usan en la lista desplegable de CRONOGRAMA. Cambiá el nombre, pero no dejes huecos entre medio.</t>
        </is>
      </c>
    </row>
    <row r="15">
      <c r="B15" s="62" t="inlineStr">
        <is>
          <t>Tema y proyecto</t>
        </is>
      </c>
      <c r="C15" s="12" t="inlineStr">
        <is>
          <t>Hasta 9 etapas.</t>
        </is>
      </c>
    </row>
    <row r="16">
      <c r="B16" s="62" t="inlineStr">
        <is>
          <t>Marco teórico</t>
        </is>
      </c>
    </row>
    <row r="17">
      <c r="B17" s="62" t="inlineStr">
        <is>
          <t>Metodología</t>
        </is>
      </c>
    </row>
    <row r="18">
      <c r="B18" s="62" t="inlineStr">
        <is>
          <t>Trabajo de campo</t>
        </is>
      </c>
    </row>
    <row r="19">
      <c r="B19" s="62" t="inlineStr">
        <is>
          <t>Análisis de datos</t>
        </is>
      </c>
    </row>
    <row r="20">
      <c r="B20" s="62" t="inlineStr">
        <is>
          <t>Redacción</t>
        </is>
      </c>
    </row>
    <row r="21">
      <c r="B21" s="62" t="inlineStr">
        <is>
          <t>Revisión del tutor</t>
        </is>
      </c>
    </row>
    <row r="22">
      <c r="B22" s="62" t="inlineStr">
        <is>
          <t>Formato y entrega</t>
        </is>
      </c>
    </row>
    <row r="23">
      <c r="B23" s="62" t="inlineStr">
        <is>
          <t>Defensa</t>
        </is>
      </c>
    </row>
    <row r="26" ht="8" customHeight="1">
      <c r="B26" s="48" t="n"/>
    </row>
    <row r="27" ht="16" customHeight="1">
      <c r="B27" s="49" t="inlineStr">
        <is>
          <t>MIX SHOP DIGITAL  ·  Herramientas inteligentes que simplifican tu vida.</t>
        </is>
      </c>
    </row>
    <row r="28" ht="16" customHeight="1">
      <c r="B28" s="50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962"/>
  <mergeCells count="8">
    <mergeCell ref="B28:D28"/>
    <mergeCell ref="C2:D2"/>
    <mergeCell ref="C1:D1"/>
    <mergeCell ref="B26:D26"/>
    <mergeCell ref="B27:D27"/>
    <mergeCell ref="B13:D13"/>
    <mergeCell ref="B6:D6"/>
    <mergeCell ref="C4:D4"/>
  </mergeCells>
  <dataValidations count="1">
    <dataValidation sqref="C10:C11" showDropDown="0" showInputMessage="1" showErrorMessage="1" allowBlank="1" errorTitle="Fecha no válida" error="Escribí una fecha válida. Ej.: 15/03/2026" promptTitle="Fecha" prompt="Ej.: 15/03/2026" type="date" operator="between">
      <formula1>36526</formula1>
      <formula2>73415</formula2>
    </dataValidation>
  </dataValidations>
  <hyperlinks>
    <hyperlink ref="B4" location="'PANEL'!A1" display="← VOLVER"/>
    <hyperlink xmlns:r="http://schemas.openxmlformats.org/officeDocument/2006/relationships" ref="B28" r:id="rId1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tabColor rgb="0014532D"/>
    <outlinePr summaryBelow="1" summaryRight="1"/>
    <pageSetUpPr fitToPage="1"/>
  </sheetPr>
  <dimension ref="B1:H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8" customHeight="1">
      <c r="B1" s="1" t="n"/>
      <c r="C1" s="2" t="n"/>
      <c r="D1" s="3" t="inlineStr">
        <is>
          <t>AYUDA</t>
        </is>
      </c>
      <c r="E1" s="2" t="n"/>
      <c r="F1" s="2" t="n"/>
      <c r="G1" s="2" t="n"/>
      <c r="H1" s="2" t="n"/>
    </row>
    <row r="2" ht="18" customHeight="1">
      <c r="B2" s="4" t="inlineStr">
        <is>
          <t>Herramientas inteligentes que simplifican tu vida.</t>
        </is>
      </c>
      <c r="D2" s="5" t="inlineStr">
        <is>
          <t>Se aprende en 2 minutos</t>
        </is>
      </c>
    </row>
    <row r="3" ht="5" customHeight="1">
      <c r="B3" s="6" t="n"/>
      <c r="C3" s="7" t="n"/>
      <c r="D3" s="8" t="n"/>
      <c r="E3" s="9" t="n"/>
      <c r="F3" s="9" t="n"/>
      <c r="G3" s="10" t="n"/>
      <c r="H3" s="11" t="n"/>
    </row>
    <row r="4" ht="20" customHeight="1">
      <c r="B4" s="51" t="inlineStr">
        <is>
          <t>← VOLVER</t>
        </is>
      </c>
      <c r="C4" s="12" t="inlineStr">
        <is>
          <t>Leé esta hoja una vez. Después ya no la vas a necesitar.</t>
        </is>
      </c>
    </row>
    <row r="6">
      <c r="B6" s="32" t="inlineStr">
        <is>
          <t>¿PARA QUÉ SIRVE?</t>
        </is>
      </c>
    </row>
    <row r="7" ht="33" customHeight="1">
      <c r="B7" s="65" t="inlineStr">
        <is>
          <t>Para planificar tu tesis de principio a fin, ver semana a semana qué te toca hacer y saber si vas a llegar a tu fecha de entrega. Sin fórmulas y sin Internet.</t>
        </is>
      </c>
    </row>
    <row r="9">
      <c r="B9" s="40" t="inlineStr">
        <is>
          <t>EMPEZÁ EN 3 PASOS</t>
        </is>
      </c>
    </row>
    <row r="10" ht="33" customHeight="1">
      <c r="B10" s="65" t="inlineStr">
        <is>
          <t>1) En AJUSTES poné el título de tu tesis, tu fecha de inicio y tu fecha de entrega o defensa. Si querés, renombrá las etapas.</t>
        </is>
      </c>
    </row>
    <row r="11" ht="33" customHeight="1">
      <c r="B11" s="65" t="inlineStr">
        <is>
          <t>2) En CRONOGRAMA anotá cada tarea: etapa, descripción, fecha de inicio, fecha de fin y cuánto avanzaste. El diagrama de barras se dibuja solo.</t>
        </is>
      </c>
    </row>
    <row r="12" ht="33" customHeight="1">
      <c r="B12" s="65" t="inlineStr">
        <is>
          <t>3) Mirá el PANEL: avance general, días que faltan, tareas atrasadas y un aviso que te dice cómo vas. Anotá tus reuniones con el tutor en REUNIONES.</t>
        </is>
      </c>
    </row>
    <row r="14">
      <c r="B14" s="32" t="inlineStr">
        <is>
          <t>COLORES DEL DIAGRAMA</t>
        </is>
      </c>
    </row>
    <row r="15" ht="33" customHeight="1">
      <c r="B15" s="65" t="inlineStr">
        <is>
          <t>Azul: tarea en marcha o por empezar.   Verde: tarea completada.   Coral: tarea atrasada.   Columna dorada: la semana de hoy.</t>
        </is>
      </c>
    </row>
    <row r="17">
      <c r="B17" s="40" t="inlineStr">
        <is>
          <t>PREGUNTAS FRECUENTES</t>
        </is>
      </c>
    </row>
    <row r="18" ht="18.5" customHeight="1">
      <c r="B18" s="65" t="inlineStr">
        <is>
          <t>• Veo todo en cero: hacé clic en «Habilitar edición» en la barra amarilla de Excel.</t>
        </is>
      </c>
    </row>
    <row r="19" ht="18.5" customHeight="1">
      <c r="B19" s="65" t="inlineStr">
        <is>
          <t>• ¿Cómo completo una tarea? Poné 100 % en la columna Avance.</t>
        </is>
      </c>
    </row>
    <row r="20" ht="33" customHeight="1">
      <c r="B20" s="65" t="inlineStr">
        <is>
          <t>• ¿Por qué una tarea figura como atrasada? Porque pasó su fecha de fin y todavía no está al 100 %. Corregí el avance o movela de fecha.</t>
        </is>
      </c>
    </row>
    <row r="21" ht="33" customHeight="1">
      <c r="B21" s="65" t="inlineStr">
        <is>
          <t>• ¿Por qué no veo la barra de una tarea? Revisá que tenga fecha de inicio y de fin, y que estén dentro de las 52 semanas desde tu fecha de inicio.</t>
        </is>
      </c>
    </row>
    <row r="22" ht="18.5" customHeight="1">
      <c r="B22" s="65" t="inlineStr">
        <is>
          <t>• ¿Cuántas tareas entran? 40 tareas y 60 reuniones. Cuando se llene, duplicá el archivo.</t>
        </is>
      </c>
    </row>
    <row r="23" ht="33" customHeight="1">
      <c r="B23" s="65" t="inlineStr">
        <is>
          <t>• Solo se editan las celdas amarillas: el resto está protegido para que no se rompan las fórmulas por accidente.</t>
        </is>
      </c>
    </row>
    <row r="25">
      <c r="B25" s="40" t="inlineStr">
        <is>
          <t>SOBRE LA PROTECCIÓN</t>
        </is>
      </c>
    </row>
    <row r="26" ht="18.5" customHeight="1">
      <c r="B26" s="65" t="inlineStr">
        <is>
          <t>La protección de Excel evita borrados accidentales, pero no es un sistema de seguridad criptográfico.</t>
        </is>
      </c>
    </row>
    <row r="28">
      <c r="B28" s="66" t="inlineStr">
        <is>
          <t>MIX SHOP DIGITAL Y TESIS PRO PY</t>
        </is>
      </c>
    </row>
    <row r="29" ht="47.5" customHeight="1">
      <c r="B29" s="65" t="inlineStr">
        <is>
          <t>Esta planilla es una herramienta gratuita de Mix Shop Digital. Si sos tutor de tesis y acompañás a varios estudiantes, conocé TESIS PRO PY, la herramienta para seguir el avance de todos tus tesistas en un solo lugar.</t>
        </is>
      </c>
    </row>
    <row r="30">
      <c r="B30" s="67" t="inlineStr">
        <is>
          <t>→ mixshopdigital.com.py</t>
        </is>
      </c>
    </row>
    <row r="32" ht="8" customHeight="1">
      <c r="B32" s="48" t="n"/>
    </row>
    <row r="33" ht="16" customHeight="1">
      <c r="B33" s="49" t="inlineStr">
        <is>
          <t>MIX SHOP DIGITAL  ·  Herramientas inteligentes que simplifican tu vida.</t>
        </is>
      </c>
    </row>
    <row r="34" ht="16" customHeight="1">
      <c r="B34" s="50" t="inlineStr">
        <is>
          <t>Versión gratuita  ·  Si sos tutor de tesis y acompañás a varios estudiantes, conocé TESIS PRO PY  →  mixshopdigital.com.py</t>
        </is>
      </c>
    </row>
  </sheetData>
  <sheetProtection selectLockedCells="0" selectUnlockedCells="0" sheet="1" objects="1" insertRows="1" insertHyperlinks="1" autoFilter="0" scenarios="1" formatColumns="1" deleteColumns="1" insertColumns="1" pivotTables="1" deleteRows="1" formatCells="1" formatRows="1" sort="1" password="B962"/>
  <mergeCells count="28">
    <mergeCell ref="B9:H9"/>
    <mergeCell ref="D1:H1"/>
    <mergeCell ref="B6:H6"/>
    <mergeCell ref="B30:H30"/>
    <mergeCell ref="B15:H15"/>
    <mergeCell ref="B33:H33"/>
    <mergeCell ref="B20:H20"/>
    <mergeCell ref="B32:H32"/>
    <mergeCell ref="B2:C2"/>
    <mergeCell ref="B26:H26"/>
    <mergeCell ref="D2:H2"/>
    <mergeCell ref="B7:H7"/>
    <mergeCell ref="B25:H25"/>
    <mergeCell ref="B1:C1"/>
    <mergeCell ref="B22:H22"/>
    <mergeCell ref="B18:H18"/>
    <mergeCell ref="B21:H21"/>
    <mergeCell ref="B12:H12"/>
    <mergeCell ref="B11:H11"/>
    <mergeCell ref="B23:H23"/>
    <mergeCell ref="B14:H14"/>
    <mergeCell ref="B17:H17"/>
    <mergeCell ref="C4:H4"/>
    <mergeCell ref="B10:H10"/>
    <mergeCell ref="B29:H29"/>
    <mergeCell ref="B19:H19"/>
    <mergeCell ref="B34:H34"/>
    <mergeCell ref="B28:H28"/>
  </mergeCells>
  <hyperlinks>
    <hyperlink ref="B4" location="'PANEL'!A1" display="← VOLVER"/>
    <hyperlink xmlns:r="http://schemas.openxmlformats.org/officeDocument/2006/relationships" ref="B30" r:id="rId1"/>
    <hyperlink xmlns:r="http://schemas.openxmlformats.org/officeDocument/2006/relationships" ref="B34" r:id="rId2"/>
  </hyperlinks>
  <printOptions horizontalCentered="1"/>
  <pageMargins left="0.75" right="0.75" top="1" bottom="1" header="0.5" footer="0.5"/>
  <pageSetup orientation="landscape" paperSize="9" fitToHeight="1" fitToWidth="1"/>
  <headerFooter>
    <oddHeader>&amp;C&amp;"Arial,Bold"&amp;14 &amp;K14532DMIX SHOP DIGITAL</oddHeader>
    <oddFooter>&amp;L&amp;8 MIX SHOP DIGITAL — Herramientas inteligentes que simplifican tu vida.&amp;C&amp;8 Versión gratuita · mixshopdigital.com.py&amp;R&amp;8 Pág. &amp;P de &amp;N</oddFooter>
    <evenHeader/>
    <evenFooter/>
    <firstHeader/>
    <firstFooter/>
  </headerFooter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MIX SHOP DIGITAL</dc:creator>
  <dc:title xmlns:dc="http://purl.org/dc/elements/1.1/">Cronograma de Tesis – Mix Shop Digital</dc:title>
  <dc:subject xmlns:dc="http://purl.org/dc/elements/1.1/">Versión gratuita</dc:subject>
  <dcterms:created xmlns:dcterms="http://purl.org/dc/terms/" xmlns:xsi="http://www.w3.org/2001/XMLSchema-instance" xsi:type="dcterms:W3CDTF">2026-10-30T15:09:51Z</dcterms:created>
  <dcterms:modified xmlns:dcterms="http://purl.org/dc/terms/" xmlns:xsi="http://www.w3.org/2001/XMLSchema-instance" xsi:type="dcterms:W3CDTF">2026-10-30T15:09:51Z</dcterms:modified>
</cp:coreProperties>
</file>