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CF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SERVICIOS" sheetId="2" state="visible" r:id="rId2"/>
    <sheet xmlns:r="http://schemas.openxmlformats.org/officeDocument/2006/relationships" name="VENCIMIENTOS" sheetId="3" state="visible" r:id="rId3"/>
    <sheet xmlns:r="http://schemas.openxmlformats.org/officeDocument/2006/relationships" name="AJUSTES" sheetId="4" state="visible" r:id="rId4"/>
    <sheet xmlns:r="http://schemas.openxmlformats.org/officeDocument/2006/relationships" name="AYUDA" sheetId="5" state="visible" r:id="rId5"/>
  </sheets>
  <definedNames>
    <definedName name="NombreHogar">'AJUSTES'!$C$7</definedName>
    <definedName name="AnioCtl">'AJUSTES'!$C$8</definedName>
    <definedName name="Moneda">'AJUSTES'!$C$9</definedName>
    <definedName name="PresMes">'AJUSTES'!$C$10</definedName>
    <definedName name="ListaCat">'AJUSTES'!$B$14:$B$21</definedName>
    <definedName name="MesN">'PANEL'!$P$6</definedName>
    <definedName name="_xlnm.Print_Area" localSheetId="0">'PANEL'!$A$1:$M$50</definedName>
    <definedName name="_xlnm.Print_Titles" localSheetId="1">'SERVICIOS'!$7:$7</definedName>
    <definedName name="_xlnm.Print_Area" localSheetId="1">'SERVICIOS'!$A$1:$R$33</definedName>
    <definedName name="_xlnm.Print_Area" localSheetId="2">'VENCIMIENTOS'!$A$1:$G$36</definedName>
    <definedName name="_xlnm.Print_Area" localSheetId="3">'AJUSTES'!$A$1:$D$27</definedName>
    <definedName name="_xlnm.Print_Area" localSheetId="4">'AYUDA'!$A$1:$H$35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-&quot;"/>
    <numFmt numFmtId="165" formatCode="dd/mm/yyyy"/>
    <numFmt numFmtId="166" formatCode="#,##0;[Red]-#,##0;;@"/>
    <numFmt numFmtId="167" formatCode="0%;-0%;&quot;-&quot;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E3B0"/>
      <sz val="13"/>
    </font>
    <font>
      <name val="Arial"/>
      <i val="1"/>
      <color rgb="00FFFFFF"/>
      <sz val="9"/>
    </font>
    <font>
      <name val="Arial"/>
      <color rgb="00FFFFFF"/>
      <sz val="9"/>
    </font>
    <font>
      <name val="Arial"/>
      <color rgb="00000000"/>
      <sz val="10"/>
    </font>
    <font>
      <name val="Arial"/>
      <b val="1"/>
      <color rgb="000B2A7A"/>
      <sz val="13"/>
    </font>
    <font>
      <name val="Arial"/>
      <b val="1"/>
      <color rgb="00E07A5F"/>
      <sz val="9"/>
      <u val="single"/>
    </font>
    <font>
      <name val="Arial"/>
      <i val="1"/>
      <color rgb="006B6B76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3D405B"/>
      <sz val="9"/>
    </font>
    <font>
      <name val="Arial"/>
      <color rgb="006B6B76"/>
      <sz val="8"/>
    </font>
    <font>
      <name val="Arial"/>
      <b val="1"/>
      <color rgb="00FFFFFF"/>
      <sz val="10"/>
    </font>
    <font>
      <name val="Arial"/>
      <b val="1"/>
      <color rgb="003D405B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6B6B76"/>
      <sz val="8"/>
    </font>
    <font>
      <name val="Arial"/>
      <b val="1"/>
      <color rgb="001B7F72"/>
      <sz val="20"/>
    </font>
    <font>
      <name val="Arial"/>
      <b val="1"/>
      <color rgb="00E07A5F"/>
      <sz val="20"/>
    </font>
    <font>
      <name val="Arial"/>
      <b val="1"/>
      <color rgb="003D405B"/>
      <sz val="18"/>
    </font>
    <font>
      <name val="Arial"/>
      <color rgb="006B6B76"/>
      <sz val="9"/>
    </font>
    <font>
      <name val="Arial"/>
      <i val="1"/>
      <color rgb="006B6B76"/>
      <sz val="8"/>
    </font>
    <font>
      <name val="Arial"/>
      <b val="1"/>
      <color rgb="003D405B"/>
      <sz val="20"/>
    </font>
    <font>
      <name val="Arial"/>
      <b val="1"/>
      <color rgb="00B8860B"/>
      <sz val="14"/>
    </font>
    <font>
      <name val="Arial"/>
      <b val="1"/>
      <color rgb="00000000"/>
      <sz val="11"/>
    </font>
    <font>
      <name val="Arial"/>
      <b val="1"/>
      <color rgb="003D405B"/>
      <sz val="11"/>
    </font>
    <font>
      <name val="Arial"/>
      <b val="1"/>
      <color rgb="00E07A5F"/>
      <sz val="11"/>
      <u val="single"/>
    </font>
  </fonts>
  <fills count="15">
    <fill>
      <patternFill/>
    </fill>
    <fill>
      <patternFill patternType="gray125"/>
    </fill>
    <fill>
      <patternFill patternType="solid">
        <fgColor rgb="003D405B"/>
        <bgColor rgb="003D405B"/>
      </patternFill>
    </fill>
    <fill>
      <patternFill patternType="solid">
        <fgColor rgb="00E07A5F"/>
        <bgColor rgb="00E07A5F"/>
      </patternFill>
    </fill>
    <fill>
      <patternFill patternType="solid">
        <fgColor rgb="00F2CC8F"/>
        <bgColor rgb="00F2CC8F"/>
      </patternFill>
    </fill>
    <fill>
      <patternFill patternType="solid">
        <fgColor rgb="00FFFFFF"/>
        <bgColor rgb="00FFFFFF"/>
      </patternFill>
    </fill>
    <fill>
      <patternFill patternType="solid">
        <fgColor rgb="00FF7A00"/>
        <bgColor rgb="00FF7A00"/>
      </patternFill>
    </fill>
    <fill>
      <patternFill patternType="solid">
        <fgColor rgb="00FFB800"/>
        <bgColor rgb="00FFB800"/>
      </patternFill>
    </fill>
    <fill>
      <patternFill patternType="solid">
        <fgColor rgb="000094FB"/>
        <bgColor rgb="000094FB"/>
      </patternFill>
    </fill>
    <fill>
      <patternFill patternType="solid">
        <fgColor rgb="00FDF0DC"/>
        <bgColor rgb="00FDF0DC"/>
      </patternFill>
    </fill>
    <fill>
      <patternFill patternType="solid">
        <fgColor rgb="002ECC40"/>
        <bgColor rgb="002ECC40"/>
      </patternFill>
    </fill>
    <fill>
      <patternFill patternType="solid">
        <fgColor rgb="008727E2"/>
        <bgColor rgb="008727E2"/>
      </patternFill>
    </fill>
    <fill>
      <patternFill patternType="solid">
        <fgColor rgb="00F1EEEA"/>
        <bgColor rgb="00F1EEEA"/>
      </patternFill>
    </fill>
    <fill>
      <patternFill patternType="solid">
        <fgColor rgb="00F1E6D8"/>
        <bgColor rgb="00F1E6D8"/>
      </patternFill>
    </fill>
    <fill>
      <patternFill patternType="solid">
        <fgColor rgb="00FAF6F1"/>
        <bgColor rgb="00FAF6F1"/>
      </patternFill>
    </fill>
  </fills>
  <borders count="6">
    <border>
      <left/>
      <right/>
      <top/>
      <bottom/>
      <diagonal/>
    </border>
    <border>
      <left style="thin">
        <color rgb="00E3D9CC"/>
      </left>
      <right style="thin">
        <color rgb="00E3D9CC"/>
      </right>
      <top style="thin">
        <color rgb="00E3D9CC"/>
      </top>
      <bottom style="thin">
        <color rgb="00E3D9CC"/>
      </bottom>
    </border>
    <border>
      <left style="thick">
        <color rgb="00F2CC8F"/>
      </left>
    </border>
    <border>
      <left style="thick">
        <color rgb="0081B29A"/>
      </left>
    </border>
    <border>
      <left style="thick">
        <color rgb="00E07A5F"/>
      </left>
    </border>
    <border>
      <left style="thick">
        <color rgb="003D405B"/>
      </left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6" fillId="5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6" borderId="0" applyAlignment="1" pivotButton="0" quotePrefix="0" xfId="0">
      <alignment vertical="center"/>
    </xf>
    <xf numFmtId="0" fontId="0" fillId="6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8" fillId="0" borderId="0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0" fillId="9" borderId="1" applyAlignment="1" applyProtection="1" pivotButton="0" quotePrefix="0" xfId="0">
      <alignment horizontal="center" vertical="center"/>
      <protection locked="0" hidden="0"/>
    </xf>
    <xf numFmtId="0" fontId="18" fillId="14" borderId="4" applyAlignment="1" pivotButton="0" quotePrefix="0" xfId="0">
      <alignment horizontal="center" vertical="center"/>
    </xf>
    <xf numFmtId="0" fontId="18" fillId="14" borderId="5" applyAlignment="1" pivotButton="0" quotePrefix="0" xfId="0">
      <alignment horizontal="center" vertical="center"/>
    </xf>
    <xf numFmtId="0" fontId="18" fillId="14" borderId="3" applyAlignment="1" pivotButton="0" quotePrefix="0" xfId="0">
      <alignment horizontal="center" vertical="center"/>
    </xf>
    <xf numFmtId="0" fontId="18" fillId="14" borderId="2" applyAlignment="1" pivotButton="0" quotePrefix="0" xfId="0">
      <alignment horizontal="center" vertical="center"/>
    </xf>
    <xf numFmtId="164" fontId="20" fillId="14" borderId="4" applyAlignment="1" pivotButton="0" quotePrefix="0" xfId="0">
      <alignment horizontal="center" vertical="center"/>
    </xf>
    <xf numFmtId="164" fontId="24" fillId="14" borderId="5" applyAlignment="1" pivotButton="0" quotePrefix="0" xfId="0">
      <alignment horizontal="center" vertical="center"/>
    </xf>
    <xf numFmtId="164" fontId="19" fillId="14" borderId="3" applyAlignment="1" pivotButton="0" quotePrefix="0" xfId="0">
      <alignment horizontal="center" vertical="center"/>
    </xf>
    <xf numFmtId="0" fontId="25" fillId="14" borderId="2" applyAlignment="1" pivotButton="0" quotePrefix="0" xfId="0">
      <alignment horizontal="center" vertical="center"/>
    </xf>
    <xf numFmtId="0" fontId="12" fillId="14" borderId="4" applyAlignment="1" pivotButton="0" quotePrefix="0" xfId="0">
      <alignment horizontal="center" vertical="center"/>
    </xf>
    <xf numFmtId="0" fontId="12" fillId="14" borderId="5" applyAlignment="1" pivotButton="0" quotePrefix="0" xfId="0">
      <alignment horizontal="center" vertical="center"/>
    </xf>
    <xf numFmtId="0" fontId="12" fillId="14" borderId="3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164" fontId="16" fillId="5" borderId="1" applyAlignment="1" pivotButton="0" quotePrefix="0" xfId="0">
      <alignment horizontal="right" vertical="center"/>
    </xf>
    <xf numFmtId="164" fontId="22" fillId="5" borderId="1" applyAlignment="1" pivotButton="0" quotePrefix="0" xfId="0">
      <alignment horizontal="right" vertical="center"/>
    </xf>
    <xf numFmtId="164" fontId="17" fillId="5" borderId="1" applyAlignment="1" pivotButton="0" quotePrefix="0" xfId="0">
      <alignment horizontal="right" vertical="center"/>
    </xf>
    <xf numFmtId="0" fontId="10" fillId="14" borderId="1" applyAlignment="1" pivotButton="0" quotePrefix="0" xfId="0">
      <alignment horizontal="left" vertical="center"/>
    </xf>
    <xf numFmtId="164" fontId="16" fillId="14" borderId="1" applyAlignment="1" pivotButton="0" quotePrefix="0" xfId="0">
      <alignment horizontal="right" vertical="center"/>
    </xf>
    <xf numFmtId="164" fontId="22" fillId="14" borderId="1" applyAlignment="1" pivotButton="0" quotePrefix="0" xfId="0">
      <alignment horizontal="right" vertical="center"/>
    </xf>
    <xf numFmtId="164" fontId="17" fillId="14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164" fontId="17" fillId="13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16" fillId="5" borderId="1" applyAlignment="1" pivotButton="0" quotePrefix="0" xfId="0">
      <alignment vertical="center"/>
    </xf>
    <xf numFmtId="167" fontId="16" fillId="5" borderId="1" applyAlignment="1" pivotButton="0" quotePrefix="0" xfId="0">
      <alignment horizontal="right" vertical="center"/>
    </xf>
    <xf numFmtId="0" fontId="13" fillId="3" borderId="1" applyAlignment="1" pivotButton="0" quotePrefix="0" xfId="0">
      <alignment vertical="center"/>
    </xf>
    <xf numFmtId="9" fontId="17" fillId="13" borderId="1" applyAlignment="1" pivotButton="0" quotePrefix="0" xfId="0">
      <alignment horizontal="right" vertical="center"/>
    </xf>
    <xf numFmtId="0" fontId="5" fillId="2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 wrapText="1"/>
    </xf>
    <xf numFmtId="0" fontId="10" fillId="9" borderId="1" applyAlignment="1" applyProtection="1" pivotButton="0" quotePrefix="0" xfId="0">
      <alignment horizontal="left" vertical="center"/>
      <protection locked="0" hidden="0"/>
    </xf>
    <xf numFmtId="0" fontId="16" fillId="9" borderId="1" applyAlignment="1" applyProtection="1" pivotButton="0" quotePrefix="0" xfId="0">
      <alignment horizontal="left" vertical="center"/>
      <protection locked="0" hidden="0"/>
    </xf>
    <xf numFmtId="1" fontId="16" fillId="9" borderId="1" applyAlignment="1" applyProtection="1" pivotButton="0" quotePrefix="0" xfId="0">
      <alignment horizontal="center" vertical="center"/>
      <protection locked="0" hidden="0"/>
    </xf>
    <xf numFmtId="3" fontId="16" fillId="9" borderId="1" applyAlignment="1" applyProtection="1" pivotButton="0" quotePrefix="0" xfId="0">
      <alignment horizontal="right" vertical="center"/>
      <protection locked="0" hidden="0"/>
    </xf>
    <xf numFmtId="164" fontId="17" fillId="12" borderId="1" applyAlignment="1" pivotButton="0" quotePrefix="0" xfId="0">
      <alignment horizontal="right" vertical="center"/>
    </xf>
    <xf numFmtId="164" fontId="16" fillId="12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/>
    </xf>
    <xf numFmtId="1" fontId="19" fillId="14" borderId="3" applyAlignment="1" pivotButton="0" quotePrefix="0" xfId="0">
      <alignment horizontal="center" vertical="center"/>
    </xf>
    <xf numFmtId="1" fontId="20" fillId="14" borderId="4" applyAlignment="1" pivotButton="0" quotePrefix="0" xfId="0">
      <alignment horizontal="center" vertical="center"/>
    </xf>
    <xf numFmtId="164" fontId="21" fillId="14" borderId="5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center"/>
    </xf>
    <xf numFmtId="165" fontId="16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center" vertical="center"/>
    </xf>
    <xf numFmtId="166" fontId="22" fillId="5" borderId="1" applyAlignment="1" pivotButton="0" quotePrefix="0" xfId="0">
      <alignment horizontal="right" vertical="center"/>
    </xf>
    <xf numFmtId="0" fontId="22" fillId="14" borderId="1" applyAlignment="1" pivotButton="0" quotePrefix="0" xfId="0">
      <alignment horizontal="left" vertical="center"/>
    </xf>
    <xf numFmtId="165" fontId="16" fillId="14" borderId="1" applyAlignment="1" pivotButton="0" quotePrefix="0" xfId="0">
      <alignment horizontal="center" vertical="center"/>
    </xf>
    <xf numFmtId="166" fontId="16" fillId="14" borderId="1" applyAlignment="1" pivotButton="0" quotePrefix="0" xfId="0">
      <alignment horizontal="right" vertical="center"/>
    </xf>
    <xf numFmtId="0" fontId="17" fillId="14" borderId="1" applyAlignment="1" pivotButton="0" quotePrefix="0" xfId="0">
      <alignment horizontal="center" vertical="center"/>
    </xf>
    <xf numFmtId="166" fontId="22" fillId="14" borderId="1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5" fillId="9" borderId="1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1" fontId="5" fillId="9" borderId="1" applyAlignment="1" applyProtection="1" pivotButton="0" quotePrefix="0" xfId="0">
      <alignment horizontal="right" vertical="center"/>
      <protection locked="0" hidden="0"/>
    </xf>
    <xf numFmtId="3" fontId="5" fillId="9" borderId="1" applyAlignment="1" applyProtection="1" pivotButton="0" quotePrefix="0" xfId="0">
      <alignment horizontal="right" vertical="center"/>
      <protection locked="0" hidden="0"/>
    </xf>
    <xf numFmtId="0" fontId="5" fillId="0" borderId="0" applyAlignment="1" pivotButton="0" quotePrefix="0" xfId="0">
      <alignment horizontal="left" vertical="top" wrapText="1"/>
    </xf>
    <xf numFmtId="0" fontId="27" fillId="4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b val="1"/>
        <color rgb="00B00020"/>
      </font>
    </dxf>
    <dxf>
      <font>
        <b val="1"/>
        <color rgb="00B00020"/>
      </font>
      <fill>
        <patternFill patternType="solid">
          <fgColor rgb="00FBD5D5"/>
          <bgColor rgb="00FBD5D5"/>
        </patternFill>
      </fill>
    </dxf>
    <dxf>
      <font>
        <b val="1"/>
        <color rgb="009A4A00"/>
      </font>
      <fill>
        <patternFill patternType="solid">
          <fgColor rgb="00FFE3CF"/>
          <bgColor rgb="00FFE3CF"/>
        </patternFill>
      </fill>
    </dxf>
    <dxf>
      <font>
        <b val="1"/>
        <color rgb="0017653B"/>
      </font>
      <fill>
        <patternFill patternType="solid">
          <fgColor rgb="00D6F0E4"/>
          <bgColor rgb="00D6F0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por mes vs. presupuesto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'PANEL'!C16</f>
            </strRef>
          </tx>
          <spPr>
            <a:solidFill xmlns:a="http://schemas.openxmlformats.org/drawingml/2006/main">
              <a:srgbClr val="E07A5F"/>
            </a:solidFill>
            <a:ln xmlns:a="http://schemas.openxmlformats.org/drawingml/2006/main">
              <a:prstDash val="solid"/>
            </a:ln>
          </spPr>
          <cat>
            <numRef>
              <f>'PANEL'!$B$17:$B$28</f>
            </numRef>
          </cat>
          <val>
            <numRef>
              <f>'PANEL'!$C$17:$C$28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'PANEL'!D16</f>
            </strRef>
          </tx>
          <spPr>
            <a:ln xmlns:a="http://schemas.openxmlformats.org/drawingml/2006/main" w="28000">
              <a:solidFill>
                <a:srgbClr val="3D405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'PANEL'!$D$17:$D$28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¿En qué se va tu plata?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07A5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D405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1B29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2CC8F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56576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6D9DC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A8A6A0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9C5B2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'PANEL'!$B$33:$B$40</f>
            </numRef>
          </cat>
          <val>
            <numRef>
              <f>'PANEL'!$D$33:$D$40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14</row>
      <rowOff>0</rowOff>
    </from>
    <ext cx="4752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30</row>
      <rowOff>0</rowOff>
    </from>
    <ext cx="4752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57150</colOff>
      <row>0</row>
      <rowOff>76200</rowOff>
    </from>
    <ext cx="1409700" cy="285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3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4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hyperlink" Target="https://mixshopdigital.com.py" TargetMode="External" Id="rId2"/><Relationship Type="http://schemas.openxmlformats.org/officeDocument/2006/relationships/drawing" Target="/xl/drawings/drawing5.xml" Id="rId3"/></Relationships>
</file>

<file path=xl/worksheets/sheet1.xml><?xml version="1.0" encoding="utf-8"?>
<worksheet xmlns="http://schemas.openxmlformats.org/spreadsheetml/2006/main">
  <sheetPr>
    <tabColor rgb="00E07A5F"/>
    <outlinePr summaryBelow="1" summaryRight="1"/>
    <pageSetUpPr fitToPage="1"/>
  </sheetPr>
  <dimension ref="B1:P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13" customWidth="1" min="16" max="16"/>
  </cols>
  <sheetData>
    <row r="1" ht="38" customHeight="1">
      <c r="B1" s="1" t="n"/>
      <c r="C1" s="2" t="n"/>
      <c r="D1" s="2" t="n"/>
      <c r="E1" s="2" t="n"/>
      <c r="F1" s="3" t="inlineStr">
        <is>
          <t>SERVICIOS Y GASTOS DEL HOGAR</t>
        </is>
      </c>
      <c r="G1" s="2" t="n"/>
      <c r="H1" s="2" t="n"/>
      <c r="I1" s="2" t="n"/>
      <c r="J1" s="2" t="n"/>
      <c r="K1" s="2" t="n"/>
      <c r="L1" s="2" t="n"/>
      <c r="M1" s="2" t="n"/>
    </row>
    <row r="2" ht="18" customHeight="1">
      <c r="B2" s="4" t="inlineStr">
        <is>
          <t>Herramientas inteligentes que simplifican tu vida.</t>
        </is>
      </c>
      <c r="F2" s="5" t="inlineStr">
        <is>
          <t>Tu hogar, de un vistazo</t>
        </is>
      </c>
    </row>
    <row r="3" ht="5" customHeight="1">
      <c r="B3" s="6" t="n"/>
      <c r="C3" s="7" t="n"/>
      <c r="D3" s="7" t="n"/>
      <c r="E3" s="8" t="n"/>
      <c r="F3" s="8" t="n"/>
      <c r="G3" s="9" t="n"/>
      <c r="H3" s="9" t="n"/>
      <c r="I3" s="9" t="n"/>
      <c r="J3" s="10" t="n"/>
      <c r="K3" s="10" t="n"/>
      <c r="L3" s="11" t="n"/>
      <c r="M3" s="11" t="n"/>
    </row>
    <row r="4" ht="20" customHeight="1">
      <c r="C4" s="12" t="inlineStr">
        <is>
          <t>El panel se arma solo con lo que anotás en SERVICIOS. No hace falta escribir nada acá, salvo elegir el período.</t>
        </is>
      </c>
    </row>
    <row r="5" ht="22" customHeight="1">
      <c r="B5" s="13" t="inlineStr">
        <is>
          <t>+ Anotar pagos</t>
        </is>
      </c>
      <c r="E5" s="14" t="inlineStr">
        <is>
          <t>Vencimientos</t>
        </is>
      </c>
      <c r="G5" s="15" t="inlineStr">
        <is>
          <t>Ajustes</t>
        </is>
      </c>
      <c r="I5" s="15" t="inlineStr">
        <is>
          <t>Ayuda</t>
        </is>
      </c>
    </row>
    <row r="6" ht="22" customHeight="1">
      <c r="B6" s="16" t="inlineStr">
        <is>
          <t>Período a mirar:</t>
        </is>
      </c>
      <c r="C6" s="17" t="inlineStr">
        <is>
          <t>Todo el año</t>
        </is>
      </c>
      <c r="E6" s="12">
        <f>"Año de control: "&amp;AnioCtl&amp;"   ·   "&amp;NombreHogar</f>
        <v/>
      </c>
      <c r="P6">
        <f>IFERROR(MATCH(C6,{"Todo el año","Enero","Febrero","Marzo","Abril","Mayo","Junio","Julio","Agosto","Septiembre","Octubre","Noviembre","Diciembre"},0)-1,0)</f>
        <v/>
      </c>
    </row>
    <row r="8" ht="16" customHeight="1">
      <c r="B8" s="18" t="inlineStr">
        <is>
          <t>GASTO DEL PERÍODO</t>
        </is>
      </c>
      <c r="E8" s="19" t="inlineStr">
        <is>
          <t>PROMEDIO POR MES</t>
        </is>
      </c>
      <c r="H8" s="20" t="inlineStr">
        <is>
          <t>VS. TU PRESUPUESTO</t>
        </is>
      </c>
      <c r="K8" s="21" t="inlineStr">
        <is>
          <t>GASTO MÁS GRANDE</t>
        </is>
      </c>
    </row>
    <row r="9" ht="30" customHeight="1">
      <c r="B9" s="22">
        <f>IF(MesN=0,C29,INDEX(C17:C28,MesN))</f>
        <v/>
      </c>
      <c r="E9" s="23">
        <f>IFERROR(C29/COUNTIF(C17:C28,"&gt;0"),0)</f>
        <v/>
      </c>
      <c r="H9" s="24">
        <f>IF(PresMes=0,"-",IF(MesN=0,E29,INDEX(E17:E28,MesN)))</f>
        <v/>
      </c>
      <c r="K9" s="25">
        <f>IF(MAX(P17:P36)&lt;=0,"-",INDEX(SERVICIOS!B8:B27,MATCH(MAX(P17:P36),P17:P36,0)))</f>
        <v/>
      </c>
    </row>
    <row r="10" ht="15" customHeight="1">
      <c r="B10" s="26">
        <f>Moneda</f>
        <v/>
      </c>
      <c r="E10" s="27" t="inlineStr">
        <is>
          <t>meses con gastos cargados</t>
        </is>
      </c>
      <c r="H10" s="28" t="inlineStr">
        <is>
          <t>positivo: te sobró · negativo: te pasaste</t>
        </is>
      </c>
      <c r="K10" s="29" t="inlineStr">
        <is>
          <t>en el período</t>
        </is>
      </c>
    </row>
    <row r="11" ht="8" customHeight="1"/>
    <row r="12" ht="24" customHeight="1">
      <c r="B12" s="30">
        <f>IF(C29=0,"Cargá tus pagos en la hoja SERVICIOS para ver tu panel.",IF(AND(ISNUMBER(H9),H9&lt;0),"⚠ Te pasaste del presupuesto por "&amp;FIXED(-H9,0)&amp;" "&amp;Moneda&amp;" en este período.",IF(ISNUMBER(H9),"✔ Estás dentro de tu presupuesto.","✔ Tus gastos están cargados. Poné un presupuesto en AJUSTES para compararlo.")))</f>
        <v/>
      </c>
    </row>
    <row r="13" ht="20" customHeight="1">
      <c r="B13" s="31">
        <f>"Este mes: "&amp;VENCIMIENTOS!B8&amp;" pagado(s)  ·  "&amp;VENCIMIENTOS!D8&amp;" pendiente(s)  ·  a pagar aprox. "&amp;FIXED(VENCIMIENTOS!F8,0)&amp;" "&amp;Moneda&amp;"   (detalle en VENCIMIENTOS)"</f>
        <v/>
      </c>
    </row>
    <row r="15">
      <c r="B15" s="32" t="inlineStr">
        <is>
          <t>MES A MES</t>
        </is>
      </c>
    </row>
    <row r="16" ht="22" customHeight="1">
      <c r="B16" s="33" t="inlineStr">
        <is>
          <t>Mes</t>
        </is>
      </c>
      <c r="C16" s="33" t="inlineStr">
        <is>
          <t>Gasto</t>
        </is>
      </c>
      <c r="D16" s="33" t="inlineStr">
        <is>
          <t>Presupuesto</t>
        </is>
      </c>
      <c r="E16" s="33" t="inlineStr">
        <is>
          <t>Diferencia</t>
        </is>
      </c>
    </row>
    <row r="17" ht="18" customHeight="1">
      <c r="B17" s="34" t="inlineStr">
        <is>
          <t>Enero</t>
        </is>
      </c>
      <c r="C17" s="35">
        <f>SERVICIOS!E28</f>
        <v/>
      </c>
      <c r="D17" s="36">
        <f>PresMes</f>
        <v/>
      </c>
      <c r="E17" s="37">
        <f>IF(OR(PresMes=0,C17=0),0,D17-C17)</f>
        <v/>
      </c>
      <c r="P17">
        <f>IF(SERVICIOS!B8="",0,IF(MesN=0,N(SERVICIOS!Q8),N(INDEX(SERVICIOS!E8:P8,MesN))))</f>
        <v/>
      </c>
    </row>
    <row r="18" ht="18" customHeight="1">
      <c r="B18" s="38" t="inlineStr">
        <is>
          <t>Febrero</t>
        </is>
      </c>
      <c r="C18" s="39">
        <f>SERVICIOS!F28</f>
        <v/>
      </c>
      <c r="D18" s="40">
        <f>PresMes</f>
        <v/>
      </c>
      <c r="E18" s="41">
        <f>IF(OR(PresMes=0,C18=0),0,D18-C18)</f>
        <v/>
      </c>
      <c r="P18">
        <f>IF(SERVICIOS!B9="",0,IF(MesN=0,N(SERVICIOS!Q9),N(INDEX(SERVICIOS!E9:P9,MesN))))</f>
        <v/>
      </c>
    </row>
    <row r="19" ht="18" customHeight="1">
      <c r="B19" s="34" t="inlineStr">
        <is>
          <t>Marzo</t>
        </is>
      </c>
      <c r="C19" s="35">
        <f>SERVICIOS!G28</f>
        <v/>
      </c>
      <c r="D19" s="36">
        <f>PresMes</f>
        <v/>
      </c>
      <c r="E19" s="37">
        <f>IF(OR(PresMes=0,C19=0),0,D19-C19)</f>
        <v/>
      </c>
      <c r="P19">
        <f>IF(SERVICIOS!B10="",0,IF(MesN=0,N(SERVICIOS!Q10),N(INDEX(SERVICIOS!E10:P10,MesN))))</f>
        <v/>
      </c>
    </row>
    <row r="20" ht="18" customHeight="1">
      <c r="B20" s="38" t="inlineStr">
        <is>
          <t>Abril</t>
        </is>
      </c>
      <c r="C20" s="39">
        <f>SERVICIOS!H28</f>
        <v/>
      </c>
      <c r="D20" s="40">
        <f>PresMes</f>
        <v/>
      </c>
      <c r="E20" s="41">
        <f>IF(OR(PresMes=0,C20=0),0,D20-C20)</f>
        <v/>
      </c>
      <c r="P20">
        <f>IF(SERVICIOS!B11="",0,IF(MesN=0,N(SERVICIOS!Q11),N(INDEX(SERVICIOS!E11:P11,MesN))))</f>
        <v/>
      </c>
    </row>
    <row r="21" ht="18" customHeight="1">
      <c r="B21" s="34" t="inlineStr">
        <is>
          <t>Mayo</t>
        </is>
      </c>
      <c r="C21" s="35">
        <f>SERVICIOS!I28</f>
        <v/>
      </c>
      <c r="D21" s="36">
        <f>PresMes</f>
        <v/>
      </c>
      <c r="E21" s="37">
        <f>IF(OR(PresMes=0,C21=0),0,D21-C21)</f>
        <v/>
      </c>
      <c r="P21">
        <f>IF(SERVICIOS!B12="",0,IF(MesN=0,N(SERVICIOS!Q12),N(INDEX(SERVICIOS!E12:P12,MesN))))</f>
        <v/>
      </c>
    </row>
    <row r="22" ht="18" customHeight="1">
      <c r="B22" s="38" t="inlineStr">
        <is>
          <t>Junio</t>
        </is>
      </c>
      <c r="C22" s="39">
        <f>SERVICIOS!J28</f>
        <v/>
      </c>
      <c r="D22" s="40">
        <f>PresMes</f>
        <v/>
      </c>
      <c r="E22" s="41">
        <f>IF(OR(PresMes=0,C22=0),0,D22-C22)</f>
        <v/>
      </c>
      <c r="P22">
        <f>IF(SERVICIOS!B13="",0,IF(MesN=0,N(SERVICIOS!Q13),N(INDEX(SERVICIOS!E13:P13,MesN))))</f>
        <v/>
      </c>
    </row>
    <row r="23" ht="18" customHeight="1">
      <c r="B23" s="34" t="inlineStr">
        <is>
          <t>Julio</t>
        </is>
      </c>
      <c r="C23" s="35">
        <f>SERVICIOS!K28</f>
        <v/>
      </c>
      <c r="D23" s="36">
        <f>PresMes</f>
        <v/>
      </c>
      <c r="E23" s="37">
        <f>IF(OR(PresMes=0,C23=0),0,D23-C23)</f>
        <v/>
      </c>
      <c r="P23">
        <f>IF(SERVICIOS!B14="",0,IF(MesN=0,N(SERVICIOS!Q14),N(INDEX(SERVICIOS!E14:P14,MesN))))</f>
        <v/>
      </c>
    </row>
    <row r="24" ht="18" customHeight="1">
      <c r="B24" s="38" t="inlineStr">
        <is>
          <t>Agosto</t>
        </is>
      </c>
      <c r="C24" s="39">
        <f>SERVICIOS!L28</f>
        <v/>
      </c>
      <c r="D24" s="40">
        <f>PresMes</f>
        <v/>
      </c>
      <c r="E24" s="41">
        <f>IF(OR(PresMes=0,C24=0),0,D24-C24)</f>
        <v/>
      </c>
      <c r="P24">
        <f>IF(SERVICIOS!B15="",0,IF(MesN=0,N(SERVICIOS!Q15),N(INDEX(SERVICIOS!E15:P15,MesN))))</f>
        <v/>
      </c>
    </row>
    <row r="25" ht="18" customHeight="1">
      <c r="B25" s="34" t="inlineStr">
        <is>
          <t>Septiembre</t>
        </is>
      </c>
      <c r="C25" s="35">
        <f>SERVICIOS!M28</f>
        <v/>
      </c>
      <c r="D25" s="36">
        <f>PresMes</f>
        <v/>
      </c>
      <c r="E25" s="37">
        <f>IF(OR(PresMes=0,C25=0),0,D25-C25)</f>
        <v/>
      </c>
      <c r="P25">
        <f>IF(SERVICIOS!B16="",0,IF(MesN=0,N(SERVICIOS!Q16),N(INDEX(SERVICIOS!E16:P16,MesN))))</f>
        <v/>
      </c>
    </row>
    <row r="26" ht="18" customHeight="1">
      <c r="B26" s="38" t="inlineStr">
        <is>
          <t>Octubre</t>
        </is>
      </c>
      <c r="C26" s="39">
        <f>SERVICIOS!N28</f>
        <v/>
      </c>
      <c r="D26" s="40">
        <f>PresMes</f>
        <v/>
      </c>
      <c r="E26" s="41">
        <f>IF(OR(PresMes=0,C26=0),0,D26-C26)</f>
        <v/>
      </c>
      <c r="P26">
        <f>IF(SERVICIOS!B17="",0,IF(MesN=0,N(SERVICIOS!Q17),N(INDEX(SERVICIOS!E17:P17,MesN))))</f>
        <v/>
      </c>
    </row>
    <row r="27" ht="18" customHeight="1">
      <c r="B27" s="34" t="inlineStr">
        <is>
          <t>Noviembre</t>
        </is>
      </c>
      <c r="C27" s="35">
        <f>SERVICIOS!O28</f>
        <v/>
      </c>
      <c r="D27" s="36">
        <f>PresMes</f>
        <v/>
      </c>
      <c r="E27" s="37">
        <f>IF(OR(PresMes=0,C27=0),0,D27-C27)</f>
        <v/>
      </c>
      <c r="P27">
        <f>IF(SERVICIOS!B18="",0,IF(MesN=0,N(SERVICIOS!Q18),N(INDEX(SERVICIOS!E18:P18,MesN))))</f>
        <v/>
      </c>
    </row>
    <row r="28" ht="18" customHeight="1">
      <c r="B28" s="38" t="inlineStr">
        <is>
          <t>Diciembre</t>
        </is>
      </c>
      <c r="C28" s="39">
        <f>SERVICIOS!P28</f>
        <v/>
      </c>
      <c r="D28" s="40">
        <f>PresMes</f>
        <v/>
      </c>
      <c r="E28" s="41">
        <f>IF(OR(PresMes=0,C28=0),0,D28-C28)</f>
        <v/>
      </c>
      <c r="P28">
        <f>IF(SERVICIOS!B19="",0,IF(MesN=0,N(SERVICIOS!Q19),N(INDEX(SERVICIOS!E19:P19,MesN))))</f>
        <v/>
      </c>
    </row>
    <row r="29" ht="22" customHeight="1">
      <c r="B29" s="42" t="inlineStr">
        <is>
          <t>TOTAL</t>
        </is>
      </c>
      <c r="C29" s="43">
        <f>SUM(C17:C28)</f>
        <v/>
      </c>
      <c r="D29" s="43">
        <f>SUM(D17:D28)</f>
        <v/>
      </c>
      <c r="E29" s="43">
        <f>SUM(E17:E28)</f>
        <v/>
      </c>
      <c r="P29">
        <f>IF(SERVICIOS!B20="",0,IF(MesN=0,N(SERVICIOS!Q20),N(INDEX(SERVICIOS!E20:P20,MesN))))</f>
        <v/>
      </c>
    </row>
    <row r="30">
      <c r="P30">
        <f>IF(SERVICIOS!B21="",0,IF(MesN=0,N(SERVICIOS!Q21),N(INDEX(SERVICIOS!E21:P21,MesN))))</f>
        <v/>
      </c>
    </row>
    <row r="31">
      <c r="B31" s="44" t="inlineStr">
        <is>
          <t>POR CATEGORÍA (período elegido)</t>
        </is>
      </c>
      <c r="P31">
        <f>IF(SERVICIOS!B22="",0,IF(MesN=0,N(SERVICIOS!Q22),N(INDEX(SERVICIOS!E22:P22,MesN))))</f>
        <v/>
      </c>
    </row>
    <row r="32" ht="22" customHeight="1">
      <c r="B32" s="33" t="inlineStr">
        <is>
          <t>Categoría</t>
        </is>
      </c>
      <c r="D32" s="33" t="inlineStr">
        <is>
          <t>Monto</t>
        </is>
      </c>
      <c r="E32" s="33" t="inlineStr">
        <is>
          <t>%</t>
        </is>
      </c>
      <c r="P32">
        <f>IF(SERVICIOS!B23="",0,IF(MesN=0,N(SERVICIOS!Q23),N(INDEX(SERVICIOS!E23:P23,MesN))))</f>
        <v/>
      </c>
    </row>
    <row r="33" ht="19" customHeight="1">
      <c r="B33" s="45">
        <f>IF('AJUSTES'!$B$14="","",'AJUSTES'!$B$14)</f>
        <v/>
      </c>
      <c r="D33" s="35">
        <f>IF(B33="",0,IF(MesN=0,SUMIF(SERVICIOS!$C$8:$C$27,B33,SERVICIOS!$Q$8:$Q$27),SUMIF(SERVICIOS!$C$8:$C$27,B33,INDEX(SERVICIOS!$E$8:$P$27,0,MesN))))</f>
        <v/>
      </c>
      <c r="E33" s="46">
        <f>IF($D$41=0,0,D33/$D$41)</f>
        <v/>
      </c>
      <c r="P33">
        <f>IF(SERVICIOS!B24="",0,IF(MesN=0,N(SERVICIOS!Q24),N(INDEX(SERVICIOS!E24:P24,MesN))))</f>
        <v/>
      </c>
    </row>
    <row r="34" ht="19" customHeight="1">
      <c r="B34" s="45">
        <f>IF('AJUSTES'!$B$15="","",'AJUSTES'!$B$15)</f>
        <v/>
      </c>
      <c r="D34" s="35">
        <f>IF(B34="",0,IF(MesN=0,SUMIF(SERVICIOS!$C$8:$C$27,B34,SERVICIOS!$Q$8:$Q$27),SUMIF(SERVICIOS!$C$8:$C$27,B34,INDEX(SERVICIOS!$E$8:$P$27,0,MesN))))</f>
        <v/>
      </c>
      <c r="E34" s="46">
        <f>IF($D$41=0,0,D34/$D$41)</f>
        <v/>
      </c>
      <c r="P34">
        <f>IF(SERVICIOS!B25="",0,IF(MesN=0,N(SERVICIOS!Q25),N(INDEX(SERVICIOS!E25:P25,MesN))))</f>
        <v/>
      </c>
    </row>
    <row r="35" ht="19" customHeight="1">
      <c r="B35" s="45">
        <f>IF('AJUSTES'!$B$16="","",'AJUSTES'!$B$16)</f>
        <v/>
      </c>
      <c r="D35" s="35">
        <f>IF(B35="",0,IF(MesN=0,SUMIF(SERVICIOS!$C$8:$C$27,B35,SERVICIOS!$Q$8:$Q$27),SUMIF(SERVICIOS!$C$8:$C$27,B35,INDEX(SERVICIOS!$E$8:$P$27,0,MesN))))</f>
        <v/>
      </c>
      <c r="E35" s="46">
        <f>IF($D$41=0,0,D35/$D$41)</f>
        <v/>
      </c>
      <c r="P35">
        <f>IF(SERVICIOS!B26="",0,IF(MesN=0,N(SERVICIOS!Q26),N(INDEX(SERVICIOS!E26:P26,MesN))))</f>
        <v/>
      </c>
    </row>
    <row r="36" ht="19" customHeight="1">
      <c r="B36" s="45">
        <f>IF('AJUSTES'!$B$17="","",'AJUSTES'!$B$17)</f>
        <v/>
      </c>
      <c r="D36" s="35">
        <f>IF(B36="",0,IF(MesN=0,SUMIF(SERVICIOS!$C$8:$C$27,B36,SERVICIOS!$Q$8:$Q$27),SUMIF(SERVICIOS!$C$8:$C$27,B36,INDEX(SERVICIOS!$E$8:$P$27,0,MesN))))</f>
        <v/>
      </c>
      <c r="E36" s="46">
        <f>IF($D$41=0,0,D36/$D$41)</f>
        <v/>
      </c>
      <c r="P36">
        <f>IF(SERVICIOS!B27="",0,IF(MesN=0,N(SERVICIOS!Q27),N(INDEX(SERVICIOS!E27:P27,MesN))))</f>
        <v/>
      </c>
    </row>
    <row r="37" ht="19" customHeight="1">
      <c r="B37" s="45">
        <f>IF('AJUSTES'!$B$18="","",'AJUSTES'!$B$18)</f>
        <v/>
      </c>
      <c r="D37" s="35">
        <f>IF(B37="",0,IF(MesN=0,SUMIF(SERVICIOS!$C$8:$C$27,B37,SERVICIOS!$Q$8:$Q$27),SUMIF(SERVICIOS!$C$8:$C$27,B37,INDEX(SERVICIOS!$E$8:$P$27,0,MesN))))</f>
        <v/>
      </c>
      <c r="E37" s="46">
        <f>IF($D$41=0,0,D37/$D$41)</f>
        <v/>
      </c>
    </row>
    <row r="38" ht="19" customHeight="1">
      <c r="B38" s="45">
        <f>IF('AJUSTES'!$B$19="","",'AJUSTES'!$B$19)</f>
        <v/>
      </c>
      <c r="D38" s="35">
        <f>IF(B38="",0,IF(MesN=0,SUMIF(SERVICIOS!$C$8:$C$27,B38,SERVICIOS!$Q$8:$Q$27),SUMIF(SERVICIOS!$C$8:$C$27,B38,INDEX(SERVICIOS!$E$8:$P$27,0,MesN))))</f>
        <v/>
      </c>
      <c r="E38" s="46">
        <f>IF($D$41=0,0,D38/$D$41)</f>
        <v/>
      </c>
    </row>
    <row r="39" ht="19" customHeight="1">
      <c r="B39" s="45">
        <f>IF('AJUSTES'!$B$20="","",'AJUSTES'!$B$20)</f>
        <v/>
      </c>
      <c r="D39" s="35">
        <f>IF(B39="",0,IF(MesN=0,SUMIF(SERVICIOS!$C$8:$C$27,B39,SERVICIOS!$Q$8:$Q$27),SUMIF(SERVICIOS!$C$8:$C$27,B39,INDEX(SERVICIOS!$E$8:$P$27,0,MesN))))</f>
        <v/>
      </c>
      <c r="E39" s="46">
        <f>IF($D$41=0,0,D39/$D$41)</f>
        <v/>
      </c>
    </row>
    <row r="40" ht="19" customHeight="1">
      <c r="B40" s="45">
        <f>IF('AJUSTES'!$B$21="","",'AJUSTES'!$B$21)</f>
        <v/>
      </c>
      <c r="D40" s="35">
        <f>IF(B40="",0,IF(MesN=0,SUMIF(SERVICIOS!$C$8:$C$27,B40,SERVICIOS!$Q$8:$Q$27),SUMIF(SERVICIOS!$C$8:$C$27,B40,INDEX(SERVICIOS!$E$8:$P$27,0,MesN))))</f>
        <v/>
      </c>
      <c r="E40" s="46">
        <f>IF($D$41=0,0,D40/$D$41)</f>
        <v/>
      </c>
    </row>
    <row r="41" ht="20" customHeight="1">
      <c r="B41" s="47" t="inlineStr">
        <is>
          <t>TOTAL</t>
        </is>
      </c>
      <c r="D41" s="43">
        <f>SUM(D33:D40)</f>
        <v/>
      </c>
      <c r="E41" s="48">
        <f>SUM(E33:E40)</f>
        <v/>
      </c>
    </row>
    <row r="47" ht="8" customHeight="1">
      <c r="B47" s="49" t="n"/>
    </row>
    <row r="48" ht="16" customHeight="1">
      <c r="B48" s="50" t="inlineStr">
        <is>
          <t>MIX SHOP DIGITAL  ·  Herramientas inteligentes que simplifican tu vida.</t>
        </is>
      </c>
    </row>
    <row r="49" ht="16" customHeight="1">
      <c r="B49" s="51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CF5"/>
  <mergeCells count="40">
    <mergeCell ref="E10:G10"/>
    <mergeCell ref="B48:M48"/>
    <mergeCell ref="C6:D6"/>
    <mergeCell ref="B8:D8"/>
    <mergeCell ref="E5:F5"/>
    <mergeCell ref="E9:G9"/>
    <mergeCell ref="B31:F31"/>
    <mergeCell ref="B13:M13"/>
    <mergeCell ref="E6:M6"/>
    <mergeCell ref="B10:D10"/>
    <mergeCell ref="B39:C39"/>
    <mergeCell ref="K8:M8"/>
    <mergeCell ref="C4:M4"/>
    <mergeCell ref="B9:D9"/>
    <mergeCell ref="B49:M49"/>
    <mergeCell ref="F2:M2"/>
    <mergeCell ref="B5:D5"/>
    <mergeCell ref="B38:C38"/>
    <mergeCell ref="K10:M10"/>
    <mergeCell ref="B34:C34"/>
    <mergeCell ref="B37:C37"/>
    <mergeCell ref="G5:H5"/>
    <mergeCell ref="H8:J8"/>
    <mergeCell ref="I5:J5"/>
    <mergeCell ref="B2:E2"/>
    <mergeCell ref="B40:C40"/>
    <mergeCell ref="B47:M47"/>
    <mergeCell ref="B1:E1"/>
    <mergeCell ref="H10:J10"/>
    <mergeCell ref="B33:C33"/>
    <mergeCell ref="K9:M9"/>
    <mergeCell ref="B15:F15"/>
    <mergeCell ref="E8:G8"/>
    <mergeCell ref="B36:C36"/>
    <mergeCell ref="B32:C32"/>
    <mergeCell ref="H9:J9"/>
    <mergeCell ref="B41:C41"/>
    <mergeCell ref="B35:C35"/>
    <mergeCell ref="F1:M1"/>
    <mergeCell ref="B12:M12"/>
  </mergeCells>
  <conditionalFormatting sqref="H9:J9">
    <cfRule type="cellIs" priority="1" operator="lessThan" dxfId="0">
      <formula>0</formula>
    </cfRule>
  </conditionalFormatting>
  <conditionalFormatting sqref="B12:M12">
    <cfRule type="expression" priority="2" dxfId="1" stopIfTrue="1">
      <formula>ISNUMBER(SEARCH("érdida",$B$12))+ISNUMBER(SEARCH("NO conviene",$B$12))+ISNUMBER(SEARCH("por debajo",$B$12))&gt;0</formula>
    </cfRule>
    <cfRule type="expression" priority="3" dxfId="2" stopIfTrue="1">
      <formula>LEFT($B$12,1)="⚠"</formula>
    </cfRule>
    <cfRule type="expression" priority="4" dxfId="3">
      <formula>LEFT($B$12,1)="✔"</formula>
    </cfRule>
  </conditionalFormatting>
  <conditionalFormatting sqref="C17:C28">
    <cfRule type="dataBar" priority="5">
      <dataBar showValue="1">
        <cfvo type="num" val="0"/>
        <cfvo type="max"/>
        <color rgb="00F2B8A6"/>
      </dataBar>
    </cfRule>
  </conditionalFormatting>
  <conditionalFormatting sqref="D33:D40">
    <cfRule type="dataBar" priority="6">
      <dataBar showValue="1">
        <cfvo type="num" val="0"/>
        <cfvo type="max"/>
        <color rgb="00F2B8A6"/>
      </dataBar>
    </cfRule>
  </conditionalFormatting>
  <dataValidations count="1">
    <dataValidation sqref="C6" showDropDown="0" showInputMessage="1" showErrorMessage="1" allowBlank="0" errorTitle="Valor no válido" error="Elegí un valor de la lista desplegable." promptTitle="Período" prompt="Elegí «Todo el año» o un mes para ver sus resultados." type="list" errorStyle="stop">
      <formula1>"Todo el año,Enero,Febrero,Marzo,Abril,Mayo,Junio,Julio,Agosto,Septiembre,Octubre,Noviembre,Diciembre"</formula1>
    </dataValidation>
  </dataValidations>
  <hyperlinks>
    <hyperlink ref="B5" location="'SERVICIOS'!A1" display="+ Anotar pagos"/>
    <hyperlink ref="E5" location="'VENCIMIENTOS'!A1" display="Vencimientos"/>
    <hyperlink ref="G5" location="'AJUSTES'!A1" display="Ajustes"/>
    <hyperlink ref="I5" location="'AYUDA'!A1" display="Ayuda"/>
    <hyperlink xmlns:r="http://schemas.openxmlformats.org/officeDocument/2006/relationships" ref="B49" r:id="rId1"/>
  </hyperlinks>
  <printOptions horizontalCentered="1"/>
  <pageMargins left="0.75" right="0.75" top="1" bottom="1" header="0.5" footer="0.5"/>
  <pageSetup orientation="portrait" paperSize="9" fitToHeight="1" fitToWidth="1"/>
  <headerFooter>
    <oddHeader>&amp;C&amp;"Arial,Bold"&amp;14 &amp;K3D405BMIX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E07A5F"/>
    <outlinePr summaryBelow="1" summaryRight="1"/>
    <pageSetUpPr fitToPage="1"/>
  </sheetPr>
  <dimension ref="B1:R32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3" customWidth="1" min="17" max="17"/>
    <col width="13" customWidth="1" min="18" max="18"/>
  </cols>
  <sheetData>
    <row r="1" ht="38" customHeight="1">
      <c r="B1" s="1" t="n"/>
      <c r="C1" s="2" t="n"/>
      <c r="D1" s="2" t="n"/>
      <c r="E1" s="2" t="n"/>
      <c r="F1" s="3" t="inlineStr">
        <is>
          <t>SERVICIOS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" customHeight="1">
      <c r="B2" s="4" t="inlineStr">
        <is>
          <t>Herramientas inteligentes que simplifican tu vida.</t>
        </is>
      </c>
      <c r="F2" s="5" t="inlineStr">
        <is>
          <t>Anotá lo que pagás cada mes</t>
        </is>
      </c>
    </row>
    <row r="3" ht="5" customHeight="1">
      <c r="B3" s="6" t="n"/>
      <c r="C3" s="7" t="n"/>
      <c r="D3" s="7" t="n"/>
      <c r="E3" s="7" t="n"/>
      <c r="F3" s="8" t="n"/>
      <c r="G3" s="8" t="n"/>
      <c r="H3" s="8" t="n"/>
      <c r="I3" s="9" t="n"/>
      <c r="J3" s="9" t="n"/>
      <c r="K3" s="9" t="n"/>
      <c r="L3" s="9" t="n"/>
      <c r="M3" s="10" t="n"/>
      <c r="N3" s="10" t="n"/>
      <c r="O3" s="10" t="n"/>
      <c r="P3" s="11" t="n"/>
      <c r="Q3" s="11" t="n"/>
      <c r="R3" s="11" t="n"/>
    </row>
    <row r="4" ht="20" customHeight="1">
      <c r="B4" s="52" t="n"/>
      <c r="C4" s="12" t="inlineStr">
        <is>
          <t>Una fila por servicio o gasto fijo. Escribí cuánto pagaste en cada mes. Se pinta de naranja si sube más de 20 % respecto del mes anterior.</t>
        </is>
      </c>
    </row>
    <row r="5" ht="22" customHeight="1">
      <c r="B5" s="14" t="inlineStr">
        <is>
          <t>←  Volver al PANEL</t>
        </is>
      </c>
      <c r="D5" s="13" t="inlineStr">
        <is>
          <t>Vencimientos</t>
        </is>
      </c>
    </row>
    <row r="6" ht="6" customHeight="1"/>
    <row r="7" ht="30" customHeight="1">
      <c r="B7" s="53" t="inlineStr">
        <is>
          <t>Servicio o gasto</t>
        </is>
      </c>
      <c r="C7" s="53" t="inlineStr">
        <is>
          <t>Categoría</t>
        </is>
      </c>
      <c r="D7" s="53" t="inlineStr">
        <is>
          <t>Vence el día</t>
        </is>
      </c>
      <c r="E7" s="53" t="inlineStr">
        <is>
          <t>Ene</t>
        </is>
      </c>
      <c r="F7" s="53" t="inlineStr">
        <is>
          <t>Feb</t>
        </is>
      </c>
      <c r="G7" s="53" t="inlineStr">
        <is>
          <t>Mar</t>
        </is>
      </c>
      <c r="H7" s="53" t="inlineStr">
        <is>
          <t>Abr</t>
        </is>
      </c>
      <c r="I7" s="53" t="inlineStr">
        <is>
          <t>May</t>
        </is>
      </c>
      <c r="J7" s="53" t="inlineStr">
        <is>
          <t>Jun</t>
        </is>
      </c>
      <c r="K7" s="53" t="inlineStr">
        <is>
          <t>Jul</t>
        </is>
      </c>
      <c r="L7" s="53" t="inlineStr">
        <is>
          <t>Ago</t>
        </is>
      </c>
      <c r="M7" s="53" t="inlineStr">
        <is>
          <t>Sep</t>
        </is>
      </c>
      <c r="N7" s="53" t="inlineStr">
        <is>
          <t>Oct</t>
        </is>
      </c>
      <c r="O7" s="53" t="inlineStr">
        <is>
          <t>Nov</t>
        </is>
      </c>
      <c r="P7" s="53" t="inlineStr">
        <is>
          <t>Dic</t>
        </is>
      </c>
      <c r="Q7" s="53" t="inlineStr">
        <is>
          <t>Total del año</t>
        </is>
      </c>
      <c r="R7" s="53" t="inlineStr">
        <is>
          <t>Promedio por mes</t>
        </is>
      </c>
    </row>
    <row r="8" ht="19" customHeight="1">
      <c r="B8" s="54" t="inlineStr">
        <is>
          <t>Agua</t>
        </is>
      </c>
      <c r="C8" s="55" t="inlineStr">
        <is>
          <t>Servicios básicos</t>
        </is>
      </c>
      <c r="D8" s="56" t="n">
        <v>10</v>
      </c>
      <c r="E8" s="57" t="n">
        <v>62000</v>
      </c>
      <c r="F8" s="57" t="n">
        <v>71000</v>
      </c>
      <c r="G8" s="57" t="n">
        <v>72000</v>
      </c>
      <c r="H8" s="57" t="n">
        <v>56000</v>
      </c>
      <c r="I8" s="57" t="n">
        <v>60000</v>
      </c>
      <c r="J8" s="57" t="n">
        <v>50000</v>
      </c>
      <c r="K8" s="57" t="n">
        <v>53000</v>
      </c>
      <c r="L8" s="57" t="n">
        <v>56000</v>
      </c>
      <c r="M8" s="57" t="n">
        <v>63000</v>
      </c>
      <c r="N8" s="57" t="n">
        <v>80000</v>
      </c>
      <c r="O8" s="57" t="n"/>
      <c r="P8" s="57" t="n"/>
      <c r="Q8" s="58">
        <f>IF($B8="","",SUM(E8:P8))</f>
        <v/>
      </c>
      <c r="R8" s="59">
        <f>IF($B8="","",IFERROR(Q8/COUNTIF(E8:P8,"&gt;0"),0))</f>
        <v/>
      </c>
    </row>
    <row r="9" ht="19" customHeight="1">
      <c r="B9" s="54" t="inlineStr">
        <is>
          <t>Luz</t>
        </is>
      </c>
      <c r="C9" s="55" t="inlineStr">
        <is>
          <t>Servicios básicos</t>
        </is>
      </c>
      <c r="D9" s="56" t="n">
        <v>15</v>
      </c>
      <c r="E9" s="57" t="n">
        <v>201000</v>
      </c>
      <c r="F9" s="57" t="n">
        <v>227000</v>
      </c>
      <c r="G9" s="57" t="n">
        <v>255000</v>
      </c>
      <c r="H9" s="57" t="n">
        <v>175000</v>
      </c>
      <c r="I9" s="57" t="n">
        <v>159000</v>
      </c>
      <c r="J9" s="57" t="n">
        <v>150000</v>
      </c>
      <c r="K9" s="57" t="n">
        <v>139000</v>
      </c>
      <c r="L9" s="57" t="n">
        <v>132000</v>
      </c>
      <c r="M9" s="57" t="n">
        <v>170000</v>
      </c>
      <c r="N9" s="57" t="n">
        <v>233000</v>
      </c>
      <c r="O9" s="57" t="n"/>
      <c r="P9" s="57" t="n"/>
      <c r="Q9" s="58">
        <f>IF($B9="","",SUM(E9:P9))</f>
        <v/>
      </c>
      <c r="R9" s="59">
        <f>IF($B9="","",IFERROR(Q9/COUNTIF(E9:P9,"&gt;0"),0))</f>
        <v/>
      </c>
    </row>
    <row r="10" ht="19" customHeight="1">
      <c r="B10" s="54" t="inlineStr">
        <is>
          <t>Gas</t>
        </is>
      </c>
      <c r="C10" s="55" t="inlineStr">
        <is>
          <t>Servicios básicos</t>
        </is>
      </c>
      <c r="D10" s="56" t="n">
        <v>20</v>
      </c>
      <c r="E10" s="57" t="n"/>
      <c r="F10" s="57" t="n">
        <v>75000</v>
      </c>
      <c r="G10" s="57" t="n"/>
      <c r="H10" s="57" t="n">
        <v>75000</v>
      </c>
      <c r="I10" s="57" t="n"/>
      <c r="J10" s="57" t="n">
        <v>75000</v>
      </c>
      <c r="K10" s="57" t="n"/>
      <c r="L10" s="57" t="n">
        <v>75000</v>
      </c>
      <c r="M10" s="57" t="n"/>
      <c r="N10" s="57" t="n">
        <v>75000</v>
      </c>
      <c r="O10" s="57" t="n"/>
      <c r="P10" s="57" t="n"/>
      <c r="Q10" s="58">
        <f>IF($B10="","",SUM(E10:P10))</f>
        <v/>
      </c>
      <c r="R10" s="59">
        <f>IF($B10="","",IFERROR(Q10/COUNTIF(E10:P10,"&gt;0"),0))</f>
        <v/>
      </c>
    </row>
    <row r="11" ht="19" customHeight="1">
      <c r="B11" s="54" t="inlineStr">
        <is>
          <t>Internet</t>
        </is>
      </c>
      <c r="C11" s="55" t="inlineStr">
        <is>
          <t>Comunicaciones</t>
        </is>
      </c>
      <c r="D11" s="56" t="n">
        <v>31</v>
      </c>
      <c r="E11" s="57" t="n">
        <v>189000</v>
      </c>
      <c r="F11" s="57" t="n">
        <v>189000</v>
      </c>
      <c r="G11" s="57" t="n">
        <v>189000</v>
      </c>
      <c r="H11" s="57" t="n">
        <v>189000</v>
      </c>
      <c r="I11" s="57" t="n">
        <v>189000</v>
      </c>
      <c r="J11" s="57" t="n">
        <v>189000</v>
      </c>
      <c r="K11" s="57" t="n">
        <v>189000</v>
      </c>
      <c r="L11" s="57" t="n">
        <v>189000</v>
      </c>
      <c r="M11" s="57" t="n">
        <v>189000</v>
      </c>
      <c r="N11" s="57" t="n">
        <v>189000</v>
      </c>
      <c r="O11" s="57" t="n"/>
      <c r="P11" s="57" t="n"/>
      <c r="Q11" s="58">
        <f>IF($B11="","",SUM(E11:P11))</f>
        <v/>
      </c>
      <c r="R11" s="59">
        <f>IF($B11="","",IFERROR(Q11/COUNTIF(E11:P11,"&gt;0"),0))</f>
        <v/>
      </c>
    </row>
    <row r="12" ht="19" customHeight="1">
      <c r="B12" s="54" t="inlineStr">
        <is>
          <t>Cable / TV</t>
        </is>
      </c>
      <c r="C12" s="55" t="inlineStr">
        <is>
          <t>Comunicaciones</t>
        </is>
      </c>
      <c r="D12" s="56" t="n">
        <v>5</v>
      </c>
      <c r="E12" s="57" t="n">
        <v>125000</v>
      </c>
      <c r="F12" s="57" t="n">
        <v>125000</v>
      </c>
      <c r="G12" s="57" t="n">
        <v>125000</v>
      </c>
      <c r="H12" s="57" t="n">
        <v>125000</v>
      </c>
      <c r="I12" s="57" t="n">
        <v>125000</v>
      </c>
      <c r="J12" s="57" t="n">
        <v>125000</v>
      </c>
      <c r="K12" s="57" t="n">
        <v>125000</v>
      </c>
      <c r="L12" s="57" t="n">
        <v>125000</v>
      </c>
      <c r="M12" s="57" t="n">
        <v>125000</v>
      </c>
      <c r="N12" s="57" t="n"/>
      <c r="O12" s="57" t="n"/>
      <c r="P12" s="57" t="n"/>
      <c r="Q12" s="58">
        <f>IF($B12="","",SUM(E12:P12))</f>
        <v/>
      </c>
      <c r="R12" s="59">
        <f>IF($B12="","",IFERROR(Q12/COUNTIF(E12:P12,"&gt;0"),0))</f>
        <v/>
      </c>
    </row>
    <row r="13" ht="19" customHeight="1">
      <c r="B13" s="54" t="inlineStr">
        <is>
          <t>Teléfono celular</t>
        </is>
      </c>
      <c r="C13" s="55" t="inlineStr">
        <is>
          <t>Comunicaciones</t>
        </is>
      </c>
      <c r="D13" s="56" t="n">
        <v>12</v>
      </c>
      <c r="E13" s="57" t="n">
        <v>80000</v>
      </c>
      <c r="F13" s="57" t="n">
        <v>80000</v>
      </c>
      <c r="G13" s="57" t="n">
        <v>80000</v>
      </c>
      <c r="H13" s="57" t="n">
        <v>80000</v>
      </c>
      <c r="I13" s="57" t="n">
        <v>80000</v>
      </c>
      <c r="J13" s="57" t="n">
        <v>80000</v>
      </c>
      <c r="K13" s="57" t="n">
        <v>80000</v>
      </c>
      <c r="L13" s="57" t="n">
        <v>80000</v>
      </c>
      <c r="M13" s="57" t="n">
        <v>80000</v>
      </c>
      <c r="N13" s="57" t="n">
        <v>80000</v>
      </c>
      <c r="O13" s="57" t="n"/>
      <c r="P13" s="57" t="n"/>
      <c r="Q13" s="58">
        <f>IF($B13="","",SUM(E13:P13))</f>
        <v/>
      </c>
      <c r="R13" s="59">
        <f>IF($B13="","",IFERROR(Q13/COUNTIF(E13:P13,"&gt;0"),0))</f>
        <v/>
      </c>
    </row>
    <row r="14" ht="19" customHeight="1">
      <c r="B14" s="54" t="inlineStr">
        <is>
          <t>Alquiler o cuota de la casa</t>
        </is>
      </c>
      <c r="C14" s="55" t="inlineStr">
        <is>
          <t>Vivienda</t>
        </is>
      </c>
      <c r="D14" s="56" t="n">
        <v>1</v>
      </c>
      <c r="E14" s="57" t="n">
        <v>2200000</v>
      </c>
      <c r="F14" s="57" t="n">
        <v>2200000</v>
      </c>
      <c r="G14" s="57" t="n">
        <v>2200000</v>
      </c>
      <c r="H14" s="57" t="n">
        <v>2200000</v>
      </c>
      <c r="I14" s="57" t="n">
        <v>2200000</v>
      </c>
      <c r="J14" s="57" t="n">
        <v>2200000</v>
      </c>
      <c r="K14" s="57" t="n">
        <v>2400000</v>
      </c>
      <c r="L14" s="57" t="n">
        <v>2400000</v>
      </c>
      <c r="M14" s="57" t="n">
        <v>2400000</v>
      </c>
      <c r="N14" s="57" t="n">
        <v>2400000</v>
      </c>
      <c r="O14" s="57" t="n"/>
      <c r="P14" s="57" t="n"/>
      <c r="Q14" s="58">
        <f>IF($B14="","",SUM(E14:P14))</f>
        <v/>
      </c>
      <c r="R14" s="59">
        <f>IF($B14="","",IFERROR(Q14/COUNTIF(E14:P14,"&gt;0"),0))</f>
        <v/>
      </c>
    </row>
    <row r="15" ht="19" customHeight="1">
      <c r="B15" s="54" t="inlineStr">
        <is>
          <t>Cuotas del colegio</t>
        </is>
      </c>
      <c r="C15" s="55" t="inlineStr">
        <is>
          <t>Educación</t>
        </is>
      </c>
      <c r="D15" s="56" t="n">
        <v>5</v>
      </c>
      <c r="E15" s="57" t="n"/>
      <c r="F15" s="57" t="n"/>
      <c r="G15" s="57" t="n">
        <v>650000</v>
      </c>
      <c r="H15" s="57" t="n">
        <v>650000</v>
      </c>
      <c r="I15" s="57" t="n">
        <v>650000</v>
      </c>
      <c r="J15" s="57" t="n">
        <v>650000</v>
      </c>
      <c r="K15" s="57" t="n">
        <v>650000</v>
      </c>
      <c r="L15" s="57" t="n">
        <v>650000</v>
      </c>
      <c r="M15" s="57" t="n">
        <v>650000</v>
      </c>
      <c r="N15" s="57" t="n">
        <v>650000</v>
      </c>
      <c r="O15" s="57" t="n"/>
      <c r="P15" s="57" t="n"/>
      <c r="Q15" s="58">
        <f>IF($B15="","",SUM(E15:P15))</f>
        <v/>
      </c>
      <c r="R15" s="59">
        <f>IF($B15="","",IFERROR(Q15/COUNTIF(E15:P15,"&gt;0"),0))</f>
        <v/>
      </c>
    </row>
    <row r="16" ht="19" customHeight="1">
      <c r="B16" s="54" t="inlineStr">
        <is>
          <t>Seguro médico</t>
        </is>
      </c>
      <c r="C16" s="55" t="inlineStr">
        <is>
          <t>Salud</t>
        </is>
      </c>
      <c r="D16" s="56" t="n">
        <v>8</v>
      </c>
      <c r="E16" s="57" t="n">
        <v>395000</v>
      </c>
      <c r="F16" s="57" t="n">
        <v>395000</v>
      </c>
      <c r="G16" s="57" t="n">
        <v>395000</v>
      </c>
      <c r="H16" s="57" t="n">
        <v>395000</v>
      </c>
      <c r="I16" s="57" t="n">
        <v>395000</v>
      </c>
      <c r="J16" s="57" t="n">
        <v>395000</v>
      </c>
      <c r="K16" s="57" t="n">
        <v>395000</v>
      </c>
      <c r="L16" s="57" t="n">
        <v>395000</v>
      </c>
      <c r="M16" s="57" t="n">
        <v>395000</v>
      </c>
      <c r="N16" s="57" t="n"/>
      <c r="O16" s="57" t="n"/>
      <c r="P16" s="57" t="n"/>
      <c r="Q16" s="58">
        <f>IF($B16="","",SUM(E16:P16))</f>
        <v/>
      </c>
      <c r="R16" s="59">
        <f>IF($B16="","",IFERROR(Q16/COUNTIF(E16:P16,"&gt;0"),0))</f>
        <v/>
      </c>
    </row>
    <row r="17" ht="19" customHeight="1">
      <c r="B17" s="54" t="inlineStr">
        <is>
          <t>Otros gastos fijos</t>
        </is>
      </c>
      <c r="C17" s="55" t="inlineStr">
        <is>
          <t>Otros</t>
        </is>
      </c>
      <c r="D17" s="56" t="n">
        <v>25</v>
      </c>
      <c r="E17" s="57" t="n">
        <v>250000</v>
      </c>
      <c r="F17" s="57" t="n">
        <v>400000</v>
      </c>
      <c r="G17" s="57" t="n">
        <v>150000</v>
      </c>
      <c r="H17" s="57" t="n">
        <v>450000</v>
      </c>
      <c r="I17" s="57" t="n">
        <v>250000</v>
      </c>
      <c r="J17" s="57" t="n">
        <v>100000</v>
      </c>
      <c r="K17" s="57" t="n">
        <v>300000</v>
      </c>
      <c r="L17" s="57" t="n">
        <v>400000</v>
      </c>
      <c r="M17" s="57" t="n">
        <v>450000</v>
      </c>
      <c r="N17" s="57" t="n">
        <v>400000</v>
      </c>
      <c r="O17" s="57" t="n"/>
      <c r="P17" s="57" t="n"/>
      <c r="Q17" s="58">
        <f>IF($B17="","",SUM(E17:P17))</f>
        <v/>
      </c>
      <c r="R17" s="59">
        <f>IF($B17="","",IFERROR(Q17/COUNTIF(E17:P17,"&gt;0"),0))</f>
        <v/>
      </c>
    </row>
    <row r="18" ht="19" customHeight="1">
      <c r="B18" s="54" t="n"/>
      <c r="C18" s="55" t="n"/>
      <c r="D18" s="56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8">
        <f>IF($B18="","",SUM(E18:P18))</f>
        <v/>
      </c>
      <c r="R18" s="59">
        <f>IF($B18="","",IFERROR(Q18/COUNTIF(E18:P18,"&gt;0"),0))</f>
        <v/>
      </c>
    </row>
    <row r="19" ht="19" customHeight="1">
      <c r="B19" s="54" t="n"/>
      <c r="C19" s="55" t="n"/>
      <c r="D19" s="56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8">
        <f>IF($B19="","",SUM(E19:P19))</f>
        <v/>
      </c>
      <c r="R19" s="59">
        <f>IF($B19="","",IFERROR(Q19/COUNTIF(E19:P19,"&gt;0"),0))</f>
        <v/>
      </c>
    </row>
    <row r="20" ht="19" customHeight="1">
      <c r="B20" s="54" t="n"/>
      <c r="C20" s="55" t="n"/>
      <c r="D20" s="56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8">
        <f>IF($B20="","",SUM(E20:P20))</f>
        <v/>
      </c>
      <c r="R20" s="59">
        <f>IF($B20="","",IFERROR(Q20/COUNTIF(E20:P20,"&gt;0"),0))</f>
        <v/>
      </c>
    </row>
    <row r="21" ht="19" customHeight="1">
      <c r="B21" s="54" t="n"/>
      <c r="C21" s="55" t="n"/>
      <c r="D21" s="56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8">
        <f>IF($B21="","",SUM(E21:P21))</f>
        <v/>
      </c>
      <c r="R21" s="59">
        <f>IF($B21="","",IFERROR(Q21/COUNTIF(E21:P21,"&gt;0"),0))</f>
        <v/>
      </c>
    </row>
    <row r="22" ht="19" customHeight="1">
      <c r="B22" s="54" t="n"/>
      <c r="C22" s="55" t="n"/>
      <c r="D22" s="56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8">
        <f>IF($B22="","",SUM(E22:P22))</f>
        <v/>
      </c>
      <c r="R22" s="59">
        <f>IF($B22="","",IFERROR(Q22/COUNTIF(E22:P22,"&gt;0"),0))</f>
        <v/>
      </c>
    </row>
    <row r="23" ht="19" customHeight="1">
      <c r="B23" s="54" t="n"/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8">
        <f>IF($B23="","",SUM(E23:P23))</f>
        <v/>
      </c>
      <c r="R23" s="59">
        <f>IF($B23="","",IFERROR(Q23/COUNTIF(E23:P23,"&gt;0"),0))</f>
        <v/>
      </c>
    </row>
    <row r="24" ht="19" customHeight="1">
      <c r="B24" s="54" t="n"/>
      <c r="C24" s="55" t="n"/>
      <c r="D24" s="56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8">
        <f>IF($B24="","",SUM(E24:P24))</f>
        <v/>
      </c>
      <c r="R24" s="59">
        <f>IF($B24="","",IFERROR(Q24/COUNTIF(E24:P24,"&gt;0"),0))</f>
        <v/>
      </c>
    </row>
    <row r="25" ht="19" customHeight="1">
      <c r="B25" s="54" t="n"/>
      <c r="C25" s="55" t="n"/>
      <c r="D25" s="56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8">
        <f>IF($B25="","",SUM(E25:P25))</f>
        <v/>
      </c>
      <c r="R25" s="59">
        <f>IF($B25="","",IFERROR(Q25/COUNTIF(E25:P25,"&gt;0"),0))</f>
        <v/>
      </c>
    </row>
    <row r="26" ht="19" customHeight="1">
      <c r="B26" s="54" t="n"/>
      <c r="C26" s="55" t="n"/>
      <c r="D26" s="56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8">
        <f>IF($B26="","",SUM(E26:P26))</f>
        <v/>
      </c>
      <c r="R26" s="59">
        <f>IF($B26="","",IFERROR(Q26/COUNTIF(E26:P26,"&gt;0"),0))</f>
        <v/>
      </c>
    </row>
    <row r="27" ht="19" customHeight="1">
      <c r="B27" s="54" t="n"/>
      <c r="C27" s="55" t="n"/>
      <c r="D27" s="56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8">
        <f>IF($B27="","",SUM(E27:P27))</f>
        <v/>
      </c>
      <c r="R27" s="59">
        <f>IF($B27="","",IFERROR(Q27/COUNTIF(E27:P27,"&gt;0"),0))</f>
        <v/>
      </c>
    </row>
    <row r="28" ht="24" customHeight="1">
      <c r="B28" s="60" t="inlineStr">
        <is>
          <t>TOTAL DEL MES</t>
        </is>
      </c>
      <c r="E28" s="43">
        <f>SUM(E8:E27)</f>
        <v/>
      </c>
      <c r="F28" s="43">
        <f>SUM(F8:F27)</f>
        <v/>
      </c>
      <c r="G28" s="43">
        <f>SUM(G8:G27)</f>
        <v/>
      </c>
      <c r="H28" s="43">
        <f>SUM(H8:H27)</f>
        <v/>
      </c>
      <c r="I28" s="43">
        <f>SUM(I8:I27)</f>
        <v/>
      </c>
      <c r="J28" s="43">
        <f>SUM(J8:J27)</f>
        <v/>
      </c>
      <c r="K28" s="43">
        <f>SUM(K8:K27)</f>
        <v/>
      </c>
      <c r="L28" s="43">
        <f>SUM(L8:L27)</f>
        <v/>
      </c>
      <c r="M28" s="43">
        <f>SUM(M8:M27)</f>
        <v/>
      </c>
      <c r="N28" s="43">
        <f>SUM(N8:N27)</f>
        <v/>
      </c>
      <c r="O28" s="43">
        <f>SUM(O8:O27)</f>
        <v/>
      </c>
      <c r="P28" s="43">
        <f>SUM(P8:P27)</f>
        <v/>
      </c>
      <c r="Q28" s="43">
        <f>SUM(Q8:Q27)</f>
        <v/>
      </c>
      <c r="R28" s="43">
        <f>IFERROR(Q28/COUNTIF(E28:P28,"&gt;0"),0)</f>
        <v/>
      </c>
    </row>
    <row r="30" ht="8" customHeight="1">
      <c r="B30" s="49" t="n"/>
    </row>
    <row r="31" ht="16" customHeight="1">
      <c r="B31" s="50" t="inlineStr">
        <is>
          <t>MIX SHOP DIGITAL  ·  Herramientas inteligentes que simplifican tu vida.</t>
        </is>
      </c>
    </row>
    <row r="32" ht="16" customHeight="1">
      <c r="B32" s="51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CF5"/>
  <mergeCells count="11">
    <mergeCell ref="B28:D28"/>
    <mergeCell ref="B32:R32"/>
    <mergeCell ref="B1:E1"/>
    <mergeCell ref="D5:F5"/>
    <mergeCell ref="B30:R30"/>
    <mergeCell ref="F1:R1"/>
    <mergeCell ref="B5:C5"/>
    <mergeCell ref="F2:R2"/>
    <mergeCell ref="C4:R4"/>
    <mergeCell ref="B2:E2"/>
    <mergeCell ref="B31:R31"/>
  </mergeCells>
  <conditionalFormatting sqref="F8:P27">
    <cfRule type="expression" priority="1" dxfId="2">
      <formula>AND(F8&gt;0,E8&gt;0,F8&gt;E8*1.2)</formula>
    </cfRule>
  </conditionalFormatting>
  <conditionalFormatting sqref="Q8:Q27">
    <cfRule type="dataBar" priority="2">
      <dataBar showValue="1">
        <cfvo type="num" val="0"/>
        <cfvo type="max"/>
        <color rgb="00F2B8A6"/>
      </dataBar>
    </cfRule>
  </conditionalFormatting>
  <dataValidations count="3">
    <dataValidation sqref="C8:C27" showDropDown="0" showInputMessage="1" showErrorMessage="1" allowBlank="1" errorTitle="Valor no válido" error="Elegí un valor de la lista desplegable." promptTitle="Categoría" prompt="Elegí la categoría. Podés editar la lista en AJUSTES." type="list" errorStyle="stop">
      <formula1>ListaCat</formula1>
    </dataValidation>
    <dataValidation sqref="D8:D27" showDropDown="0" showInputMessage="1" showErrorMessage="1" allowBlank="1" errorTitle="Dato no válido" error="Escribí un día entre 1 y 31." promptTitle="Día de vencimiento" prompt="Día del mes en que vence. Ej.: 15" type="whole" operator="between">
      <formula1>1</formula1>
      <formula2>31</formula2>
    </dataValidation>
    <dataValidation sqref="E8:P27" showDropDown="0" showInputMessage="1" showErrorMessage="1" allowBlank="1" errorTitle="Dato no válido" error="Ingresá un número válido. No se aceptan valores negativos ni texto." promptTitle="Monto pagado" prompt="Lo que pagaste en este mes. Dejalo vacío si todavía no lo pagaste." type="decimal" operator="greaterThanOrEqual">
      <formula1>0</formula1>
    </dataValidation>
  </dataValidations>
  <hyperlinks>
    <hyperlink ref="B5" location="'PANEL'!A1" display="←  Volver al PANEL"/>
    <hyperlink ref="D5" location="'VENCIMIENTOS'!A1" display="Vencimientos"/>
    <hyperlink xmlns:r="http://schemas.openxmlformats.org/officeDocument/2006/relationships" ref="B32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&amp;K3D405BMIX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00F2CC8F"/>
    <outlinePr summaryBelow="1" summaryRight="1"/>
    <pageSetUpPr fitToPage="1"/>
  </sheetPr>
  <dimension ref="B1:G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14" customWidth="1" min="4" max="4"/>
    <col width="16" customWidth="1" min="5" max="5"/>
    <col width="26" customWidth="1" min="6" max="6"/>
    <col width="16" customWidth="1" min="7" max="7"/>
  </cols>
  <sheetData>
    <row r="1" ht="38" customHeight="1">
      <c r="B1" s="1" t="n"/>
      <c r="C1" s="2" t="n"/>
      <c r="D1" s="3" t="inlineStr">
        <is>
          <t>VENCIMIENTOS</t>
        </is>
      </c>
      <c r="E1" s="2" t="n"/>
      <c r="F1" s="2" t="n"/>
      <c r="G1" s="2" t="n"/>
    </row>
    <row r="2" ht="18" customHeight="1">
      <c r="B2" s="4" t="inlineStr">
        <is>
          <t>Herramientas inteligentes que simplifican tu vida.</t>
        </is>
      </c>
      <c r="D2" s="5" t="inlineStr">
        <is>
          <t>¿Qué tenés que pagar este mes?</t>
        </is>
      </c>
    </row>
    <row r="3" ht="5" customHeight="1">
      <c r="B3" s="6" t="n"/>
      <c r="C3" s="7" t="n"/>
      <c r="D3" s="8" t="n"/>
      <c r="E3" s="9" t="n"/>
      <c r="F3" s="10" t="n"/>
      <c r="G3" s="11" t="n"/>
    </row>
    <row r="4" ht="20" customHeight="1">
      <c r="B4" s="52" t="n"/>
      <c r="C4" s="12" t="inlineStr">
        <is>
          <t>Se arma solo con SERVICIOS: si ya cargaste el monto del mes figura como pagado; si no, te avisa cuándo vence.</t>
        </is>
      </c>
    </row>
    <row r="5" ht="22" customHeight="1">
      <c r="B5" s="14" t="inlineStr">
        <is>
          <t>←  Volver al PANEL</t>
        </is>
      </c>
      <c r="D5" s="13" t="inlineStr">
        <is>
          <t>Anotar pagos</t>
        </is>
      </c>
    </row>
    <row r="7" ht="16" customHeight="1">
      <c r="B7" s="20" t="inlineStr">
        <is>
          <t>PAGADOS ESTE MES</t>
        </is>
      </c>
      <c r="D7" s="18" t="inlineStr">
        <is>
          <t>PENDIENTES</t>
        </is>
      </c>
      <c r="F7" s="19" t="inlineStr">
        <is>
          <t>A PAGAR (APROX.)</t>
        </is>
      </c>
    </row>
    <row r="8" ht="30" customHeight="1">
      <c r="B8" s="61">
        <f>COUNTIF(F11:F30,"✔*")</f>
        <v/>
      </c>
      <c r="D8" s="62">
        <f>COUNTIF(B11:B30,"?*")-B8</f>
        <v/>
      </c>
      <c r="F8" s="63">
        <f>SUMIF(F11:F30,"&lt;&gt;✔ Pagado",G11:G30)</f>
        <v/>
      </c>
    </row>
    <row r="9" ht="15" customHeight="1">
      <c r="B9" s="28">
        <f>"de "&amp;COUNTIF(B11:B30,"?*")&amp;" servicios"</f>
        <v/>
      </c>
      <c r="D9" s="26" t="inlineStr">
        <is>
          <t>todavía sin pagar</t>
        </is>
      </c>
      <c r="F9" s="27" t="inlineStr">
        <is>
          <t>según tu promedio</t>
        </is>
      </c>
    </row>
    <row r="10" ht="24" customHeight="1">
      <c r="B10" s="53" t="inlineStr">
        <is>
          <t>Servicio</t>
        </is>
      </c>
      <c r="C10" s="53" t="inlineStr">
        <is>
          <t>Categoría</t>
        </is>
      </c>
      <c r="D10" s="53" t="inlineStr">
        <is>
          <t>Vence</t>
        </is>
      </c>
      <c r="E10" s="53" t="inlineStr">
        <is>
          <t>Pagaste este mes</t>
        </is>
      </c>
      <c r="F10" s="53" t="inlineStr">
        <is>
          <t>Estado</t>
        </is>
      </c>
      <c r="G10" s="53" t="inlineStr">
        <is>
          <t>Tu promedio</t>
        </is>
      </c>
    </row>
    <row r="11" ht="21" customHeight="1">
      <c r="B11" s="34">
        <f>IF(SERVICIOS!B8="","",SERVICIOS!B8)</f>
        <v/>
      </c>
      <c r="C11" s="64">
        <f>IF(B11="","",SERVICIOS!C8&amp;"")</f>
        <v/>
      </c>
      <c r="D11" s="65">
        <f>IF(OR(B11="",N(SERVICIOS!D8)=0),"",DATE(YEAR(TODAY()),MONTH(TODAY()),MIN(SERVICIOS!D8,DAY(DATE(YEAR(TODAY()),MONTH(TODAY())+1,0)))))</f>
        <v/>
      </c>
      <c r="E11" s="66">
        <f>IF(B11="","",IF(YEAR(TODAY())&lt;&gt;AnioCtl,"",INDEX(SERVICIOS!E8:P8,MONTH(TODAY()))))</f>
        <v/>
      </c>
      <c r="F11" s="67">
        <f>IF(B11="","",IF(YEAR(TODAY())&lt;&gt;AnioCtl,"Cambiá el año en AJUSTES",IF(N(E11)&gt;0,"✔ Pagado",IF(D11="","Sin día de vencimiento",IF(D11&lt;TODAY(),"✖ Vencido",IF(D11=TODAY(),"⚠ Vence hoy",IF(D11-TODAY()&lt;=5,"⚠ Vence en "&amp;(D11-TODAY())&amp;" día(s)","Pendiente")))))))</f>
        <v/>
      </c>
      <c r="G11" s="68">
        <f>IF(B11="","",SERVICIOS!R8)</f>
        <v/>
      </c>
    </row>
    <row r="12" ht="21" customHeight="1">
      <c r="B12" s="38">
        <f>IF(SERVICIOS!B9="","",SERVICIOS!B9)</f>
        <v/>
      </c>
      <c r="C12" s="69">
        <f>IF(B12="","",SERVICIOS!C9&amp;"")</f>
        <v/>
      </c>
      <c r="D12" s="70">
        <f>IF(OR(B12="",N(SERVICIOS!D9)=0),"",DATE(YEAR(TODAY()),MONTH(TODAY()),MIN(SERVICIOS!D9,DAY(DATE(YEAR(TODAY()),MONTH(TODAY())+1,0)))))</f>
        <v/>
      </c>
      <c r="E12" s="71">
        <f>IF(B12="","",IF(YEAR(TODAY())&lt;&gt;AnioCtl,"",INDEX(SERVICIOS!E9:P9,MONTH(TODAY()))))</f>
        <v/>
      </c>
      <c r="F12" s="72">
        <f>IF(B12="","",IF(YEAR(TODAY())&lt;&gt;AnioCtl,"Cambiá el año en AJUSTES",IF(N(E12)&gt;0,"✔ Pagado",IF(D12="","Sin día de vencimiento",IF(D12&lt;TODAY(),"✖ Vencido",IF(D12=TODAY(),"⚠ Vence hoy",IF(D12-TODAY()&lt;=5,"⚠ Vence en "&amp;(D12-TODAY())&amp;" día(s)","Pendiente")))))))</f>
        <v/>
      </c>
      <c r="G12" s="73">
        <f>IF(B12="","",SERVICIOS!R9)</f>
        <v/>
      </c>
    </row>
    <row r="13" ht="21" customHeight="1">
      <c r="B13" s="34">
        <f>IF(SERVICIOS!B10="","",SERVICIOS!B10)</f>
        <v/>
      </c>
      <c r="C13" s="64">
        <f>IF(B13="","",SERVICIOS!C10&amp;"")</f>
        <v/>
      </c>
      <c r="D13" s="65">
        <f>IF(OR(B13="",N(SERVICIOS!D10)=0),"",DATE(YEAR(TODAY()),MONTH(TODAY()),MIN(SERVICIOS!D10,DAY(DATE(YEAR(TODAY()),MONTH(TODAY())+1,0)))))</f>
        <v/>
      </c>
      <c r="E13" s="66">
        <f>IF(B13="","",IF(YEAR(TODAY())&lt;&gt;AnioCtl,"",INDEX(SERVICIOS!E10:P10,MONTH(TODAY()))))</f>
        <v/>
      </c>
      <c r="F13" s="67">
        <f>IF(B13="","",IF(YEAR(TODAY())&lt;&gt;AnioCtl,"Cambiá el año en AJUSTES",IF(N(E13)&gt;0,"✔ Pagado",IF(D13="","Sin día de vencimiento",IF(D13&lt;TODAY(),"✖ Vencido",IF(D13=TODAY(),"⚠ Vence hoy",IF(D13-TODAY()&lt;=5,"⚠ Vence en "&amp;(D13-TODAY())&amp;" día(s)","Pendiente")))))))</f>
        <v/>
      </c>
      <c r="G13" s="68">
        <f>IF(B13="","",SERVICIOS!R10)</f>
        <v/>
      </c>
    </row>
    <row r="14" ht="21" customHeight="1">
      <c r="B14" s="38">
        <f>IF(SERVICIOS!B11="","",SERVICIOS!B11)</f>
        <v/>
      </c>
      <c r="C14" s="69">
        <f>IF(B14="","",SERVICIOS!C11&amp;"")</f>
        <v/>
      </c>
      <c r="D14" s="70">
        <f>IF(OR(B14="",N(SERVICIOS!D11)=0),"",DATE(YEAR(TODAY()),MONTH(TODAY()),MIN(SERVICIOS!D11,DAY(DATE(YEAR(TODAY()),MONTH(TODAY())+1,0)))))</f>
        <v/>
      </c>
      <c r="E14" s="71">
        <f>IF(B14="","",IF(YEAR(TODAY())&lt;&gt;AnioCtl,"",INDEX(SERVICIOS!E11:P11,MONTH(TODAY()))))</f>
        <v/>
      </c>
      <c r="F14" s="72">
        <f>IF(B14="","",IF(YEAR(TODAY())&lt;&gt;AnioCtl,"Cambiá el año en AJUSTES",IF(N(E14)&gt;0,"✔ Pagado",IF(D14="","Sin día de vencimiento",IF(D14&lt;TODAY(),"✖ Vencido",IF(D14=TODAY(),"⚠ Vence hoy",IF(D14-TODAY()&lt;=5,"⚠ Vence en "&amp;(D14-TODAY())&amp;" día(s)","Pendiente")))))))</f>
        <v/>
      </c>
      <c r="G14" s="73">
        <f>IF(B14="","",SERVICIOS!R11)</f>
        <v/>
      </c>
    </row>
    <row r="15" ht="21" customHeight="1">
      <c r="B15" s="34">
        <f>IF(SERVICIOS!B12="","",SERVICIOS!B12)</f>
        <v/>
      </c>
      <c r="C15" s="64">
        <f>IF(B15="","",SERVICIOS!C12&amp;"")</f>
        <v/>
      </c>
      <c r="D15" s="65">
        <f>IF(OR(B15="",N(SERVICIOS!D12)=0),"",DATE(YEAR(TODAY()),MONTH(TODAY()),MIN(SERVICIOS!D12,DAY(DATE(YEAR(TODAY()),MONTH(TODAY())+1,0)))))</f>
        <v/>
      </c>
      <c r="E15" s="66">
        <f>IF(B15="","",IF(YEAR(TODAY())&lt;&gt;AnioCtl,"",INDEX(SERVICIOS!E12:P12,MONTH(TODAY()))))</f>
        <v/>
      </c>
      <c r="F15" s="67">
        <f>IF(B15="","",IF(YEAR(TODAY())&lt;&gt;AnioCtl,"Cambiá el año en AJUSTES",IF(N(E15)&gt;0,"✔ Pagado",IF(D15="","Sin día de vencimiento",IF(D15&lt;TODAY(),"✖ Vencido",IF(D15=TODAY(),"⚠ Vence hoy",IF(D15-TODAY()&lt;=5,"⚠ Vence en "&amp;(D15-TODAY())&amp;" día(s)","Pendiente")))))))</f>
        <v/>
      </c>
      <c r="G15" s="68">
        <f>IF(B15="","",SERVICIOS!R12)</f>
        <v/>
      </c>
    </row>
    <row r="16" ht="21" customHeight="1">
      <c r="B16" s="38">
        <f>IF(SERVICIOS!B13="","",SERVICIOS!B13)</f>
        <v/>
      </c>
      <c r="C16" s="69">
        <f>IF(B16="","",SERVICIOS!C13&amp;"")</f>
        <v/>
      </c>
      <c r="D16" s="70">
        <f>IF(OR(B16="",N(SERVICIOS!D13)=0),"",DATE(YEAR(TODAY()),MONTH(TODAY()),MIN(SERVICIOS!D13,DAY(DATE(YEAR(TODAY()),MONTH(TODAY())+1,0)))))</f>
        <v/>
      </c>
      <c r="E16" s="71">
        <f>IF(B16="","",IF(YEAR(TODAY())&lt;&gt;AnioCtl,"",INDEX(SERVICIOS!E13:P13,MONTH(TODAY()))))</f>
        <v/>
      </c>
      <c r="F16" s="72">
        <f>IF(B16="","",IF(YEAR(TODAY())&lt;&gt;AnioCtl,"Cambiá el año en AJUSTES",IF(N(E16)&gt;0,"✔ Pagado",IF(D16="","Sin día de vencimiento",IF(D16&lt;TODAY(),"✖ Vencido",IF(D16=TODAY(),"⚠ Vence hoy",IF(D16-TODAY()&lt;=5,"⚠ Vence en "&amp;(D16-TODAY())&amp;" día(s)","Pendiente")))))))</f>
        <v/>
      </c>
      <c r="G16" s="73">
        <f>IF(B16="","",SERVICIOS!R13)</f>
        <v/>
      </c>
    </row>
    <row r="17" ht="21" customHeight="1">
      <c r="B17" s="34">
        <f>IF(SERVICIOS!B14="","",SERVICIOS!B14)</f>
        <v/>
      </c>
      <c r="C17" s="64">
        <f>IF(B17="","",SERVICIOS!C14&amp;"")</f>
        <v/>
      </c>
      <c r="D17" s="65">
        <f>IF(OR(B17="",N(SERVICIOS!D14)=0),"",DATE(YEAR(TODAY()),MONTH(TODAY()),MIN(SERVICIOS!D14,DAY(DATE(YEAR(TODAY()),MONTH(TODAY())+1,0)))))</f>
        <v/>
      </c>
      <c r="E17" s="66">
        <f>IF(B17="","",IF(YEAR(TODAY())&lt;&gt;AnioCtl,"",INDEX(SERVICIOS!E14:P14,MONTH(TODAY()))))</f>
        <v/>
      </c>
      <c r="F17" s="67">
        <f>IF(B17="","",IF(YEAR(TODAY())&lt;&gt;AnioCtl,"Cambiá el año en AJUSTES",IF(N(E17)&gt;0,"✔ Pagado",IF(D17="","Sin día de vencimiento",IF(D17&lt;TODAY(),"✖ Vencido",IF(D17=TODAY(),"⚠ Vence hoy",IF(D17-TODAY()&lt;=5,"⚠ Vence en "&amp;(D17-TODAY())&amp;" día(s)","Pendiente")))))))</f>
        <v/>
      </c>
      <c r="G17" s="68">
        <f>IF(B17="","",SERVICIOS!R14)</f>
        <v/>
      </c>
    </row>
    <row r="18" ht="21" customHeight="1">
      <c r="B18" s="38">
        <f>IF(SERVICIOS!B15="","",SERVICIOS!B15)</f>
        <v/>
      </c>
      <c r="C18" s="69">
        <f>IF(B18="","",SERVICIOS!C15&amp;"")</f>
        <v/>
      </c>
      <c r="D18" s="70">
        <f>IF(OR(B18="",N(SERVICIOS!D15)=0),"",DATE(YEAR(TODAY()),MONTH(TODAY()),MIN(SERVICIOS!D15,DAY(DATE(YEAR(TODAY()),MONTH(TODAY())+1,0)))))</f>
        <v/>
      </c>
      <c r="E18" s="71">
        <f>IF(B18="","",IF(YEAR(TODAY())&lt;&gt;AnioCtl,"",INDEX(SERVICIOS!E15:P15,MONTH(TODAY()))))</f>
        <v/>
      </c>
      <c r="F18" s="72">
        <f>IF(B18="","",IF(YEAR(TODAY())&lt;&gt;AnioCtl,"Cambiá el año en AJUSTES",IF(N(E18)&gt;0,"✔ Pagado",IF(D18="","Sin día de vencimiento",IF(D18&lt;TODAY(),"✖ Vencido",IF(D18=TODAY(),"⚠ Vence hoy",IF(D18-TODAY()&lt;=5,"⚠ Vence en "&amp;(D18-TODAY())&amp;" día(s)","Pendiente")))))))</f>
        <v/>
      </c>
      <c r="G18" s="73">
        <f>IF(B18="","",SERVICIOS!R15)</f>
        <v/>
      </c>
    </row>
    <row r="19" ht="21" customHeight="1">
      <c r="B19" s="34">
        <f>IF(SERVICIOS!B16="","",SERVICIOS!B16)</f>
        <v/>
      </c>
      <c r="C19" s="64">
        <f>IF(B19="","",SERVICIOS!C16&amp;"")</f>
        <v/>
      </c>
      <c r="D19" s="65">
        <f>IF(OR(B19="",N(SERVICIOS!D16)=0),"",DATE(YEAR(TODAY()),MONTH(TODAY()),MIN(SERVICIOS!D16,DAY(DATE(YEAR(TODAY()),MONTH(TODAY())+1,0)))))</f>
        <v/>
      </c>
      <c r="E19" s="66">
        <f>IF(B19="","",IF(YEAR(TODAY())&lt;&gt;AnioCtl,"",INDEX(SERVICIOS!E16:P16,MONTH(TODAY()))))</f>
        <v/>
      </c>
      <c r="F19" s="67">
        <f>IF(B19="","",IF(YEAR(TODAY())&lt;&gt;AnioCtl,"Cambiá el año en AJUSTES",IF(N(E19)&gt;0,"✔ Pagado",IF(D19="","Sin día de vencimiento",IF(D19&lt;TODAY(),"✖ Vencido",IF(D19=TODAY(),"⚠ Vence hoy",IF(D19-TODAY()&lt;=5,"⚠ Vence en "&amp;(D19-TODAY())&amp;" día(s)","Pendiente")))))))</f>
        <v/>
      </c>
      <c r="G19" s="68">
        <f>IF(B19="","",SERVICIOS!R16)</f>
        <v/>
      </c>
    </row>
    <row r="20" ht="21" customHeight="1">
      <c r="B20" s="38">
        <f>IF(SERVICIOS!B17="","",SERVICIOS!B17)</f>
        <v/>
      </c>
      <c r="C20" s="69">
        <f>IF(B20="","",SERVICIOS!C17&amp;"")</f>
        <v/>
      </c>
      <c r="D20" s="70">
        <f>IF(OR(B20="",N(SERVICIOS!D17)=0),"",DATE(YEAR(TODAY()),MONTH(TODAY()),MIN(SERVICIOS!D17,DAY(DATE(YEAR(TODAY()),MONTH(TODAY())+1,0)))))</f>
        <v/>
      </c>
      <c r="E20" s="71">
        <f>IF(B20="","",IF(YEAR(TODAY())&lt;&gt;AnioCtl,"",INDEX(SERVICIOS!E17:P17,MONTH(TODAY()))))</f>
        <v/>
      </c>
      <c r="F20" s="72">
        <f>IF(B20="","",IF(YEAR(TODAY())&lt;&gt;AnioCtl,"Cambiá el año en AJUSTES",IF(N(E20)&gt;0,"✔ Pagado",IF(D20="","Sin día de vencimiento",IF(D20&lt;TODAY(),"✖ Vencido",IF(D20=TODAY(),"⚠ Vence hoy",IF(D20-TODAY()&lt;=5,"⚠ Vence en "&amp;(D20-TODAY())&amp;" día(s)","Pendiente")))))))</f>
        <v/>
      </c>
      <c r="G20" s="73">
        <f>IF(B20="","",SERVICIOS!R17)</f>
        <v/>
      </c>
    </row>
    <row r="21" ht="21" customHeight="1">
      <c r="B21" s="34">
        <f>IF(SERVICIOS!B18="","",SERVICIOS!B18)</f>
        <v/>
      </c>
      <c r="C21" s="64">
        <f>IF(B21="","",SERVICIOS!C18&amp;"")</f>
        <v/>
      </c>
      <c r="D21" s="65">
        <f>IF(OR(B21="",N(SERVICIOS!D18)=0),"",DATE(YEAR(TODAY()),MONTH(TODAY()),MIN(SERVICIOS!D18,DAY(DATE(YEAR(TODAY()),MONTH(TODAY())+1,0)))))</f>
        <v/>
      </c>
      <c r="E21" s="66">
        <f>IF(B21="","",IF(YEAR(TODAY())&lt;&gt;AnioCtl,"",INDEX(SERVICIOS!E18:P18,MONTH(TODAY()))))</f>
        <v/>
      </c>
      <c r="F21" s="67">
        <f>IF(B21="","",IF(YEAR(TODAY())&lt;&gt;AnioCtl,"Cambiá el año en AJUSTES",IF(N(E21)&gt;0,"✔ Pagado",IF(D21="","Sin día de vencimiento",IF(D21&lt;TODAY(),"✖ Vencido",IF(D21=TODAY(),"⚠ Vence hoy",IF(D21-TODAY()&lt;=5,"⚠ Vence en "&amp;(D21-TODAY())&amp;" día(s)","Pendiente")))))))</f>
        <v/>
      </c>
      <c r="G21" s="68">
        <f>IF(B21="","",SERVICIOS!R18)</f>
        <v/>
      </c>
    </row>
    <row r="22" ht="21" customHeight="1">
      <c r="B22" s="38">
        <f>IF(SERVICIOS!B19="","",SERVICIOS!B19)</f>
        <v/>
      </c>
      <c r="C22" s="69">
        <f>IF(B22="","",SERVICIOS!C19&amp;"")</f>
        <v/>
      </c>
      <c r="D22" s="70">
        <f>IF(OR(B22="",N(SERVICIOS!D19)=0),"",DATE(YEAR(TODAY()),MONTH(TODAY()),MIN(SERVICIOS!D19,DAY(DATE(YEAR(TODAY()),MONTH(TODAY())+1,0)))))</f>
        <v/>
      </c>
      <c r="E22" s="71">
        <f>IF(B22="","",IF(YEAR(TODAY())&lt;&gt;AnioCtl,"",INDEX(SERVICIOS!E19:P19,MONTH(TODAY()))))</f>
        <v/>
      </c>
      <c r="F22" s="72">
        <f>IF(B22="","",IF(YEAR(TODAY())&lt;&gt;AnioCtl,"Cambiá el año en AJUSTES",IF(N(E22)&gt;0,"✔ Pagado",IF(D22="","Sin día de vencimiento",IF(D22&lt;TODAY(),"✖ Vencido",IF(D22=TODAY(),"⚠ Vence hoy",IF(D22-TODAY()&lt;=5,"⚠ Vence en "&amp;(D22-TODAY())&amp;" día(s)","Pendiente")))))))</f>
        <v/>
      </c>
      <c r="G22" s="73">
        <f>IF(B22="","",SERVICIOS!R19)</f>
        <v/>
      </c>
    </row>
    <row r="23" ht="21" customHeight="1">
      <c r="B23" s="34">
        <f>IF(SERVICIOS!B20="","",SERVICIOS!B20)</f>
        <v/>
      </c>
      <c r="C23" s="64">
        <f>IF(B23="","",SERVICIOS!C20&amp;"")</f>
        <v/>
      </c>
      <c r="D23" s="65">
        <f>IF(OR(B23="",N(SERVICIOS!D20)=0),"",DATE(YEAR(TODAY()),MONTH(TODAY()),MIN(SERVICIOS!D20,DAY(DATE(YEAR(TODAY()),MONTH(TODAY())+1,0)))))</f>
        <v/>
      </c>
      <c r="E23" s="66">
        <f>IF(B23="","",IF(YEAR(TODAY())&lt;&gt;AnioCtl,"",INDEX(SERVICIOS!E20:P20,MONTH(TODAY()))))</f>
        <v/>
      </c>
      <c r="F23" s="67">
        <f>IF(B23="","",IF(YEAR(TODAY())&lt;&gt;AnioCtl,"Cambiá el año en AJUSTES",IF(N(E23)&gt;0,"✔ Pagado",IF(D23="","Sin día de vencimiento",IF(D23&lt;TODAY(),"✖ Vencido",IF(D23=TODAY(),"⚠ Vence hoy",IF(D23-TODAY()&lt;=5,"⚠ Vence en "&amp;(D23-TODAY())&amp;" día(s)","Pendiente")))))))</f>
        <v/>
      </c>
      <c r="G23" s="68">
        <f>IF(B23="","",SERVICIOS!R20)</f>
        <v/>
      </c>
    </row>
    <row r="24" ht="21" customHeight="1">
      <c r="B24" s="38">
        <f>IF(SERVICIOS!B21="","",SERVICIOS!B21)</f>
        <v/>
      </c>
      <c r="C24" s="69">
        <f>IF(B24="","",SERVICIOS!C21&amp;"")</f>
        <v/>
      </c>
      <c r="D24" s="70">
        <f>IF(OR(B24="",N(SERVICIOS!D21)=0),"",DATE(YEAR(TODAY()),MONTH(TODAY()),MIN(SERVICIOS!D21,DAY(DATE(YEAR(TODAY()),MONTH(TODAY())+1,0)))))</f>
        <v/>
      </c>
      <c r="E24" s="71">
        <f>IF(B24="","",IF(YEAR(TODAY())&lt;&gt;AnioCtl,"",INDEX(SERVICIOS!E21:P21,MONTH(TODAY()))))</f>
        <v/>
      </c>
      <c r="F24" s="72">
        <f>IF(B24="","",IF(YEAR(TODAY())&lt;&gt;AnioCtl,"Cambiá el año en AJUSTES",IF(N(E24)&gt;0,"✔ Pagado",IF(D24="","Sin día de vencimiento",IF(D24&lt;TODAY(),"✖ Vencido",IF(D24=TODAY(),"⚠ Vence hoy",IF(D24-TODAY()&lt;=5,"⚠ Vence en "&amp;(D24-TODAY())&amp;" día(s)","Pendiente")))))))</f>
        <v/>
      </c>
      <c r="G24" s="73">
        <f>IF(B24="","",SERVICIOS!R21)</f>
        <v/>
      </c>
    </row>
    <row r="25" ht="21" customHeight="1">
      <c r="B25" s="34">
        <f>IF(SERVICIOS!B22="","",SERVICIOS!B22)</f>
        <v/>
      </c>
      <c r="C25" s="64">
        <f>IF(B25="","",SERVICIOS!C22&amp;"")</f>
        <v/>
      </c>
      <c r="D25" s="65">
        <f>IF(OR(B25="",N(SERVICIOS!D22)=0),"",DATE(YEAR(TODAY()),MONTH(TODAY()),MIN(SERVICIOS!D22,DAY(DATE(YEAR(TODAY()),MONTH(TODAY())+1,0)))))</f>
        <v/>
      </c>
      <c r="E25" s="66">
        <f>IF(B25="","",IF(YEAR(TODAY())&lt;&gt;AnioCtl,"",INDEX(SERVICIOS!E22:P22,MONTH(TODAY()))))</f>
        <v/>
      </c>
      <c r="F25" s="67">
        <f>IF(B25="","",IF(YEAR(TODAY())&lt;&gt;AnioCtl,"Cambiá el año en AJUSTES",IF(N(E25)&gt;0,"✔ Pagado",IF(D25="","Sin día de vencimiento",IF(D25&lt;TODAY(),"✖ Vencido",IF(D25=TODAY(),"⚠ Vence hoy",IF(D25-TODAY()&lt;=5,"⚠ Vence en "&amp;(D25-TODAY())&amp;" día(s)","Pendiente")))))))</f>
        <v/>
      </c>
      <c r="G25" s="68">
        <f>IF(B25="","",SERVICIOS!R22)</f>
        <v/>
      </c>
    </row>
    <row r="26" ht="21" customHeight="1">
      <c r="B26" s="38">
        <f>IF(SERVICIOS!B23="","",SERVICIOS!B23)</f>
        <v/>
      </c>
      <c r="C26" s="69">
        <f>IF(B26="","",SERVICIOS!C23&amp;"")</f>
        <v/>
      </c>
      <c r="D26" s="70">
        <f>IF(OR(B26="",N(SERVICIOS!D23)=0),"",DATE(YEAR(TODAY()),MONTH(TODAY()),MIN(SERVICIOS!D23,DAY(DATE(YEAR(TODAY()),MONTH(TODAY())+1,0)))))</f>
        <v/>
      </c>
      <c r="E26" s="71">
        <f>IF(B26="","",IF(YEAR(TODAY())&lt;&gt;AnioCtl,"",INDEX(SERVICIOS!E23:P23,MONTH(TODAY()))))</f>
        <v/>
      </c>
      <c r="F26" s="72">
        <f>IF(B26="","",IF(YEAR(TODAY())&lt;&gt;AnioCtl,"Cambiá el año en AJUSTES",IF(N(E26)&gt;0,"✔ Pagado",IF(D26="","Sin día de vencimiento",IF(D26&lt;TODAY(),"✖ Vencido",IF(D26=TODAY(),"⚠ Vence hoy",IF(D26-TODAY()&lt;=5,"⚠ Vence en "&amp;(D26-TODAY())&amp;" día(s)","Pendiente")))))))</f>
        <v/>
      </c>
      <c r="G26" s="73">
        <f>IF(B26="","",SERVICIOS!R23)</f>
        <v/>
      </c>
    </row>
    <row r="27" ht="21" customHeight="1">
      <c r="B27" s="34">
        <f>IF(SERVICIOS!B24="","",SERVICIOS!B24)</f>
        <v/>
      </c>
      <c r="C27" s="64">
        <f>IF(B27="","",SERVICIOS!C24&amp;"")</f>
        <v/>
      </c>
      <c r="D27" s="65">
        <f>IF(OR(B27="",N(SERVICIOS!D24)=0),"",DATE(YEAR(TODAY()),MONTH(TODAY()),MIN(SERVICIOS!D24,DAY(DATE(YEAR(TODAY()),MONTH(TODAY())+1,0)))))</f>
        <v/>
      </c>
      <c r="E27" s="66">
        <f>IF(B27="","",IF(YEAR(TODAY())&lt;&gt;AnioCtl,"",INDEX(SERVICIOS!E24:P24,MONTH(TODAY()))))</f>
        <v/>
      </c>
      <c r="F27" s="67">
        <f>IF(B27="","",IF(YEAR(TODAY())&lt;&gt;AnioCtl,"Cambiá el año en AJUSTES",IF(N(E27)&gt;0,"✔ Pagado",IF(D27="","Sin día de vencimiento",IF(D27&lt;TODAY(),"✖ Vencido",IF(D27=TODAY(),"⚠ Vence hoy",IF(D27-TODAY()&lt;=5,"⚠ Vence en "&amp;(D27-TODAY())&amp;" día(s)","Pendiente")))))))</f>
        <v/>
      </c>
      <c r="G27" s="68">
        <f>IF(B27="","",SERVICIOS!R24)</f>
        <v/>
      </c>
    </row>
    <row r="28" ht="21" customHeight="1">
      <c r="B28" s="38">
        <f>IF(SERVICIOS!B25="","",SERVICIOS!B25)</f>
        <v/>
      </c>
      <c r="C28" s="69">
        <f>IF(B28="","",SERVICIOS!C25&amp;"")</f>
        <v/>
      </c>
      <c r="D28" s="70">
        <f>IF(OR(B28="",N(SERVICIOS!D25)=0),"",DATE(YEAR(TODAY()),MONTH(TODAY()),MIN(SERVICIOS!D25,DAY(DATE(YEAR(TODAY()),MONTH(TODAY())+1,0)))))</f>
        <v/>
      </c>
      <c r="E28" s="71">
        <f>IF(B28="","",IF(YEAR(TODAY())&lt;&gt;AnioCtl,"",INDEX(SERVICIOS!E25:P25,MONTH(TODAY()))))</f>
        <v/>
      </c>
      <c r="F28" s="72">
        <f>IF(B28="","",IF(YEAR(TODAY())&lt;&gt;AnioCtl,"Cambiá el año en AJUSTES",IF(N(E28)&gt;0,"✔ Pagado",IF(D28="","Sin día de vencimiento",IF(D28&lt;TODAY(),"✖ Vencido",IF(D28=TODAY(),"⚠ Vence hoy",IF(D28-TODAY()&lt;=5,"⚠ Vence en "&amp;(D28-TODAY())&amp;" día(s)","Pendiente")))))))</f>
        <v/>
      </c>
      <c r="G28" s="73">
        <f>IF(B28="","",SERVICIOS!R25)</f>
        <v/>
      </c>
    </row>
    <row r="29" ht="21" customHeight="1">
      <c r="B29" s="34">
        <f>IF(SERVICIOS!B26="","",SERVICIOS!B26)</f>
        <v/>
      </c>
      <c r="C29" s="64">
        <f>IF(B29="","",SERVICIOS!C26&amp;"")</f>
        <v/>
      </c>
      <c r="D29" s="65">
        <f>IF(OR(B29="",N(SERVICIOS!D26)=0),"",DATE(YEAR(TODAY()),MONTH(TODAY()),MIN(SERVICIOS!D26,DAY(DATE(YEAR(TODAY()),MONTH(TODAY())+1,0)))))</f>
        <v/>
      </c>
      <c r="E29" s="66">
        <f>IF(B29="","",IF(YEAR(TODAY())&lt;&gt;AnioCtl,"",INDEX(SERVICIOS!E26:P26,MONTH(TODAY()))))</f>
        <v/>
      </c>
      <c r="F29" s="67">
        <f>IF(B29="","",IF(YEAR(TODAY())&lt;&gt;AnioCtl,"Cambiá el año en AJUSTES",IF(N(E29)&gt;0,"✔ Pagado",IF(D29="","Sin día de vencimiento",IF(D29&lt;TODAY(),"✖ Vencido",IF(D29=TODAY(),"⚠ Vence hoy",IF(D29-TODAY()&lt;=5,"⚠ Vence en "&amp;(D29-TODAY())&amp;" día(s)","Pendiente")))))))</f>
        <v/>
      </c>
      <c r="G29" s="68">
        <f>IF(B29="","",SERVICIOS!R26)</f>
        <v/>
      </c>
    </row>
    <row r="30" ht="21" customHeight="1">
      <c r="B30" s="38">
        <f>IF(SERVICIOS!B27="","",SERVICIOS!B27)</f>
        <v/>
      </c>
      <c r="C30" s="69">
        <f>IF(B30="","",SERVICIOS!C27&amp;"")</f>
        <v/>
      </c>
      <c r="D30" s="70">
        <f>IF(OR(B30="",N(SERVICIOS!D27)=0),"",DATE(YEAR(TODAY()),MONTH(TODAY()),MIN(SERVICIOS!D27,DAY(DATE(YEAR(TODAY()),MONTH(TODAY())+1,0)))))</f>
        <v/>
      </c>
      <c r="E30" s="71">
        <f>IF(B30="","",IF(YEAR(TODAY())&lt;&gt;AnioCtl,"",INDEX(SERVICIOS!E27:P27,MONTH(TODAY()))))</f>
        <v/>
      </c>
      <c r="F30" s="72">
        <f>IF(B30="","",IF(YEAR(TODAY())&lt;&gt;AnioCtl,"Cambiá el año en AJUSTES",IF(N(E30)&gt;0,"✔ Pagado",IF(D30="","Sin día de vencimiento",IF(D30&lt;TODAY(),"✖ Vencido",IF(D30=TODAY(),"⚠ Vence hoy",IF(D30-TODAY()&lt;=5,"⚠ Vence en "&amp;(D30-TODAY())&amp;" día(s)","Pendiente")))))))</f>
        <v/>
      </c>
      <c r="G30" s="73">
        <f>IF(B30="","",SERVICIOS!R27)</f>
        <v/>
      </c>
    </row>
    <row r="31">
      <c r="B31" s="74" t="inlineStr">
        <is>
          <t>El «promedio» es lo que pagás en promedio por mes: sirve para estimar cuánto te falta pagar. Es una referencia, no el monto exacto de la factura.</t>
        </is>
      </c>
    </row>
    <row r="33" ht="8" customHeight="1">
      <c r="B33" s="49" t="n"/>
    </row>
    <row r="34" ht="16" customHeight="1">
      <c r="B34" s="50" t="inlineStr">
        <is>
          <t>MIX SHOP DIGITAL  ·  Herramientas inteligentes que simplifican tu vida.</t>
        </is>
      </c>
    </row>
    <row r="35" ht="16" customHeight="1">
      <c r="B35" s="51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CF5"/>
  <mergeCells count="20">
    <mergeCell ref="B7:C7"/>
    <mergeCell ref="F7:G7"/>
    <mergeCell ref="B34:G34"/>
    <mergeCell ref="C4:G4"/>
    <mergeCell ref="B2:C2"/>
    <mergeCell ref="D1:G1"/>
    <mergeCell ref="B1:C1"/>
    <mergeCell ref="B8:C8"/>
    <mergeCell ref="B33:G33"/>
    <mergeCell ref="F8:G8"/>
    <mergeCell ref="D7:E7"/>
    <mergeCell ref="B35:G35"/>
    <mergeCell ref="B9:C9"/>
    <mergeCell ref="D2:G2"/>
    <mergeCell ref="D9:E9"/>
    <mergeCell ref="F9:G9"/>
    <mergeCell ref="D8:E8"/>
    <mergeCell ref="B5:C5"/>
    <mergeCell ref="B31:G31"/>
    <mergeCell ref="D5:E5"/>
  </mergeCells>
  <conditionalFormatting sqref="F11:F30">
    <cfRule type="expression" priority="1" dxfId="1">
      <formula>LEFT($F11,1)="✖"</formula>
    </cfRule>
    <cfRule type="expression" priority="2" dxfId="2">
      <formula>LEFT($F11,1)="⚠"</formula>
    </cfRule>
    <cfRule type="expression" priority="3" dxfId="3">
      <formula>LEFT($F11,1)="✔"</formula>
    </cfRule>
  </conditionalFormatting>
  <hyperlinks>
    <hyperlink ref="B5" location="'PANEL'!A1" display="←  Volver al PANEL"/>
    <hyperlink ref="D5" location="'SERVICIOS'!A1" display="Anotar pagos"/>
    <hyperlink xmlns:r="http://schemas.openxmlformats.org/officeDocument/2006/relationships" ref="B35" r:id="rId1"/>
  </hyperlinks>
  <printOptions horizontalCentered="1"/>
  <pageMargins left="0.75" right="0.75" top="1" bottom="1" header="0.5" footer="0.5"/>
  <pageSetup orientation="portrait" paperSize="9" fitToHeight="0" fitToWidth="1"/>
  <headerFooter>
    <oddHeader>&amp;C&amp;"Arial,Bold"&amp;14 &amp;K3D405BMIX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E07A5F"/>
    <outlinePr summaryBelow="1" summaryRight="1"/>
    <pageSetUpPr fitToPage="1"/>
  </sheetPr>
  <dimension ref="B1:D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38" customWidth="1" min="3" max="3"/>
    <col width="56" customWidth="1" min="4" max="4"/>
  </cols>
  <sheetData>
    <row r="1" ht="38" customHeight="1">
      <c r="B1" s="1" t="n"/>
      <c r="C1" s="3" t="inlineStr">
        <is>
          <t>AJUSTES</t>
        </is>
      </c>
      <c r="D1" s="2" t="n"/>
    </row>
    <row r="2" ht="18" customHeight="1">
      <c r="B2" s="4" t="inlineStr">
        <is>
          <t>Herramientas inteligentes que simplifican tu vida.</t>
        </is>
      </c>
      <c r="C2" s="5" t="inlineStr">
        <is>
          <t>Cargalos una sola vez</t>
        </is>
      </c>
    </row>
    <row r="3" ht="5" customHeight="1">
      <c r="B3" s="6" t="n"/>
      <c r="C3" s="8" t="n"/>
      <c r="D3" s="10" t="n"/>
    </row>
    <row r="4" ht="20" customHeight="1">
      <c r="B4" s="52" t="inlineStr">
        <is>
          <t>← VOLVER</t>
        </is>
      </c>
      <c r="C4" s="12" t="inlineStr">
        <is>
          <t>Completá solamente las celdas amarillas. Estos datos alimentan las demás hojas automáticamente.</t>
        </is>
      </c>
    </row>
    <row r="6">
      <c r="B6" s="32" t="inlineStr">
        <is>
          <t>1. TU HOGAR</t>
        </is>
      </c>
    </row>
    <row r="7" ht="28" customHeight="1">
      <c r="B7" s="75" t="inlineStr">
        <is>
          <t>Nombre del hogar</t>
        </is>
      </c>
      <c r="C7" s="76" t="inlineStr">
        <is>
          <t>Hogar de María (EJEMPLO)</t>
        </is>
      </c>
      <c r="D7" s="77" t="inlineStr">
        <is>
          <t>Aparece en el PANEL.</t>
        </is>
      </c>
    </row>
    <row r="8" ht="28" customHeight="1">
      <c r="B8" s="75" t="inlineStr">
        <is>
          <t>Año a controlar</t>
        </is>
      </c>
      <c r="C8" s="78" t="n">
        <v>2026</v>
      </c>
      <c r="D8" s="77" t="inlineStr">
        <is>
          <t>El PANEL y SERVICIOS muestran los 12 meses de este año.</t>
        </is>
      </c>
    </row>
    <row r="9" ht="28" customHeight="1">
      <c r="B9" s="75" t="inlineStr">
        <is>
          <t>Moneda</t>
        </is>
      </c>
      <c r="C9" s="76" t="inlineStr">
        <is>
          <t>Gs.</t>
        </is>
      </c>
      <c r="D9" s="77" t="inlineStr">
        <is>
          <t>Símbolo que se muestra en las hojas.</t>
        </is>
      </c>
    </row>
    <row r="10" ht="28" customHeight="1">
      <c r="B10" s="75" t="inlineStr">
        <is>
          <t>Presupuesto mensual del hogar</t>
        </is>
      </c>
      <c r="C10" s="79" t="n">
        <v>4200000</v>
      </c>
      <c r="D10" s="77" t="inlineStr">
        <is>
          <t>Cuánto querés gastar como máximo por mes en estos servicios y gastos fijos. Si no tenés, dejalo en 0.</t>
        </is>
      </c>
    </row>
    <row r="12">
      <c r="B12" s="44" t="inlineStr">
        <is>
          <t>2. CATEGORÍAS (podés renombrarlas)</t>
        </is>
      </c>
    </row>
    <row r="13">
      <c r="B13" s="12" t="inlineStr">
        <is>
          <t>Se usan en la lista desplegable de SERVICIOS. Cambiá el nombre, pero no dejes huecos entre medio.</t>
        </is>
      </c>
    </row>
    <row r="14">
      <c r="B14" s="76" t="inlineStr">
        <is>
          <t>Servicios básicos</t>
        </is>
      </c>
      <c r="C14" s="12" t="inlineStr">
        <is>
          <t>Hasta 8 categorías.</t>
        </is>
      </c>
    </row>
    <row r="15">
      <c r="B15" s="76" t="inlineStr">
        <is>
          <t>Comunicaciones</t>
        </is>
      </c>
    </row>
    <row r="16">
      <c r="B16" s="76" t="inlineStr">
        <is>
          <t>Vivienda</t>
        </is>
      </c>
    </row>
    <row r="17">
      <c r="B17" s="76" t="inlineStr">
        <is>
          <t>Educación</t>
        </is>
      </c>
    </row>
    <row r="18">
      <c r="B18" s="76" t="inlineStr">
        <is>
          <t>Salud</t>
        </is>
      </c>
    </row>
    <row r="19">
      <c r="B19" s="76" t="inlineStr">
        <is>
          <t>Seguros</t>
        </is>
      </c>
    </row>
    <row r="20">
      <c r="B20" s="76" t="inlineStr">
        <is>
          <t>Transporte</t>
        </is>
      </c>
    </row>
    <row r="21">
      <c r="B21" s="76" t="inlineStr">
        <is>
          <t>Otros</t>
        </is>
      </c>
    </row>
    <row r="24" ht="8" customHeight="1">
      <c r="B24" s="49" t="n"/>
    </row>
    <row r="25" ht="16" customHeight="1">
      <c r="B25" s="50" t="inlineStr">
        <is>
          <t>MIX SHOP DIGITAL  ·  Herramientas inteligentes que simplifican tu vida.</t>
        </is>
      </c>
    </row>
    <row r="26" ht="16" customHeight="1">
      <c r="B26" s="51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CF5"/>
  <mergeCells count="8">
    <mergeCell ref="C2:D2"/>
    <mergeCell ref="C1:D1"/>
    <mergeCell ref="B26:D26"/>
    <mergeCell ref="B12:D12"/>
    <mergeCell ref="B25:D25"/>
    <mergeCell ref="B6:D6"/>
    <mergeCell ref="B24:D24"/>
    <mergeCell ref="C4:D4"/>
  </mergeCells>
  <dataValidations count="3">
    <dataValidation sqref="C9" showDropDown="0" showInputMessage="1" showErrorMessage="1" allowBlank="1" errorTitle="Valor no válido" error="Elegí un valor de la lista desplegable." promptTitle="Moneda" prompt="Elegí la moneda que usás." type="list" errorStyle="stop">
      <formula1>"Gs.,US$,R$,ARS $,€"</formula1>
    </dataValidation>
    <dataValidation sqref="C8" showDropDown="0" showInputMessage="1" showErrorMessage="1" allowBlank="1" errorTitle="Dato no válido" error="Escribí un año entre 2000 y 2100." promptTitle="Año" prompt="Escribí el año que querés controlar. Ej.: 2026" type="whole" operator="between">
      <formula1>2000</formula1>
      <formula2>2100</formula2>
    </dataValidation>
    <dataValidation sqref="C10" showDropDown="0" showInputMessage="1" showErrorMessage="1" allowBlank="1" errorTitle="Dato no válido" error="Ingresá un número válido. No se aceptan valores negativos ni texto." promptTitle="Presupuesto" prompt="Monto mensual en la moneda elegida. Podés dejarlo en 0." type="decimal" operator="greaterThanOrEqual">
      <formula1>0</formula1>
    </dataValidation>
  </dataValidations>
  <hyperlinks>
    <hyperlink ref="B4" location="'PANEL'!A1" display="← VOLVER"/>
    <hyperlink xmlns:r="http://schemas.openxmlformats.org/officeDocument/2006/relationships" ref="B26" r:id="rId1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&amp;K3D405BMIX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tabColor rgb="003D405B"/>
    <outlinePr summaryBelow="1" summaryRight="1"/>
    <pageSetUpPr fitToPage="1"/>
  </sheetPr>
  <dimension ref="B1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8" customHeight="1">
      <c r="B1" s="1" t="n"/>
      <c r="C1" s="2" t="n"/>
      <c r="D1" s="3" t="inlineStr">
        <is>
          <t>AYUDA</t>
        </is>
      </c>
      <c r="E1" s="2" t="n"/>
      <c r="F1" s="2" t="n"/>
      <c r="G1" s="2" t="n"/>
      <c r="H1" s="2" t="n"/>
    </row>
    <row r="2" ht="18" customHeight="1">
      <c r="B2" s="4" t="inlineStr">
        <is>
          <t>Herramientas inteligentes que simplifican tu vida.</t>
        </is>
      </c>
      <c r="D2" s="5" t="inlineStr">
        <is>
          <t>Se aprende en 2 minutos</t>
        </is>
      </c>
    </row>
    <row r="3" ht="5" customHeight="1">
      <c r="B3" s="6" t="n"/>
      <c r="C3" s="7" t="n"/>
      <c r="D3" s="8" t="n"/>
      <c r="E3" s="9" t="n"/>
      <c r="F3" s="9" t="n"/>
      <c r="G3" s="10" t="n"/>
      <c r="H3" s="11" t="n"/>
    </row>
    <row r="4" ht="20" customHeight="1">
      <c r="B4" s="52" t="inlineStr">
        <is>
          <t>← VOLVER</t>
        </is>
      </c>
      <c r="C4" s="12" t="inlineStr">
        <is>
          <t>Leé esta hoja una vez. Después ya no la vas a necesitar.</t>
        </is>
      </c>
    </row>
    <row r="6">
      <c r="B6" s="32" t="inlineStr">
        <is>
          <t>¿PARA QUÉ SIRVE?</t>
        </is>
      </c>
    </row>
    <row r="7" ht="33" customHeight="1">
      <c r="B7" s="80" t="inlineStr">
        <is>
          <t>Para tener a mano cuánto pagás de agua, luz, internet, cable y demás gastos fijos del hogar, mes por mes, y no olvidarte de ningún vencimiento. Sin fórmulas y sin Internet.</t>
        </is>
      </c>
    </row>
    <row r="9">
      <c r="B9" s="44" t="inlineStr">
        <is>
          <t>EMPEZÁ EN 3 PASOS</t>
        </is>
      </c>
    </row>
    <row r="10" ht="18.5" customHeight="1">
      <c r="B10" s="80" t="inlineStr">
        <is>
          <t>1) En AJUSTES poné el nombre de tu hogar, el año y, si querés, tu presupuesto mensual.</t>
        </is>
      </c>
    </row>
    <row r="11" ht="33" customHeight="1">
      <c r="B11" s="80" t="inlineStr">
        <is>
          <t>2) En SERVICIOS revisá la lista (podés cambiar los nombres y agregar más), poné el día de vencimiento de cada uno y escribí cuánto pagaste cada mes.</t>
        </is>
      </c>
    </row>
    <row r="12" ht="18.5" customHeight="1">
      <c r="B12" s="80" t="inlineStr">
        <is>
          <t>3) Mirá el PANEL para ver tus gastos y VENCIMIENTOS para saber qué te falta pagar este mes.</t>
        </is>
      </c>
    </row>
    <row r="14">
      <c r="B14" s="32" t="inlineStr">
        <is>
          <t>COLORES Y AVISOS</t>
        </is>
      </c>
    </row>
    <row r="15" ht="47.5" customHeight="1">
      <c r="B15" s="80" t="inlineStr">
        <is>
          <t>Amarillo claro: celdas que completás vos.   Gris o blanco: se calcula solo (bloqueado).   Naranja en SERVICIOS: el monto subió más de 20 % respecto del mes anterior.   En VENCIMIENTOS: verde pagado, naranja por vencer, rojo vencido.</t>
        </is>
      </c>
    </row>
    <row r="17">
      <c r="B17" s="44" t="inlineStr">
        <is>
          <t>PREGUNTAS FRECUENTES</t>
        </is>
      </c>
    </row>
    <row r="18" ht="18.5" customHeight="1">
      <c r="B18" s="80" t="inlineStr">
        <is>
          <t>• Veo todo en cero: hacé clic en «Habilitar edición» en la barra amarilla de Excel.</t>
        </is>
      </c>
    </row>
    <row r="19" ht="33" customHeight="1">
      <c r="B19" s="80" t="inlineStr">
        <is>
          <t>• ¿Cómo marco un servicio como pagado? Escribí el monto pagado en la columna del mes. Mientras esté vacío, figura como pendiente.</t>
        </is>
      </c>
    </row>
    <row r="20" ht="18.5" customHeight="1">
      <c r="B20" s="80" t="inlineStr">
        <is>
          <t>• ¿Cómo agrego un servicio? Escribí su nombre en una fila libre de SERVICIOS (hay 20 filas).</t>
        </is>
      </c>
    </row>
    <row r="21" ht="18.5" customHeight="1">
      <c r="B21" s="80" t="inlineStr">
        <is>
          <t>• ¿Por qué VENCIMIENTOS dice «Cambiá el año en AJUSTES»? Porque el año de control no es el año actual.</t>
        </is>
      </c>
    </row>
    <row r="22" ht="33" customHeight="1">
      <c r="B22" s="80" t="inlineStr">
        <is>
          <t>• ¿Qué es el «promedio»? Lo que pagás en promedio por mes en ese servicio; sirve para estimar cuánto te falta pagar.</t>
        </is>
      </c>
    </row>
    <row r="23" ht="33" customHeight="1">
      <c r="B23" s="80" t="inlineStr">
        <is>
          <t>• Solo se editan las celdas amarillas: el resto está protegido para que no se rompan las fórmulas por accidente.</t>
        </is>
      </c>
    </row>
    <row r="25">
      <c r="B25" s="44" t="inlineStr">
        <is>
          <t>SOBRE LA PROTECCIÓN</t>
        </is>
      </c>
    </row>
    <row r="26" ht="18.5" customHeight="1">
      <c r="B26" s="80" t="inlineStr">
        <is>
          <t>La protección de Excel evita borrados accidentales, pero no es un sistema de seguridad criptográfico.</t>
        </is>
      </c>
    </row>
    <row r="28">
      <c r="B28" s="81" t="inlineStr">
        <is>
          <t>MIX SHOP DIGITAL</t>
        </is>
      </c>
    </row>
    <row r="29" ht="33" customHeight="1">
      <c r="B29" s="80" t="inlineStr">
        <is>
          <t>Esta planilla es una herramienta gratuita de Mix Shop Digital. Encontrá más herramientas gratuitas y programas para tu vida diaria y tu negocio en nuestro sitio.</t>
        </is>
      </c>
    </row>
    <row r="30">
      <c r="B30" s="82" t="inlineStr">
        <is>
          <t>→ mixshopdigital.com.py</t>
        </is>
      </c>
    </row>
    <row r="32" ht="8" customHeight="1">
      <c r="B32" s="49" t="n"/>
    </row>
    <row r="33" ht="16" customHeight="1">
      <c r="B33" s="50" t="inlineStr">
        <is>
          <t>MIX SHOP DIGITAL  ·  Herramientas inteligentes que simplifican tu vida.</t>
        </is>
      </c>
    </row>
    <row r="34" ht="16" customHeight="1">
      <c r="B34" s="51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CF5"/>
  <mergeCells count="28">
    <mergeCell ref="B9:H9"/>
    <mergeCell ref="D1:H1"/>
    <mergeCell ref="B6:H6"/>
    <mergeCell ref="B30:H30"/>
    <mergeCell ref="B15:H15"/>
    <mergeCell ref="B33:H33"/>
    <mergeCell ref="B20:H20"/>
    <mergeCell ref="B32:H32"/>
    <mergeCell ref="B2:C2"/>
    <mergeCell ref="B26:H26"/>
    <mergeCell ref="D2:H2"/>
    <mergeCell ref="B7:H7"/>
    <mergeCell ref="B25:H25"/>
    <mergeCell ref="B1:C1"/>
    <mergeCell ref="B22:H22"/>
    <mergeCell ref="B18:H18"/>
    <mergeCell ref="B21:H21"/>
    <mergeCell ref="B12:H12"/>
    <mergeCell ref="B11:H11"/>
    <mergeCell ref="B23:H23"/>
    <mergeCell ref="B14:H14"/>
    <mergeCell ref="B17:H17"/>
    <mergeCell ref="C4:H4"/>
    <mergeCell ref="B10:H10"/>
    <mergeCell ref="B29:H29"/>
    <mergeCell ref="B19:H19"/>
    <mergeCell ref="B34:H34"/>
    <mergeCell ref="B28:H28"/>
  </mergeCells>
  <hyperlinks>
    <hyperlink ref="B4" location="'PANEL'!A1" display="← VOLVER"/>
    <hyperlink xmlns:r="http://schemas.openxmlformats.org/officeDocument/2006/relationships" ref="B30" r:id="rId1"/>
    <hyperlink xmlns:r="http://schemas.openxmlformats.org/officeDocument/2006/relationships" ref="B34" r:id="rId2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&amp;K3D405BMIX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MIX SHOP DIGITAL</dc:creator>
  <dc:title xmlns:dc="http://purl.org/dc/elements/1.1/">Servicios y Gastos del Hogar – Mix Shop Digital</dc:title>
  <dc:subject xmlns:dc="http://purl.org/dc/elements/1.1/">Versión gratuita</dc:subject>
  <dcterms:created xmlns:dcterms="http://purl.org/dc/terms/" xmlns:xsi="http://www.w3.org/2001/XMLSchema-instance" xsi:type="dcterms:W3CDTF">2026-10-30T15:09:52Z</dcterms:created>
  <dcterms:modified xmlns:dcterms="http://purl.org/dc/terms/" xmlns:xsi="http://www.w3.org/2001/XMLSchema-instance" xsi:type="dcterms:W3CDTF">2026-10-30T15:09:52Z</dcterms:modified>
</cp:coreProperties>
</file>