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C73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DEUDAS" sheetId="2" state="visible" r:id="rId2"/>
    <sheet xmlns:r="http://schemas.openxmlformats.org/officeDocument/2006/relationships" name="VENCIMIENTOS" sheetId="3" state="visible" r:id="rId3"/>
    <sheet xmlns:r="http://schemas.openxmlformats.org/officeDocument/2006/relationships" name="PLAN" sheetId="4" state="visible" r:id="rId4"/>
    <sheet xmlns:r="http://schemas.openxmlformats.org/officeDocument/2006/relationships" name="AJUSTES" sheetId="5" state="visible" r:id="rId5"/>
    <sheet xmlns:r="http://schemas.openxmlformats.org/officeDocument/2006/relationships" name="AYUDA" sheetId="6" state="visible" r:id="rId6"/>
    <sheet xmlns:r="http://schemas.openxmlformats.org/officeDocument/2006/relationships" name="SIM_AVALANCHA" sheetId="7" state="hidden" r:id="rId7"/>
    <sheet xmlns:r="http://schemas.openxmlformats.org/officeDocument/2006/relationships" name="SIM_BOLA" sheetId="8" state="hidden" r:id="rId8"/>
    <sheet xmlns:r="http://schemas.openxmlformats.org/officeDocument/2006/relationships" name="SIM_MINIMOS" sheetId="9" state="hidden" r:id="rId9"/>
  </sheets>
  <definedNames>
    <definedName name="DeuNom">'DEUDAS'!$C$8:$C$17</definedName>
    <definedName name="DeuSal">'DEUDAS'!$P$8:$P$17</definedName>
    <definedName name="DeuCuota">'DEUDAS'!$Q$8:$Q$17</definedName>
    <definedName name="RankA">'DEUDAS'!$R$8:$R$17</definedName>
    <definedName name="RankB">'DEUDAS'!$S$8:$S$17</definedName>
    <definedName name="DeuTasa">'DEUDAS'!$T$8:$T$17</definedName>
    <definedName name="PresTot">'DEUDAS'!$H$21</definedName>
    <definedName name="NombrePlan">'AJUSTES'!$C$7</definedName>
    <definedName name="Moneda">'AJUSTES'!$C$8</definedName>
    <definedName name="InicioEf">'AJUSTES'!$C$10</definedName>
    <definedName name="ListaTipo">'AJUSTES'!$B$14:$B$21</definedName>
    <definedName name="Estrat">'PANEL'!$C$6</definedName>
    <definedName name="Extra">'PANEL'!$H$6</definedName>
    <definedName name="EstrN">'PANEL'!$P$6</definedName>
    <definedName name="MesesSel">'PANEL'!$P$7</definedName>
    <definedName name="IntSel">'PANEL'!$P$8</definedName>
    <definedName name="IntMin">'PANEL'!$P$9</definedName>
    <definedName name="MesesMin">'PANEL'!$P$10</definedName>
    <definedName name="_xlnm.Print_Area" localSheetId="0">'PANEL'!$A$1:$M$59</definedName>
    <definedName name="_xlnm.Print_Area" localSheetId="1">'DEUDAS'!$A$1:$M$29</definedName>
    <definedName name="_xlnm.Print_Area" localSheetId="2">'VENCIMIENTOS'!$A$1:$G$27</definedName>
    <definedName name="_xlnm.Print_Titles" localSheetId="3">'PLAN'!$7:$7</definedName>
    <definedName name="_xlnm.Print_Area" localSheetId="3">'PLAN'!$A$1:$H$48</definedName>
    <definedName name="_xlnm.Print_Area" localSheetId="4">'AJUSTES'!$A$1:$D$27</definedName>
    <definedName name="_xlnm.Print_Area" localSheetId="5">'AYUDA'!$A$1:$H$42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mm/yyyy"/>
    <numFmt numFmtId="166" formatCode="0.0%"/>
    <numFmt numFmtId="167" formatCode="#,##0;[Red]-#,##0;&quot;-&quot;"/>
    <numFmt numFmtId="168" formatCode="#,##0;[Red]-#,##0;;@"/>
  </numFmts>
  <fonts count="3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E3B0"/>
      <sz val="13"/>
    </font>
    <font>
      <name val="Arial"/>
      <i val="1"/>
      <color rgb="00FFFFFF"/>
      <sz val="9"/>
    </font>
    <font>
      <name val="Arial"/>
      <color rgb="00FFFFFF"/>
      <sz val="9"/>
    </font>
    <font>
      <name val="Arial"/>
      <color rgb="00000000"/>
      <sz val="10"/>
    </font>
    <font>
      <name val="Arial"/>
      <b val="1"/>
      <color rgb="000B2A7A"/>
      <sz val="13"/>
    </font>
    <font>
      <name val="Arial"/>
      <b val="1"/>
      <color rgb="002E9E5B"/>
      <sz val="9"/>
      <u val="single"/>
    </font>
    <font>
      <name val="Arial"/>
      <i val="1"/>
      <color rgb="005B6B63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5B6B63"/>
      <sz val="10"/>
    </font>
    <font>
      <name val="Arial"/>
      <b val="1"/>
      <color rgb="0014532D"/>
      <sz val="9"/>
    </font>
    <font>
      <name val="Arial"/>
      <color rgb="005B6B63"/>
      <sz val="8"/>
    </font>
    <font>
      <name val="Arial"/>
      <b val="1"/>
      <color rgb="00FFFFFF"/>
      <sz val="10"/>
    </font>
    <font>
      <name val="Arial"/>
      <b val="1"/>
      <color rgb="0014532D"/>
      <sz val="10"/>
    </font>
    <font>
      <name val="Arial"/>
      <b val="1"/>
      <color rgb="00FFFFFF"/>
      <sz val="9"/>
    </font>
    <font>
      <name val="Arial"/>
      <color rgb="005B6B63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000000"/>
      <sz val="11"/>
    </font>
    <font>
      <name val="Arial"/>
      <i val="1"/>
      <color rgb="005B6B63"/>
      <sz val="8"/>
    </font>
    <font>
      <name val="Arial"/>
      <b val="1"/>
      <sz val="11"/>
    </font>
    <font>
      <name val="Arial"/>
      <b val="1"/>
      <color rgb="005B6B63"/>
      <sz val="8"/>
    </font>
    <font>
      <name val="Arial"/>
      <b val="1"/>
      <color rgb="001B7F4A"/>
      <sz val="20"/>
    </font>
    <font>
      <name val="Arial"/>
      <b val="1"/>
      <color rgb="00E4572E"/>
      <sz val="20"/>
    </font>
    <font>
      <name val="Arial"/>
      <b val="1"/>
      <color rgb="0014532D"/>
      <sz val="18"/>
    </font>
    <font>
      <name val="Arial"/>
      <color rgb="00E4572E"/>
      <sz val="9"/>
    </font>
    <font>
      <name val="Arial"/>
      <b val="1"/>
      <color rgb="0014532D"/>
      <sz val="20"/>
    </font>
    <font>
      <name val="Arial"/>
      <b val="1"/>
      <color rgb="00B8860B"/>
      <sz val="20"/>
    </font>
    <font>
      <name val="Arial"/>
      <b val="1"/>
      <color rgb="002E9E5B"/>
      <sz val="12"/>
    </font>
    <font>
      <name val="Arial"/>
      <b val="1"/>
      <color rgb="001B7F4A"/>
      <sz val="10"/>
    </font>
    <font>
      <name val="Arial"/>
      <b val="1"/>
      <color rgb="0014532D"/>
      <sz val="11"/>
    </font>
    <font>
      <name val="Arial"/>
      <b val="1"/>
      <color rgb="002E9E5B"/>
      <sz val="11"/>
      <u val="single"/>
    </font>
  </fonts>
  <fills count="15">
    <fill>
      <patternFill/>
    </fill>
    <fill>
      <patternFill patternType="gray125"/>
    </fill>
    <fill>
      <patternFill patternType="solid">
        <fgColor rgb="0014532D"/>
        <bgColor rgb="0014532D"/>
      </patternFill>
    </fill>
    <fill>
      <patternFill patternType="solid">
        <fgColor rgb="002E9E5B"/>
        <bgColor rgb="002E9E5B"/>
      </patternFill>
    </fill>
    <fill>
      <patternFill patternType="solid">
        <fgColor rgb="00F2C94C"/>
        <bgColor rgb="00F2C94C"/>
      </patternFill>
    </fill>
    <fill>
      <patternFill patternType="solid">
        <fgColor rgb="00FFFFFF"/>
        <bgColor rgb="00FFFFFF"/>
      </patternFill>
    </fill>
    <fill>
      <patternFill patternType="solid">
        <fgColor rgb="00FF7A00"/>
        <bgColor rgb="00FF7A00"/>
      </patternFill>
    </fill>
    <fill>
      <patternFill patternType="solid">
        <fgColor rgb="00FFB800"/>
        <bgColor rgb="00FFB800"/>
      </patternFill>
    </fill>
    <fill>
      <patternFill patternType="solid">
        <fgColor rgb="000094FB"/>
        <bgColor rgb="000094FB"/>
      </patternFill>
    </fill>
    <fill>
      <patternFill patternType="solid">
        <fgColor rgb="00FFF3C4"/>
        <bgColor rgb="00FFF3C4"/>
      </patternFill>
    </fill>
    <fill>
      <patternFill patternType="solid">
        <fgColor rgb="00EAF3EE"/>
        <bgColor rgb="00EAF3EE"/>
      </patternFill>
    </fill>
    <fill>
      <patternFill patternType="solid">
        <fgColor rgb="002ECC40"/>
        <bgColor rgb="002ECC40"/>
      </patternFill>
    </fill>
    <fill>
      <patternFill patternType="solid">
        <fgColor rgb="008727E2"/>
        <bgColor rgb="008727E2"/>
      </patternFill>
    </fill>
    <fill>
      <patternFill patternType="solid">
        <fgColor rgb="00DCEBE2"/>
        <bgColor rgb="00DCEBE2"/>
      </patternFill>
    </fill>
    <fill>
      <patternFill patternType="solid">
        <fgColor rgb="00F2F8F4"/>
        <bgColor rgb="00F2F8F4"/>
      </patternFill>
    </fill>
  </fills>
  <borders count="6">
    <border>
      <left/>
      <right/>
      <top/>
      <bottom/>
      <diagonal/>
    </border>
    <border>
      <left style="thin">
        <color rgb="00D0E2D6"/>
      </left>
      <right style="thin">
        <color rgb="00D0E2D6"/>
      </right>
      <top style="thin">
        <color rgb="00D0E2D6"/>
      </top>
      <bottom style="thin">
        <color rgb="00D0E2D6"/>
      </bottom>
    </border>
    <border>
      <left style="thick">
        <color rgb="00F2C94C"/>
      </left>
    </border>
    <border>
      <left style="thick">
        <color rgb="002E9E5B"/>
      </left>
    </border>
    <border>
      <left style="thick">
        <color rgb="00E4572E"/>
      </left>
    </border>
    <border>
      <left style="thick">
        <color rgb="0014532D"/>
      </left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6" fillId="5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6" borderId="0" applyAlignment="1" pivotButton="0" quotePrefix="0" xfId="0">
      <alignment vertical="center"/>
    </xf>
    <xf numFmtId="0" fontId="0" fillId="6" borderId="0" pivotButton="0" quotePrefix="0" xfId="0"/>
    <xf numFmtId="0" fontId="0" fillId="7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12" borderId="0" pivotButton="0" quotePrefix="0" xfId="0"/>
    <xf numFmtId="0" fontId="8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9" fillId="9" borderId="1" applyAlignment="1" applyProtection="1" pivotButton="0" quotePrefix="0" xfId="0">
      <alignment horizontal="center" vertical="center"/>
      <protection locked="0" hidden="0"/>
    </xf>
    <xf numFmtId="3" fontId="10" fillId="9" borderId="1" applyAlignment="1" applyProtection="1" pivotButton="0" quotePrefix="0" xfId="0">
      <alignment horizontal="right" vertical="center"/>
      <protection locked="0" hidden="0"/>
    </xf>
    <xf numFmtId="0" fontId="21" fillId="0" borderId="0" applyAlignment="1" pivotButton="0" quotePrefix="0" xfId="0">
      <alignment horizontal="left" vertical="center"/>
    </xf>
    <xf numFmtId="0" fontId="23" fillId="14" borderId="4" applyAlignment="1" pivotButton="0" quotePrefix="0" xfId="0">
      <alignment horizontal="center" vertical="center"/>
    </xf>
    <xf numFmtId="0" fontId="23" fillId="14" borderId="5" applyAlignment="1" pivotButton="0" quotePrefix="0" xfId="0">
      <alignment horizontal="center" vertical="center"/>
    </xf>
    <xf numFmtId="0" fontId="23" fillId="14" borderId="3" applyAlignment="1" pivotButton="0" quotePrefix="0" xfId="0">
      <alignment horizontal="center" vertical="center"/>
    </xf>
    <xf numFmtId="0" fontId="23" fillId="14" borderId="2" applyAlignment="1" pivotButton="0" quotePrefix="0" xfId="0">
      <alignment horizontal="center" vertical="center"/>
    </xf>
    <xf numFmtId="167" fontId="25" fillId="14" borderId="4" applyAlignment="1" pivotButton="0" quotePrefix="0" xfId="0">
      <alignment horizontal="center" vertical="center"/>
    </xf>
    <xf numFmtId="167" fontId="28" fillId="14" borderId="5" applyAlignment="1" pivotButton="0" quotePrefix="0" xfId="0">
      <alignment horizontal="center" vertical="center"/>
    </xf>
    <xf numFmtId="165" fontId="24" fillId="14" borderId="3" applyAlignment="1" pivotButton="0" quotePrefix="0" xfId="0">
      <alignment horizontal="center" vertical="center"/>
    </xf>
    <xf numFmtId="167" fontId="29" fillId="14" borderId="2" applyAlignment="1" pivotButton="0" quotePrefix="0" xfId="0">
      <alignment horizontal="center" vertical="center"/>
    </xf>
    <xf numFmtId="0" fontId="13" fillId="14" borderId="4" applyAlignment="1" pivotButton="0" quotePrefix="0" xfId="0">
      <alignment horizontal="center" vertical="center"/>
    </xf>
    <xf numFmtId="0" fontId="13" fillId="14" borderId="5" applyAlignment="1" pivotButton="0" quotePrefix="0" xfId="0">
      <alignment horizontal="center" vertical="center"/>
    </xf>
    <xf numFmtId="0" fontId="13" fillId="14" borderId="3" applyAlignment="1" pivotButton="0" quotePrefix="0" xfId="0">
      <alignment horizontal="center" vertical="center"/>
    </xf>
    <xf numFmtId="0" fontId="13" fillId="14" borderId="2" applyAlignment="1" pivotButton="0" quotePrefix="0" xfId="0">
      <alignment horizontal="center" vertical="center"/>
    </xf>
    <xf numFmtId="166" fontId="28" fillId="14" borderId="5" applyAlignment="1" pivotButton="0" quotePrefix="0" xfId="0">
      <alignment horizontal="center" vertical="center"/>
    </xf>
    <xf numFmtId="0" fontId="30" fillId="14" borderId="3" applyAlignment="1" pivotButton="0" quotePrefix="0" xfId="0">
      <alignment horizontal="center" vertical="center"/>
    </xf>
    <xf numFmtId="9" fontId="24" fillId="14" borderId="3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1" fontId="10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right" vertical="center"/>
    </xf>
    <xf numFmtId="167" fontId="31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1" fontId="19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left" vertical="center"/>
    </xf>
    <xf numFmtId="167" fontId="18" fillId="5" borderId="1" applyAlignment="1" pivotButton="0" quotePrefix="0" xfId="0">
      <alignment horizontal="right" vertical="center"/>
    </xf>
    <xf numFmtId="166" fontId="18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1" fontId="19" fillId="1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left" vertical="center"/>
    </xf>
    <xf numFmtId="167" fontId="18" fillId="14" borderId="1" applyAlignment="1" pivotButton="0" quotePrefix="0" xfId="0">
      <alignment horizontal="right" vertical="center"/>
    </xf>
    <xf numFmtId="166" fontId="18" fillId="14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4" fillId="3" borderId="1" applyAlignment="1" pivotButton="0" quotePrefix="0" xfId="0">
      <alignment vertical="center"/>
    </xf>
    <xf numFmtId="167" fontId="19" fillId="13" borderId="1" applyAlignment="1" pivotButton="0" quotePrefix="0" xfId="0">
      <alignment horizontal="right" vertical="center"/>
    </xf>
    <xf numFmtId="0" fontId="5" fillId="13" borderId="1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6" fillId="2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1" fontId="17" fillId="5" borderId="1" applyAlignment="1" pivotButton="0" quotePrefix="0" xfId="0">
      <alignment horizontal="center" vertical="center"/>
    </xf>
    <xf numFmtId="0" fontId="10" fillId="9" borderId="1" applyAlignment="1" applyProtection="1" pivotButton="0" quotePrefix="0" xfId="0">
      <alignment horizontal="left" vertical="center"/>
      <protection locked="0" hidden="0"/>
    </xf>
    <xf numFmtId="0" fontId="18" fillId="9" borderId="1" applyAlignment="1" applyProtection="1" pivotButton="0" quotePrefix="0" xfId="0">
      <alignment horizontal="left" vertical="center"/>
      <protection locked="0" hidden="0"/>
    </xf>
    <xf numFmtId="3" fontId="18" fillId="9" borderId="1" applyAlignment="1" applyProtection="1" pivotButton="0" quotePrefix="0" xfId="0">
      <alignment horizontal="right" vertical="center"/>
      <protection locked="0" hidden="0"/>
    </xf>
    <xf numFmtId="166" fontId="18" fillId="9" borderId="1" applyAlignment="1" applyProtection="1" pivotButton="0" quotePrefix="0" xfId="0">
      <alignment horizontal="center" vertical="center"/>
      <protection locked="0" hidden="0"/>
    </xf>
    <xf numFmtId="1" fontId="18" fillId="9" borderId="1" applyAlignment="1" applyProtection="1" pivotButton="0" quotePrefix="0" xfId="0">
      <alignment horizontal="center" vertical="center"/>
      <protection locked="0" hidden="0"/>
    </xf>
    <xf numFmtId="0" fontId="18" fillId="9" borderId="1" applyAlignment="1" applyProtection="1" pivotButton="0" quotePrefix="0" xfId="0">
      <alignment horizontal="center" vertical="center"/>
      <protection locked="0" hidden="0"/>
    </xf>
    <xf numFmtId="1" fontId="18" fillId="5" borderId="1" applyAlignment="1" pivotButton="0" quotePrefix="0" xfId="0">
      <alignment horizontal="center" vertical="center"/>
    </xf>
    <xf numFmtId="1" fontId="17" fillId="14" borderId="1" applyAlignment="1" pivotButton="0" quotePrefix="0" xfId="0">
      <alignment horizontal="center" vertical="center"/>
    </xf>
    <xf numFmtId="1" fontId="18" fillId="14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left" vertical="center"/>
    </xf>
    <xf numFmtId="167" fontId="10" fillId="13" borderId="1" applyAlignment="1" pivotButton="0" quotePrefix="0" xfId="0">
      <alignment horizontal="right" vertical="center"/>
    </xf>
    <xf numFmtId="166" fontId="19" fillId="13" borderId="1" applyAlignment="1" pivotButton="0" quotePrefix="0" xfId="0">
      <alignment horizontal="center" vertical="center"/>
    </xf>
    <xf numFmtId="167" fontId="10" fillId="10" borderId="1" applyAlignment="1" pivotButton="0" quotePrefix="0" xfId="0">
      <alignment horizontal="right" vertical="center"/>
    </xf>
    <xf numFmtId="167" fontId="20" fillId="13" borderId="1" applyAlignment="1" pivotButton="0" quotePrefix="0" xfId="0">
      <alignment horizontal="right" vertical="center"/>
    </xf>
    <xf numFmtId="1" fontId="24" fillId="14" borderId="3" applyAlignment="1" pivotButton="0" quotePrefix="0" xfId="0">
      <alignment horizontal="center" vertical="center"/>
    </xf>
    <xf numFmtId="1" fontId="25" fillId="14" borderId="4" applyAlignment="1" pivotButton="0" quotePrefix="0" xfId="0">
      <alignment horizontal="center" vertical="center"/>
    </xf>
    <xf numFmtId="167" fontId="26" fillId="14" borderId="5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164" fontId="18" fillId="5" borderId="1" applyAlignment="1" pivotButton="0" quotePrefix="0" xfId="0">
      <alignment horizontal="center" vertical="center"/>
    </xf>
    <xf numFmtId="168" fontId="18" fillId="5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left" vertical="center"/>
    </xf>
    <xf numFmtId="0" fontId="17" fillId="14" borderId="1" applyAlignment="1" pivotButton="0" quotePrefix="0" xfId="0">
      <alignment horizontal="left" vertical="center"/>
    </xf>
    <xf numFmtId="164" fontId="18" fillId="14" borderId="1" applyAlignment="1" pivotButton="0" quotePrefix="0" xfId="0">
      <alignment horizontal="center" vertical="center"/>
    </xf>
    <xf numFmtId="168" fontId="18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165" fontId="18" fillId="5" borderId="1" applyAlignment="1" pivotButton="0" quotePrefix="0" xfId="0">
      <alignment horizontal="center" vertical="center"/>
    </xf>
    <xf numFmtId="167" fontId="27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0" fontId="18" fillId="5" borderId="1" applyAlignment="1" pivotButton="0" quotePrefix="0" xfId="0">
      <alignment horizontal="left" vertical="center"/>
    </xf>
    <xf numFmtId="165" fontId="18" fillId="14" borderId="1" applyAlignment="1" pivotButton="0" quotePrefix="0" xfId="0">
      <alignment horizontal="center" vertical="center"/>
    </xf>
    <xf numFmtId="167" fontId="27" fillId="14" borderId="1" applyAlignment="1" pivotButton="0" quotePrefix="0" xfId="0">
      <alignment horizontal="right" vertical="center"/>
    </xf>
    <xf numFmtId="167" fontId="10" fillId="14" borderId="1" applyAlignment="1" pivotButton="0" quotePrefix="0" xfId="0">
      <alignment horizontal="right" vertical="center"/>
    </xf>
    <xf numFmtId="0" fontId="18" fillId="14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5" fillId="9" borderId="1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164" fontId="5" fillId="9" borderId="1" applyAlignment="1" applyProtection="1" pivotButton="0" quotePrefix="0" xfId="0">
      <alignment horizontal="left" vertical="center"/>
      <protection locked="0" hidden="0"/>
    </xf>
    <xf numFmtId="0" fontId="11" fillId="0" borderId="0" applyAlignment="1" pivotButton="0" quotePrefix="0" xfId="0">
      <alignment horizontal="left" vertical="center"/>
    </xf>
    <xf numFmtId="165" fontId="5" fillId="1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32" fillId="4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22" fillId="0" borderId="0" pivotButton="0" quotePrefix="0" xfId="0"/>
  </cellXfs>
  <cellStyles count="1">
    <cellStyle name="Normal" xfId="0" builtinId="0" hidden="0"/>
  </cellStyles>
  <dxfs count="4">
    <dxf>
      <font>
        <b val="1"/>
        <color rgb="009A4A00"/>
      </font>
      <fill>
        <patternFill patternType="solid">
          <fgColor rgb="00FFE3CF"/>
          <bgColor rgb="00FFE3CF"/>
        </patternFill>
      </fill>
    </dxf>
    <dxf>
      <font>
        <b val="1"/>
        <color rgb="0017653B"/>
      </font>
      <fill>
        <patternFill patternType="solid">
          <fgColor rgb="00D6F0E4"/>
          <bgColor rgb="00D6F0E4"/>
        </patternFill>
      </fill>
    </dxf>
    <dxf>
      <font>
        <b val="1"/>
        <color rgb="00B00020"/>
      </font>
    </dxf>
    <dxf>
      <font>
        <b val="1"/>
        <color rgb="00B00020"/>
      </font>
      <fill>
        <patternFill patternType="solid">
          <fgColor rgb="00FBD5D5"/>
          <bgColor rgb="00FBD5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Cuánto debés mes a mes (primeros 5 años)</a:t>
            </a:r>
          </a:p>
        </rich>
      </tx>
    </title>
    <plotArea>
      <lineChart>
        <grouping val="standard"/>
        <ser>
          <idx val="0"/>
          <order val="0"/>
          <tx>
            <v>Avalancha</v>
          </tx>
          <spPr>
            <a:ln xmlns:a="http://schemas.openxmlformats.org/drawingml/2006/main" w="26000">
              <a:solidFill>
                <a:srgbClr val="2E9E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'SIM_AVALANCHA'!$A$10:$A$70</f>
            </numRef>
          </cat>
          <val>
            <numRef>
              <f>'SIM_AVALANCHA'!$AI$10:$AI$70</f>
            </numRef>
          </val>
          <smooth val="0"/>
        </ser>
        <ser>
          <idx val="1"/>
          <order val="1"/>
          <tx>
            <v>Bola de nieve</v>
          </tx>
          <spPr>
            <a:ln xmlns:a="http://schemas.openxmlformats.org/drawingml/2006/main" w="26000">
              <a:solidFill>
                <a:srgbClr val="3A86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'SIM_AVALANCHA'!$A$10:$A$70</f>
            </numRef>
          </cat>
          <val>
            <numRef>
              <f>'SIM_BOLA'!$AI$10:$AI$70</f>
            </numRef>
          </val>
          <smooth val="0"/>
        </ser>
        <ser>
          <idx val="2"/>
          <order val="2"/>
          <tx>
            <v>Solo mínimos</v>
          </tx>
          <spPr>
            <a:ln xmlns:a="http://schemas.openxmlformats.org/drawingml/2006/main" w="26000">
              <a:solidFill>
                <a:srgbClr val="E457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'SIM_AVALANCHA'!$A$10:$A$70</f>
            </numRef>
          </cat>
          <val>
            <numRef>
              <f>'SIM_MINIMOS'!$AI$10:$AI$70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Meses desde el inicio</a:t>
                </a:r>
              </a:p>
            </rich>
          </tx>
        </title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Intereses totales según cómo pagues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E4572E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9E5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A86C8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4572E"/>
              </a:solidFill>
              <a:ln xmlns:a="http://schemas.openxmlformats.org/drawingml/2006/main">
                <a:prstDash val="solid"/>
              </a:ln>
            </spPr>
          </dPt>
          <cat>
            <numRef>
              <f>'PANEL'!$B$20:$B$22</f>
            </numRef>
          </cat>
          <val>
            <numRef>
              <f>'PANEL'!$H$20:$H$22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¿Cuánto debés en cada deuda?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4572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4532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E9E5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2C94C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3A86C8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8E6BBF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A8A6A0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9B38C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5B6B63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E9967A"/>
              </a:solidFill>
              <a:ln xmlns:a="http://schemas.openxmlformats.org/drawingml/2006/main">
                <a:prstDash val="solid"/>
              </a:ln>
            </spPr>
          </dPt>
          <cat>
            <numRef>
              <f>'PANEL'!$C$42:$C$51</f>
            </numRef>
          </cat>
          <val>
            <numRef>
              <f>'PANEL'!$E$42:$E$51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4752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4752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4752000" cy="273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57150</colOff>
      <row>0</row>
      <rowOff>76200</rowOff>
    </from>
    <ext cx="1409700" cy="285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3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4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5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hyperlink" Target="https://mixshopdigital.com.py" TargetMode="External" Id="rId2"/><Relationship Type="http://schemas.openxmlformats.org/officeDocument/2006/relationships/drawing" Target="/xl/drawings/drawing6.xml" Id="rId3"/></Relationships>
</file>

<file path=xl/worksheets/sheet1.xml><?xml version="1.0" encoding="utf-8"?>
<worksheet xmlns="http://schemas.openxmlformats.org/spreadsheetml/2006/main">
  <sheetPr>
    <tabColor rgb="0014532D"/>
    <outlinePr summaryBelow="1" summaryRight="1"/>
    <pageSetUpPr fitToPage="1"/>
  </sheetPr>
  <dimension ref="B1:P5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hidden="1" width="13" customWidth="1" min="16" max="16"/>
  </cols>
  <sheetData>
    <row r="1" ht="38" customHeight="1">
      <c r="B1" s="1" t="n"/>
      <c r="C1" s="2" t="n"/>
      <c r="D1" s="2" t="n"/>
      <c r="E1" s="2" t="n"/>
      <c r="F1" s="3" t="inlineStr">
        <is>
          <t>PLANIFICADOR PARA SALIR DE DEUDAS</t>
        </is>
      </c>
      <c r="G1" s="2" t="n"/>
      <c r="H1" s="2" t="n"/>
      <c r="I1" s="2" t="n"/>
      <c r="J1" s="2" t="n"/>
      <c r="K1" s="2" t="n"/>
      <c r="L1" s="2" t="n"/>
      <c r="M1" s="2" t="n"/>
    </row>
    <row r="2" ht="18" customHeight="1">
      <c r="B2" s="4" t="inlineStr">
        <is>
          <t>Herramientas inteligentes que simplifican tu vida.</t>
        </is>
      </c>
      <c r="F2" s="5" t="inlineStr">
        <is>
          <t>Tu camino hacia cero, de un vistazo</t>
        </is>
      </c>
    </row>
    <row r="3" ht="5" customHeight="1">
      <c r="B3" s="6" t="n"/>
      <c r="C3" s="7" t="n"/>
      <c r="D3" s="7" t="n"/>
      <c r="E3" s="8" t="n"/>
      <c r="F3" s="8" t="n"/>
      <c r="G3" s="9" t="n"/>
      <c r="H3" s="9" t="n"/>
      <c r="I3" s="9" t="n"/>
      <c r="J3" s="10" t="n"/>
      <c r="K3" s="10" t="n"/>
      <c r="L3" s="11" t="n"/>
      <c r="M3" s="11" t="n"/>
    </row>
    <row r="4" ht="20" customHeight="1">
      <c r="C4" s="12" t="inlineStr">
        <is>
          <t>Cargá tus deudas en DEUDAS. Acá elegís la estrategia y el pago extra, y el panel te muestra cuándo quedás libre.</t>
        </is>
      </c>
    </row>
    <row r="5" ht="22" customHeight="1">
      <c r="B5" s="13" t="inlineStr">
        <is>
          <t>+ Anotar deudas</t>
        </is>
      </c>
      <c r="E5" s="14" t="inlineStr">
        <is>
          <t>Vencimientos</t>
        </is>
      </c>
      <c r="G5" s="15" t="inlineStr">
        <is>
          <t>Plan mes a mes</t>
        </is>
      </c>
      <c r="I5" s="15" t="inlineStr">
        <is>
          <t>Ajustes</t>
        </is>
      </c>
      <c r="K5" s="15" t="inlineStr">
        <is>
          <t>Ayuda</t>
        </is>
      </c>
    </row>
    <row r="6" ht="24" customHeight="1">
      <c r="B6" s="16" t="inlineStr">
        <is>
          <t>Estrategia:</t>
        </is>
      </c>
      <c r="C6" s="17" t="inlineStr">
        <is>
          <t>Avalancha (tasa más alta)</t>
        </is>
      </c>
      <c r="F6" s="16" t="inlineStr">
        <is>
          <t>Pago extra por mes:</t>
        </is>
      </c>
      <c r="H6" s="18" t="n">
        <v>0</v>
      </c>
      <c r="J6" s="19" t="inlineStr">
        <is>
          <t>← probá subir el extra y mirá cuánto adelantás</t>
        </is>
      </c>
      <c r="P6">
        <f>IF(LEFT(C6,2)="Av",1,2)</f>
        <v/>
      </c>
    </row>
    <row r="7">
      <c r="P7">
        <f>CHOOSE(EstrN,SIM_AVALANCHA!$AN$2,SIM_BOLA!$AN$2)</f>
        <v/>
      </c>
    </row>
    <row r="8" ht="16" customHeight="1">
      <c r="B8" s="20" t="inlineStr">
        <is>
          <t>DEUDA TOTAL HOY</t>
        </is>
      </c>
      <c r="E8" s="21" t="inlineStr">
        <is>
          <t>PAGO MENSUAL TOTAL</t>
        </is>
      </c>
      <c r="H8" s="22" t="inlineStr">
        <is>
          <t>LIBRE DE DEUDAS EN</t>
        </is>
      </c>
      <c r="K8" s="23" t="inlineStr">
        <is>
          <t>AHORRO EN INTERESES</t>
        </is>
      </c>
      <c r="P8">
        <f>CHOOSE(EstrN,SIM_AVALANCHA!$AN$3,SIM_BOLA!$AN$3)</f>
        <v/>
      </c>
    </row>
    <row r="9" ht="30" customHeight="1">
      <c r="B9" s="24">
        <f>SUM(DeuSal)</f>
        <v/>
      </c>
      <c r="E9" s="25">
        <f>PresTot</f>
        <v/>
      </c>
      <c r="H9" s="26">
        <f>IF(SUM(DeuSal)&lt;=0,"-",IF(MesesSel&gt;=999,"+10 años",DATE(YEAR(InicioEf),MONTH(InicioEf)+MesesSel-1,1)))</f>
        <v/>
      </c>
      <c r="K9" s="27">
        <f>IF(OR(SUM(DeuSal)&lt;=0,MesesMin&gt;=999),"-",MAX(0,IntMin-IntSel))</f>
        <v/>
      </c>
      <c r="P9">
        <f>SIM_MINIMOS!$AN$3</f>
        <v/>
      </c>
    </row>
    <row r="10" ht="15" customHeight="1">
      <c r="B10" s="28">
        <f>Moneda</f>
        <v/>
      </c>
      <c r="E10" s="29" t="inlineStr">
        <is>
          <t>cuotas + pago extra</t>
        </is>
      </c>
      <c r="H10" s="30">
        <f>IF(SUM(DeuSal)&lt;=0,"",IF(MesesSel&gt;=999,"con este pago no alcanza","en "&amp;MesesSel&amp;" mes(es)"))</f>
        <v/>
      </c>
      <c r="K10" s="31">
        <f>IF(MesesMin&gt;=999,"tus cuotas solas no terminan la deuda","frente a pagar solo los mínimos")</f>
        <v/>
      </c>
      <c r="P10">
        <f>SIM_MINIMOS!$AN$2</f>
        <v/>
      </c>
    </row>
    <row r="11" ht="8" customHeight="1"/>
    <row r="12" ht="16" customHeight="1">
      <c r="B12" s="20" t="inlineStr">
        <is>
          <t>INTERESES DE ESTE MES</t>
        </is>
      </c>
      <c r="E12" s="21" t="inlineStr">
        <is>
          <t>TASA PROMEDIO ANUAL</t>
        </is>
      </c>
      <c r="H12" s="22" t="inlineStr">
        <is>
          <t>PRÓXIMO VENCIMIENTO</t>
        </is>
      </c>
      <c r="K12" s="22" t="inlineStr">
        <is>
          <t>PROGRESO</t>
        </is>
      </c>
    </row>
    <row r="13" ht="30" customHeight="1">
      <c r="B13" s="24">
        <f>SUMPRODUCT(DeuSal,DeuTasa)/12</f>
        <v/>
      </c>
      <c r="E13" s="32">
        <f>IFERROR(SUMPRODUCT(DeuSal,DeuTasa)/SUM(DeuSal),0)</f>
        <v/>
      </c>
      <c r="H13" s="33">
        <f>IF(COUNT(DEUDAS!$U$8:$U$17)=0,"-",INDEX(DeuNom,MATCH(MIN(DEUDAS!$U$8:$U$17),DEUDAS!$U$8:$U$17,0))&amp;" · "&amp;DAY(MIN(DEUDAS!$U$8:$U$17))&amp;"/"&amp;MONTH(MIN(DEUDAS!$U$8:$U$17)))</f>
        <v/>
      </c>
      <c r="K13" s="34">
        <f>IF(SUM(DEUDAS!$E$8:$E$17)&lt;=0,"-",MAX(0,1-SUMIFS(DEUDAS!$F$8:$F$17,DEUDAS!$E$8:$E$17,"&gt;0")/SUM(DEUDAS!$E$8:$E$17)))</f>
        <v/>
      </c>
    </row>
    <row r="14" ht="15" customHeight="1">
      <c r="B14" s="28" t="inlineStr">
        <is>
          <t>lo que te cobran por mes</t>
        </is>
      </c>
      <c r="E14" s="29" t="inlineStr">
        <is>
          <t>ponderada por saldo</t>
        </is>
      </c>
      <c r="H14" s="30">
        <f>IF(COUNT(DEUDAS!$U$8:$U$17)=0,"","en "&amp;(MIN(DEUDAS!$U$8:$U$17)-TODAY())&amp;" día(s)")</f>
        <v/>
      </c>
      <c r="K14" s="30" t="inlineStr">
        <is>
          <t>de tus deudas ya está pagado</t>
        </is>
      </c>
    </row>
    <row r="15" ht="8" customHeight="1"/>
    <row r="16" ht="40" customHeight="1">
      <c r="B16" s="35">
        <f>IF(SUM(DeuSal)&lt;=0,"Cargá tus deudas en la hoja DEUDAS para ver tu plan.",IF(COUNTIF(DEUDAS!$M$8:$M$17,"⚠*")&gt;0,"⚠ Revisá DEUDAS: hay una cuota que no cubre el interés o que falta cargar. Subí la cuota o el pago extra.",IF(MesesSel&gt;=999,"⚠ Con este pago no terminás de pagar en 10 años. Probá subir el pago extra.","✔ Con este plan quedás libre de deudas en "&amp;MesesSel&amp;" mes(es)."&amp;IF(MesesMin&gt;=999,""," Ahorrás "&amp;FIXED(MAX(0,IntMin-IntSel),0)&amp;" "&amp;Moneda&amp;" en intereses frente a pagar solo los mínimos."))))</f>
        <v/>
      </c>
    </row>
    <row r="18">
      <c r="B18" s="36" t="inlineStr">
        <is>
          <t>TRES FORMAS DE PAGAR · compará cuánto tardás y cuánto pagás de intereses</t>
        </is>
      </c>
    </row>
    <row r="19" ht="22" customHeight="1">
      <c r="B19" s="15" t="inlineStr">
        <is>
          <t>Forma de pagar</t>
        </is>
      </c>
      <c r="E19" s="15" t="inlineStr">
        <is>
          <t>Meses</t>
        </is>
      </c>
      <c r="F19" s="15" t="inlineStr">
        <is>
          <t>Libre de deudas</t>
        </is>
      </c>
      <c r="H19" s="15" t="inlineStr">
        <is>
          <t>Intereses totales</t>
        </is>
      </c>
      <c r="J19" s="15" t="inlineStr">
        <is>
          <t>Total pagado</t>
        </is>
      </c>
      <c r="L19" s="15" t="inlineStr">
        <is>
          <t>Ahorro de intereses</t>
        </is>
      </c>
    </row>
    <row r="20" ht="22" customHeight="1">
      <c r="B20" s="37" t="inlineStr">
        <is>
          <t>Avalancha (tasa más alta primero)</t>
        </is>
      </c>
      <c r="E20" s="38">
        <f>IF(SUM(DeuSal)&lt;=0,"-",IF(SIM_AVALANCHA!$AN$2&gt;=999,"+120",SIM_AVALANCHA!$AN$2))</f>
        <v/>
      </c>
      <c r="F20" s="39">
        <f>IF(SUM(DeuSal)&lt;=0,"-",IF(SIM_AVALANCHA!$AN$2&gt;=999,"+10 años",DATE(YEAR(InicioEf),MONTH(InicioEf)+SIM_AVALANCHA!$AN$2-1,1)))</f>
        <v/>
      </c>
      <c r="H20" s="40">
        <f>SIM_AVALANCHA!$AN$3</f>
        <v/>
      </c>
      <c r="J20" s="40">
        <f>SIM_AVALANCHA!$AN$4</f>
        <v/>
      </c>
      <c r="L20" s="41">
        <f>IF(SIM_MINIMOS!$AN$2&gt;=999,"-",MAX(0,SIM_MINIMOS!$AN$3-SIM_AVALANCHA!$AN$3))</f>
        <v/>
      </c>
    </row>
    <row r="21" ht="22" customHeight="1">
      <c r="B21" s="37" t="inlineStr">
        <is>
          <t>Bola de nieve (deuda más chica primero)</t>
        </is>
      </c>
      <c r="E21" s="38">
        <f>IF(SUM(DeuSal)&lt;=0,"-",IF(SIM_BOLA!$AN$2&gt;=999,"+120",SIM_BOLA!$AN$2))</f>
        <v/>
      </c>
      <c r="F21" s="39">
        <f>IF(SUM(DeuSal)&lt;=0,"-",IF(SIM_BOLA!$AN$2&gt;=999,"+10 años",DATE(YEAR(InicioEf),MONTH(InicioEf)+SIM_BOLA!$AN$2-1,1)))</f>
        <v/>
      </c>
      <c r="H21" s="40">
        <f>SIM_BOLA!$AN$3</f>
        <v/>
      </c>
      <c r="J21" s="40">
        <f>SIM_BOLA!$AN$4</f>
        <v/>
      </c>
      <c r="L21" s="41">
        <f>IF(SIM_MINIMOS!$AN$2&gt;=999,"-",MAX(0,SIM_MINIMOS!$AN$3-SIM_BOLA!$AN$3))</f>
        <v/>
      </c>
    </row>
    <row r="22" ht="22" customHeight="1">
      <c r="B22" s="37" t="inlineStr">
        <is>
          <t>Solo pagar los mínimos</t>
        </is>
      </c>
      <c r="E22" s="38">
        <f>IF(SUM(DeuSal)&lt;=0,"-",IF(SIM_MINIMOS!$AN$2&gt;=999,"+120",SIM_MINIMOS!$AN$2))</f>
        <v/>
      </c>
      <c r="F22" s="39">
        <f>IF(SUM(DeuSal)&lt;=0,"-",IF(SIM_MINIMOS!$AN$2&gt;=999,"+10 años",DATE(YEAR(InicioEf),MONTH(InicioEf)+SIM_MINIMOS!$AN$2-1,1)))</f>
        <v/>
      </c>
      <c r="H22" s="40">
        <f>SIM_MINIMOS!$AN$3</f>
        <v/>
      </c>
      <c r="J22" s="40">
        <f>SIM_MINIMOS!$AN$4</f>
        <v/>
      </c>
      <c r="L22" s="42" t="inlineStr">
        <is>
          <t>-</t>
        </is>
      </c>
    </row>
    <row r="23">
      <c r="B23" s="19" t="inlineStr">
        <is>
          <t>La fila en verde es la estrategia que elegiste arriba. Si «Solo mínimos» marca +10 años, esas cuotas no alcanzan para terminar de pagar.</t>
        </is>
      </c>
    </row>
    <row r="40">
      <c r="B40" s="43">
        <f>"ORDEN DE PAGO · "&amp;IF(EstrN=1,"Avalancha","Bola de nieve")</f>
        <v/>
      </c>
    </row>
    <row r="41" ht="22" customHeight="1">
      <c r="B41" s="15" t="inlineStr">
        <is>
          <t>Prio.</t>
        </is>
      </c>
      <c r="C41" s="15" t="inlineStr">
        <is>
          <t>Deuda</t>
        </is>
      </c>
      <c r="E41" s="15" t="inlineStr">
        <is>
          <t>Saldo</t>
        </is>
      </c>
      <c r="F41" s="15" t="inlineStr">
        <is>
          <t>Tasa</t>
        </is>
      </c>
      <c r="G41" s="15" t="inlineStr">
        <is>
          <t>Termina en</t>
        </is>
      </c>
    </row>
    <row r="42" ht="19" customHeight="1">
      <c r="B42" s="44">
        <f>IF(OR($P42=0,N(INDEX(DeuSal,MAX(1,$P42)))&lt;=0),"",1)</f>
        <v/>
      </c>
      <c r="C42" s="45">
        <f>IF($B42="","",INDEX(DeuNom,$P42)&amp;"")</f>
        <v/>
      </c>
      <c r="E42" s="46">
        <f>IF($B42="","",INDEX(DeuSal,$P42))</f>
        <v/>
      </c>
      <c r="F42" s="47">
        <f>IF($B42="","",INDEX(DeuTasa,$P42))</f>
        <v/>
      </c>
      <c r="G42" s="48">
        <f>IF($B42="","",IF(CHOOSE(EstrN,SIM_AVALANCHA!C$8,SIM_BOLA!C$8)&gt;=999,"+10 años","mes "&amp;CHOOSE(EstrN,SIM_AVALANCHA!C$8,SIM_BOLA!C$8)))</f>
        <v/>
      </c>
      <c r="P42">
        <f>CHOOSE(EstrN,SIM_AVALANCHA!C$3,SIM_BOLA!C$3)</f>
        <v/>
      </c>
    </row>
    <row r="43" ht="19" customHeight="1">
      <c r="B43" s="49">
        <f>IF(OR($P43=0,N(INDEX(DeuSal,MAX(1,$P43)))&lt;=0),"",2)</f>
        <v/>
      </c>
      <c r="C43" s="50">
        <f>IF($B43="","",INDEX(DeuNom,$P43)&amp;"")</f>
        <v/>
      </c>
      <c r="E43" s="51">
        <f>IF($B43="","",INDEX(DeuSal,$P43))</f>
        <v/>
      </c>
      <c r="F43" s="52">
        <f>IF($B43="","",INDEX(DeuTasa,$P43))</f>
        <v/>
      </c>
      <c r="G43" s="53">
        <f>IF($B43="","",IF(CHOOSE(EstrN,SIM_AVALANCHA!D$8,SIM_BOLA!D$8)&gt;=999,"+10 años","mes "&amp;CHOOSE(EstrN,SIM_AVALANCHA!D$8,SIM_BOLA!D$8)))</f>
        <v/>
      </c>
      <c r="P43">
        <f>CHOOSE(EstrN,SIM_AVALANCHA!D$3,SIM_BOLA!D$3)</f>
        <v/>
      </c>
    </row>
    <row r="44" ht="19" customHeight="1">
      <c r="B44" s="44">
        <f>IF(OR($P44=0,N(INDEX(DeuSal,MAX(1,$P44)))&lt;=0),"",3)</f>
        <v/>
      </c>
      <c r="C44" s="45">
        <f>IF($B44="","",INDEX(DeuNom,$P44)&amp;"")</f>
        <v/>
      </c>
      <c r="E44" s="46">
        <f>IF($B44="","",INDEX(DeuSal,$P44))</f>
        <v/>
      </c>
      <c r="F44" s="47">
        <f>IF($B44="","",INDEX(DeuTasa,$P44))</f>
        <v/>
      </c>
      <c r="G44" s="48">
        <f>IF($B44="","",IF(CHOOSE(EstrN,SIM_AVALANCHA!E$8,SIM_BOLA!E$8)&gt;=999,"+10 años","mes "&amp;CHOOSE(EstrN,SIM_AVALANCHA!E$8,SIM_BOLA!E$8)))</f>
        <v/>
      </c>
      <c r="P44">
        <f>CHOOSE(EstrN,SIM_AVALANCHA!E$3,SIM_BOLA!E$3)</f>
        <v/>
      </c>
    </row>
    <row r="45" ht="19" customHeight="1">
      <c r="B45" s="49">
        <f>IF(OR($P45=0,N(INDEX(DeuSal,MAX(1,$P45)))&lt;=0),"",4)</f>
        <v/>
      </c>
      <c r="C45" s="50">
        <f>IF($B45="","",INDEX(DeuNom,$P45)&amp;"")</f>
        <v/>
      </c>
      <c r="E45" s="51">
        <f>IF($B45="","",INDEX(DeuSal,$P45))</f>
        <v/>
      </c>
      <c r="F45" s="52">
        <f>IF($B45="","",INDEX(DeuTasa,$P45))</f>
        <v/>
      </c>
      <c r="G45" s="53">
        <f>IF($B45="","",IF(CHOOSE(EstrN,SIM_AVALANCHA!F$8,SIM_BOLA!F$8)&gt;=999,"+10 años","mes "&amp;CHOOSE(EstrN,SIM_AVALANCHA!F$8,SIM_BOLA!F$8)))</f>
        <v/>
      </c>
      <c r="P45">
        <f>CHOOSE(EstrN,SIM_AVALANCHA!F$3,SIM_BOLA!F$3)</f>
        <v/>
      </c>
    </row>
    <row r="46" ht="19" customHeight="1">
      <c r="B46" s="44">
        <f>IF(OR($P46=0,N(INDEX(DeuSal,MAX(1,$P46)))&lt;=0),"",5)</f>
        <v/>
      </c>
      <c r="C46" s="45">
        <f>IF($B46="","",INDEX(DeuNom,$P46)&amp;"")</f>
        <v/>
      </c>
      <c r="E46" s="46">
        <f>IF($B46="","",INDEX(DeuSal,$P46))</f>
        <v/>
      </c>
      <c r="F46" s="47">
        <f>IF($B46="","",INDEX(DeuTasa,$P46))</f>
        <v/>
      </c>
      <c r="G46" s="48">
        <f>IF($B46="","",IF(CHOOSE(EstrN,SIM_AVALANCHA!G$8,SIM_BOLA!G$8)&gt;=999,"+10 años","mes "&amp;CHOOSE(EstrN,SIM_AVALANCHA!G$8,SIM_BOLA!G$8)))</f>
        <v/>
      </c>
      <c r="P46">
        <f>CHOOSE(EstrN,SIM_AVALANCHA!G$3,SIM_BOLA!G$3)</f>
        <v/>
      </c>
    </row>
    <row r="47" ht="19" customHeight="1">
      <c r="B47" s="49">
        <f>IF(OR($P47=0,N(INDEX(DeuSal,MAX(1,$P47)))&lt;=0),"",6)</f>
        <v/>
      </c>
      <c r="C47" s="50">
        <f>IF($B47="","",INDEX(DeuNom,$P47)&amp;"")</f>
        <v/>
      </c>
      <c r="E47" s="51">
        <f>IF($B47="","",INDEX(DeuSal,$P47))</f>
        <v/>
      </c>
      <c r="F47" s="52">
        <f>IF($B47="","",INDEX(DeuTasa,$P47))</f>
        <v/>
      </c>
      <c r="G47" s="53">
        <f>IF($B47="","",IF(CHOOSE(EstrN,SIM_AVALANCHA!H$8,SIM_BOLA!H$8)&gt;=999,"+10 años","mes "&amp;CHOOSE(EstrN,SIM_AVALANCHA!H$8,SIM_BOLA!H$8)))</f>
        <v/>
      </c>
      <c r="P47">
        <f>CHOOSE(EstrN,SIM_AVALANCHA!H$3,SIM_BOLA!H$3)</f>
        <v/>
      </c>
    </row>
    <row r="48" ht="19" customHeight="1">
      <c r="B48" s="44">
        <f>IF(OR($P48=0,N(INDEX(DeuSal,MAX(1,$P48)))&lt;=0),"",7)</f>
        <v/>
      </c>
      <c r="C48" s="45">
        <f>IF($B48="","",INDEX(DeuNom,$P48)&amp;"")</f>
        <v/>
      </c>
      <c r="E48" s="46">
        <f>IF($B48="","",INDEX(DeuSal,$P48))</f>
        <v/>
      </c>
      <c r="F48" s="47">
        <f>IF($B48="","",INDEX(DeuTasa,$P48))</f>
        <v/>
      </c>
      <c r="G48" s="48">
        <f>IF($B48="","",IF(CHOOSE(EstrN,SIM_AVALANCHA!I$8,SIM_BOLA!I$8)&gt;=999,"+10 años","mes "&amp;CHOOSE(EstrN,SIM_AVALANCHA!I$8,SIM_BOLA!I$8)))</f>
        <v/>
      </c>
      <c r="P48">
        <f>CHOOSE(EstrN,SIM_AVALANCHA!I$3,SIM_BOLA!I$3)</f>
        <v/>
      </c>
    </row>
    <row r="49" ht="19" customHeight="1">
      <c r="B49" s="49">
        <f>IF(OR($P49=0,N(INDEX(DeuSal,MAX(1,$P49)))&lt;=0),"",8)</f>
        <v/>
      </c>
      <c r="C49" s="50">
        <f>IF($B49="","",INDEX(DeuNom,$P49)&amp;"")</f>
        <v/>
      </c>
      <c r="E49" s="51">
        <f>IF($B49="","",INDEX(DeuSal,$P49))</f>
        <v/>
      </c>
      <c r="F49" s="52">
        <f>IF($B49="","",INDEX(DeuTasa,$P49))</f>
        <v/>
      </c>
      <c r="G49" s="53">
        <f>IF($B49="","",IF(CHOOSE(EstrN,SIM_AVALANCHA!J$8,SIM_BOLA!J$8)&gt;=999,"+10 años","mes "&amp;CHOOSE(EstrN,SIM_AVALANCHA!J$8,SIM_BOLA!J$8)))</f>
        <v/>
      </c>
      <c r="P49">
        <f>CHOOSE(EstrN,SIM_AVALANCHA!J$3,SIM_BOLA!J$3)</f>
        <v/>
      </c>
    </row>
    <row r="50" ht="19" customHeight="1">
      <c r="B50" s="44">
        <f>IF(OR($P50=0,N(INDEX(DeuSal,MAX(1,$P50)))&lt;=0),"",9)</f>
        <v/>
      </c>
      <c r="C50" s="45">
        <f>IF($B50="","",INDEX(DeuNom,$P50)&amp;"")</f>
        <v/>
      </c>
      <c r="E50" s="46">
        <f>IF($B50="","",INDEX(DeuSal,$P50))</f>
        <v/>
      </c>
      <c r="F50" s="47">
        <f>IF($B50="","",INDEX(DeuTasa,$P50))</f>
        <v/>
      </c>
      <c r="G50" s="48">
        <f>IF($B50="","",IF(CHOOSE(EstrN,SIM_AVALANCHA!K$8,SIM_BOLA!K$8)&gt;=999,"+10 años","mes "&amp;CHOOSE(EstrN,SIM_AVALANCHA!K$8,SIM_BOLA!K$8)))</f>
        <v/>
      </c>
      <c r="P50">
        <f>CHOOSE(EstrN,SIM_AVALANCHA!K$3,SIM_BOLA!K$3)</f>
        <v/>
      </c>
    </row>
    <row r="51" ht="19" customHeight="1">
      <c r="B51" s="49">
        <f>IF(OR($P51=0,N(INDEX(DeuSal,MAX(1,$P51)))&lt;=0),"",10)</f>
        <v/>
      </c>
      <c r="C51" s="50">
        <f>IF($B51="","",INDEX(DeuNom,$P51)&amp;"")</f>
        <v/>
      </c>
      <c r="E51" s="51">
        <f>IF($B51="","",INDEX(DeuSal,$P51))</f>
        <v/>
      </c>
      <c r="F51" s="52">
        <f>IF($B51="","",INDEX(DeuTasa,$P51))</f>
        <v/>
      </c>
      <c r="G51" s="53">
        <f>IF($B51="","",IF(CHOOSE(EstrN,SIM_AVALANCHA!L$8,SIM_BOLA!L$8)&gt;=999,"+10 años","mes "&amp;CHOOSE(EstrN,SIM_AVALANCHA!L$8,SIM_BOLA!L$8)))</f>
        <v/>
      </c>
      <c r="P51">
        <f>CHOOSE(EstrN,SIM_AVALANCHA!L$3,SIM_BOLA!L$3)</f>
        <v/>
      </c>
    </row>
    <row r="52" ht="20" customHeight="1">
      <c r="B52" s="54" t="inlineStr">
        <is>
          <t>TOTAL</t>
        </is>
      </c>
      <c r="E52" s="55">
        <f>SUM(E42:E51)</f>
        <v/>
      </c>
      <c r="F52" s="56" t="n"/>
      <c r="G52" s="56" t="n"/>
    </row>
    <row r="54">
      <c r="B54" s="19" t="inlineStr">
        <is>
          <t>Avalancha: te ahorra más intereses. Bola de nieve: cerrás deudas chicas rápido y eso motiva. Las dos funcionan: la mejor es la que vas a sostener.</t>
        </is>
      </c>
    </row>
    <row r="56" ht="8" customHeight="1">
      <c r="B56" s="57" t="n"/>
    </row>
    <row r="57" ht="16" customHeight="1">
      <c r="B57" s="58" t="inlineStr">
        <is>
          <t>MIX SHOP DIGITAL  ·  Herramientas inteligentes que simplifican tu vida.</t>
        </is>
      </c>
    </row>
    <row r="58" ht="16" customHeight="1">
      <c r="B58" s="59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mergeCells count="78">
    <mergeCell ref="E13:G13"/>
    <mergeCell ref="J19:K19"/>
    <mergeCell ref="L19:M19"/>
    <mergeCell ref="C41:D41"/>
    <mergeCell ref="C50:D50"/>
    <mergeCell ref="B20:D20"/>
    <mergeCell ref="C43:D43"/>
    <mergeCell ref="K10:M10"/>
    <mergeCell ref="B54:M54"/>
    <mergeCell ref="J21:K21"/>
    <mergeCell ref="B1:E1"/>
    <mergeCell ref="L21:M21"/>
    <mergeCell ref="K9:M9"/>
    <mergeCell ref="B56:M56"/>
    <mergeCell ref="B8:D8"/>
    <mergeCell ref="F19:G19"/>
    <mergeCell ref="E5:F5"/>
    <mergeCell ref="C45:D45"/>
    <mergeCell ref="F6:G6"/>
    <mergeCell ref="B57:M57"/>
    <mergeCell ref="K12:M12"/>
    <mergeCell ref="B10:D10"/>
    <mergeCell ref="K8:M8"/>
    <mergeCell ref="C4:M4"/>
    <mergeCell ref="B19:D19"/>
    <mergeCell ref="C47:D47"/>
    <mergeCell ref="K14:M14"/>
    <mergeCell ref="F20:G20"/>
    <mergeCell ref="B9:D9"/>
    <mergeCell ref="B5:D5"/>
    <mergeCell ref="J20:K20"/>
    <mergeCell ref="L20:M20"/>
    <mergeCell ref="H19:I19"/>
    <mergeCell ref="J22:K22"/>
    <mergeCell ref="L22:M22"/>
    <mergeCell ref="E8:G8"/>
    <mergeCell ref="B21:D21"/>
    <mergeCell ref="E10:G10"/>
    <mergeCell ref="B14:D14"/>
    <mergeCell ref="B23:M23"/>
    <mergeCell ref="K5:L5"/>
    <mergeCell ref="E9:G9"/>
    <mergeCell ref="B13:D13"/>
    <mergeCell ref="F21:G21"/>
    <mergeCell ref="H21:I21"/>
    <mergeCell ref="H13:J13"/>
    <mergeCell ref="C44:D44"/>
    <mergeCell ref="B40:G40"/>
    <mergeCell ref="C46:D46"/>
    <mergeCell ref="K13:M13"/>
    <mergeCell ref="C51:D51"/>
    <mergeCell ref="H8:J8"/>
    <mergeCell ref="E12:G12"/>
    <mergeCell ref="F22:G22"/>
    <mergeCell ref="B2:E2"/>
    <mergeCell ref="H22:I22"/>
    <mergeCell ref="C48:D48"/>
    <mergeCell ref="C6:E6"/>
    <mergeCell ref="H10:J10"/>
    <mergeCell ref="E14:G14"/>
    <mergeCell ref="B22:D22"/>
    <mergeCell ref="H9:J9"/>
    <mergeCell ref="B12:D12"/>
    <mergeCell ref="C49:D49"/>
    <mergeCell ref="H20:I20"/>
    <mergeCell ref="C42:D42"/>
    <mergeCell ref="H6:I6"/>
    <mergeCell ref="H12:J12"/>
    <mergeCell ref="F2:M2"/>
    <mergeCell ref="H14:J14"/>
    <mergeCell ref="G5:H5"/>
    <mergeCell ref="I5:J5"/>
    <mergeCell ref="J6:M6"/>
    <mergeCell ref="B16:M16"/>
    <mergeCell ref="B52:D52"/>
    <mergeCell ref="B18:M18"/>
    <mergeCell ref="B58:M58"/>
    <mergeCell ref="F1:M1"/>
  </mergeCells>
  <conditionalFormatting sqref="B16:M16">
    <cfRule type="expression" priority="1" dxfId="0" stopIfTrue="1">
      <formula>LEFT($B$16,1)="⚠"</formula>
    </cfRule>
    <cfRule type="expression" priority="2" dxfId="1">
      <formula>LEFT($B$16,1)="✔"</formula>
    </cfRule>
  </conditionalFormatting>
  <conditionalFormatting sqref="B20:M21">
    <cfRule type="expression" priority="3" dxfId="1">
      <formula>ROW()-19=EstrN</formula>
    </cfRule>
  </conditionalFormatting>
  <dataValidations count="2">
    <dataValidation sqref="C6" showDropDown="0" showInputMessage="1" showErrorMessage="1" allowBlank="0" errorTitle="Valor no válido" error="Elegí un valor de la lista desplegable." promptTitle="Estrategia" prompt="Avalancha: pagás primero la deuda de tasa más alta (menos intereses). Bola de nieve: pagás primero la más chica (más motivación)." type="list" errorStyle="stop">
      <formula1>"Avalancha (tasa más alta),Bola de nieve (deuda más chica)"</formula1>
    </dataValidation>
    <dataValidation sqref="H6" showDropDown="0" showInputMessage="1" showErrorMessage="1" allowBlank="1" errorTitle="Dato no válido" error="Ingresá un número válido. No se aceptan valores negativos ni texto." promptTitle="Pago extra" prompt="Cuánto podés pagar de más cada mes, además de las cuotas. Podés dejarlo en 0." type="decimal" operator="greaterThanOrEqual">
      <formula1>0</formula1>
    </dataValidation>
  </dataValidations>
  <hyperlinks>
    <hyperlink ref="B5" location="'DEUDAS'!A1" display="+ Anotar deudas"/>
    <hyperlink ref="E5" location="'VENCIMIENTOS'!A1" display="Vencimientos"/>
    <hyperlink ref="G5" location="'PLAN'!A1" display="Plan mes a mes"/>
    <hyperlink ref="I5" location="'AJUSTES'!A1" display="Ajustes"/>
    <hyperlink ref="K5" location="'AYUDA'!A1" display="Ayuda"/>
    <hyperlink xmlns:r="http://schemas.openxmlformats.org/officeDocument/2006/relationships" ref="B58" r:id="rId1"/>
  </hyperlinks>
  <printOptions horizontalCentered="1"/>
  <pageMargins left="0.75" right="0.75" top="1" bottom="1" header="0.5" footer="0.5"/>
  <pageSetup orientation="portrait" paperSize="9" fitToHeight="0" fitToWidth="1"/>
  <headerFooter>
    <oddHeader>&amp;C&amp;"Arial,Bold"&amp;14 &amp;K14532DMIX SHOP DIGITAL</oddHeader>
    <oddFooter>&amp;L&amp;8 MIX SHOP DIGITAL — Herramientas inteligentes que simplifican tu vida.&amp;C&amp;8 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E4572E"/>
    <outlinePr summaryBelow="1" summaryRight="1"/>
    <pageSetUpPr fitToPage="1"/>
  </sheetPr>
  <dimension ref="B1:U2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22" customWidth="1" min="4" max="4"/>
    <col width="15" customWidth="1" min="5" max="5"/>
    <col width="15" customWidth="1" min="6" max="6"/>
    <col width="9" customWidth="1" min="7" max="7"/>
    <col width="15" customWidth="1" min="8" max="8"/>
    <col width="9" customWidth="1" min="9" max="9"/>
    <col width="10" customWidth="1" min="10" max="10"/>
    <col width="13" customWidth="1" min="11" max="11"/>
    <col width="12" customWidth="1" min="12" max="12"/>
    <col width="30" customWidth="1" min="13" max="13"/>
    <col hidden="1" width="4" customWidth="1" min="16" max="16"/>
    <col hidden="1" width="4" customWidth="1" min="17" max="17"/>
    <col hidden="1" width="4" customWidth="1" min="18" max="18"/>
    <col hidden="1" width="4" customWidth="1" min="19" max="19"/>
    <col hidden="1" width="4" customWidth="1" min="20" max="20"/>
    <col hidden="1" width="4" customWidth="1" min="21" max="21"/>
    <col hidden="1" width="4" customWidth="1" min="22" max="22"/>
  </cols>
  <sheetData>
    <row r="1" ht="38" customHeight="1">
      <c r="B1" s="1" t="n"/>
      <c r="C1" s="2" t="n"/>
      <c r="D1" s="2" t="n"/>
      <c r="E1" s="3" t="inlineStr">
        <is>
          <t>DEUDAS</t>
        </is>
      </c>
      <c r="F1" s="2" t="n"/>
      <c r="G1" s="2" t="n"/>
      <c r="H1" s="2" t="n"/>
      <c r="I1" s="2" t="n"/>
      <c r="J1" s="2" t="n"/>
      <c r="K1" s="2" t="n"/>
      <c r="L1" s="2" t="n"/>
      <c r="M1" s="2" t="n"/>
    </row>
    <row r="2" ht="18" customHeight="1">
      <c r="B2" s="4" t="inlineStr">
        <is>
          <t>Herramientas inteligentes que simplifican tu vida.</t>
        </is>
      </c>
      <c r="E2" s="5" t="inlineStr">
        <is>
          <t>Anotá todo lo que debés</t>
        </is>
      </c>
    </row>
    <row r="3" ht="5" customHeight="1">
      <c r="B3" s="6" t="n"/>
      <c r="C3" s="7" t="n"/>
      <c r="D3" s="7" t="n"/>
      <c r="E3" s="8" t="n"/>
      <c r="F3" s="8" t="n"/>
      <c r="G3" s="9" t="n"/>
      <c r="H3" s="9" t="n"/>
      <c r="I3" s="9" t="n"/>
      <c r="J3" s="10" t="n"/>
      <c r="K3" s="10" t="n"/>
      <c r="L3" s="11" t="n"/>
      <c r="M3" s="11" t="n"/>
    </row>
    <row r="4" ht="20" customHeight="1">
      <c r="B4" s="60" t="n"/>
      <c r="C4" s="12" t="inlineStr">
        <is>
          <t>Una fila por deuda. Completá las celdas amarillas: el saldo, la tasa y la cuota alcanzan para armar tu plan.</t>
        </is>
      </c>
    </row>
    <row r="5" ht="22" customHeight="1">
      <c r="B5" s="14" t="inlineStr">
        <is>
          <t>←  Volver al PANEL</t>
        </is>
      </c>
      <c r="E5" s="15" t="inlineStr">
        <is>
          <t>Vencimientos</t>
        </is>
      </c>
      <c r="G5" s="15" t="inlineStr">
        <is>
          <t>Ajustes</t>
        </is>
      </c>
    </row>
    <row r="6" ht="6" customHeight="1"/>
    <row r="7" ht="42" customHeight="1">
      <c r="B7" s="61" t="inlineStr">
        <is>
          <t>N°</t>
        </is>
      </c>
      <c r="C7" s="62" t="inlineStr">
        <is>
          <t>Deuda</t>
        </is>
      </c>
      <c r="D7" s="62" t="inlineStr">
        <is>
          <t>Tipo</t>
        </is>
      </c>
      <c r="E7" s="62" t="inlineStr">
        <is>
          <t>Monto original (opcional)</t>
        </is>
      </c>
      <c r="F7" s="62" t="inlineStr">
        <is>
          <t>Saldo actual (lo que debés hoy)</t>
        </is>
      </c>
      <c r="G7" s="62" t="inlineStr">
        <is>
          <t>Tasa anual</t>
        </is>
      </c>
      <c r="H7" s="62" t="inlineStr">
        <is>
          <t>Cuota mínima por mes</t>
        </is>
      </c>
      <c r="I7" s="62" t="inlineStr">
        <is>
          <t>Vence el día</t>
        </is>
      </c>
      <c r="J7" s="62" t="inlineStr">
        <is>
          <t>¿Pagaste este mes?</t>
        </is>
      </c>
      <c r="K7" s="61" t="inlineStr">
        <is>
          <t>Interés de este mes</t>
        </is>
      </c>
      <c r="L7" s="61" t="inlineStr">
        <is>
          <t>Meses con solo la cuota</t>
        </is>
      </c>
      <c r="M7" s="61" t="inlineStr">
        <is>
          <t>Aviso</t>
        </is>
      </c>
    </row>
    <row r="8" ht="21" customHeight="1">
      <c r="B8" s="63" t="n">
        <v>1</v>
      </c>
      <c r="C8" s="64" t="n"/>
      <c r="D8" s="65" t="n"/>
      <c r="E8" s="66" t="n"/>
      <c r="F8" s="18" t="n"/>
      <c r="G8" s="67" t="n"/>
      <c r="H8" s="18" t="n"/>
      <c r="I8" s="68" t="n"/>
      <c r="J8" s="69" t="n"/>
      <c r="K8" s="46">
        <f>IF($P8&gt;0,ROUND($P8*$T8/12,0),"")</f>
        <v/>
      </c>
      <c r="L8" s="70">
        <f>IF($P8&lt;=0,"",IF($Q8&lt;=0,"Sin cuota",IF($Q8&lt;=$P8*$T8/12,"No termina",IF($T8=0,ROUNDUP($P8/$Q8,0),ROUNDUP(-LN(1-$P8*($T8/12)/$Q8)/LN(1+$T8/12),0)))))</f>
        <v/>
      </c>
      <c r="M8" s="45">
        <f>IF(AND($C8="",$P8&lt;=0),"",IF($P8&lt;=0,"Sin saldo: no se tiene en cuenta",IF($Q8&lt;=0,"⚠ Falta la cuota mínima",IF($Q8&lt;=$P8*$T8/12,"⚠ La cuota no cubre el interés","✔ Listo"))))</f>
        <v/>
      </c>
      <c r="P8">
        <f>N(F8)</f>
        <v/>
      </c>
      <c r="Q8">
        <f>IF(P8&gt;0,N(H8),0)</f>
        <v/>
      </c>
      <c r="R8">
        <f>IF(P8&gt;0,1+COUNTIFS($P$8:$P$17,"&gt;0",$T$8:$T$17,"&gt;"&amp;T8)+COUNTIFS($P$8:$P$17,"&gt;0",$T$8:$T$17,T8,$B$8:$B$17,"&lt;"&amp;B8),COUNTIF($P$8:$P$17,"&gt;0")+COUNTIFS($P$8:$P$17,"&lt;=0",$B$8:$B$17,"&lt;="&amp;B8))</f>
        <v/>
      </c>
      <c r="S8">
        <f>IF(P8&gt;0,1+COUNTIFS($P$8:$P$17,"&gt;0",$P$8:$P$17,"&lt;"&amp;P8)+COUNTIFS($P$8:$P$17,P8,$B$8:$B$17,"&lt;"&amp;B8),COUNTIF($P$8:$P$17,"&gt;0")+COUNTIFS($P$8:$P$17,"&lt;=0",$B$8:$B$17,"&lt;="&amp;B8))</f>
        <v/>
      </c>
      <c r="T8">
        <f>N(G8)</f>
        <v/>
      </c>
      <c r="U8">
        <f>IF(OR(P8&lt;=0,N(I8)&lt;=0),"",IF(DATE(YEAR(TODAY()),MONTH(TODAY()),MIN(I8,DAY(DATE(YEAR(TODAY()),MONTH(TODAY())+1,0))))&gt;=TODAY(),DATE(YEAR(TODAY()),MONTH(TODAY()),MIN(I8,DAY(DATE(YEAR(TODAY()),MONTH(TODAY())+1,0)))),DATE(YEAR(TODAY()),MONTH(TODAY())+1,MIN(I8,DAY(DATE(YEAR(TODAY()),MONTH(TODAY())+2,0))))))</f>
        <v/>
      </c>
    </row>
    <row r="9" ht="21" customHeight="1">
      <c r="B9" s="71" t="n">
        <v>2</v>
      </c>
      <c r="C9" s="64" t="n"/>
      <c r="D9" s="65" t="n"/>
      <c r="E9" s="66" t="n"/>
      <c r="F9" s="18" t="n"/>
      <c r="G9" s="67" t="n"/>
      <c r="H9" s="18" t="n"/>
      <c r="I9" s="68" t="n"/>
      <c r="J9" s="69" t="n"/>
      <c r="K9" s="51">
        <f>IF($P9&gt;0,ROUND($P9*$T9/12,0),"")</f>
        <v/>
      </c>
      <c r="L9" s="72">
        <f>IF($P9&lt;=0,"",IF($Q9&lt;=0,"Sin cuota",IF($Q9&lt;=$P9*$T9/12,"No termina",IF($T9=0,ROUNDUP($P9/$Q9,0),ROUNDUP(-LN(1-$P9*($T9/12)/$Q9)/LN(1+$T9/12),0)))))</f>
        <v/>
      </c>
      <c r="M9" s="50">
        <f>IF(AND($C9="",$P9&lt;=0),"",IF($P9&lt;=0,"Sin saldo: no se tiene en cuenta",IF($Q9&lt;=0,"⚠ Falta la cuota mínima",IF($Q9&lt;=$P9*$T9/12,"⚠ La cuota no cubre el interés","✔ Listo"))))</f>
        <v/>
      </c>
      <c r="P9">
        <f>N(F9)</f>
        <v/>
      </c>
      <c r="Q9">
        <f>IF(P9&gt;0,N(H9),0)</f>
        <v/>
      </c>
      <c r="R9">
        <f>IF(P9&gt;0,1+COUNTIFS($P$8:$P$17,"&gt;0",$T$8:$T$17,"&gt;"&amp;T9)+COUNTIFS($P$8:$P$17,"&gt;0",$T$8:$T$17,T9,$B$8:$B$17,"&lt;"&amp;B9),COUNTIF($P$8:$P$17,"&gt;0")+COUNTIFS($P$8:$P$17,"&lt;=0",$B$8:$B$17,"&lt;="&amp;B9))</f>
        <v/>
      </c>
      <c r="S9">
        <f>IF(P9&gt;0,1+COUNTIFS($P$8:$P$17,"&gt;0",$P$8:$P$17,"&lt;"&amp;P9)+COUNTIFS($P$8:$P$17,P9,$B$8:$B$17,"&lt;"&amp;B9),COUNTIF($P$8:$P$17,"&gt;0")+COUNTIFS($P$8:$P$17,"&lt;=0",$B$8:$B$17,"&lt;="&amp;B9))</f>
        <v/>
      </c>
      <c r="T9">
        <f>N(G9)</f>
        <v/>
      </c>
      <c r="U9">
        <f>IF(OR(P9&lt;=0,N(I9)&lt;=0),"",IF(DATE(YEAR(TODAY()),MONTH(TODAY()),MIN(I9,DAY(DATE(YEAR(TODAY()),MONTH(TODAY())+1,0))))&gt;=TODAY(),DATE(YEAR(TODAY()),MONTH(TODAY()),MIN(I9,DAY(DATE(YEAR(TODAY()),MONTH(TODAY())+1,0)))),DATE(YEAR(TODAY()),MONTH(TODAY())+1,MIN(I9,DAY(DATE(YEAR(TODAY()),MONTH(TODAY())+2,0))))))</f>
        <v/>
      </c>
    </row>
    <row r="10" ht="21" customHeight="1">
      <c r="B10" s="63" t="n">
        <v>3</v>
      </c>
      <c r="C10" s="64" t="n"/>
      <c r="D10" s="65" t="n"/>
      <c r="E10" s="66" t="n"/>
      <c r="F10" s="18" t="n"/>
      <c r="G10" s="67" t="n"/>
      <c r="H10" s="18" t="n"/>
      <c r="I10" s="68" t="n"/>
      <c r="J10" s="69" t="n"/>
      <c r="K10" s="46">
        <f>IF($P10&gt;0,ROUND($P10*$T10/12,0),"")</f>
        <v/>
      </c>
      <c r="L10" s="70">
        <f>IF($P10&lt;=0,"",IF($Q10&lt;=0,"Sin cuota",IF($Q10&lt;=$P10*$T10/12,"No termina",IF($T10=0,ROUNDUP($P10/$Q10,0),ROUNDUP(-LN(1-$P10*($T10/12)/$Q10)/LN(1+$T10/12),0)))))</f>
        <v/>
      </c>
      <c r="M10" s="45">
        <f>IF(AND($C10="",$P10&lt;=0),"",IF($P10&lt;=0,"Sin saldo: no se tiene en cuenta",IF($Q10&lt;=0,"⚠ Falta la cuota mínima",IF($Q10&lt;=$P10*$T10/12,"⚠ La cuota no cubre el interés","✔ Listo"))))</f>
        <v/>
      </c>
      <c r="P10">
        <f>N(F10)</f>
        <v/>
      </c>
      <c r="Q10">
        <f>IF(P10&gt;0,N(H10),0)</f>
        <v/>
      </c>
      <c r="R10">
        <f>IF(P10&gt;0,1+COUNTIFS($P$8:$P$17,"&gt;0",$T$8:$T$17,"&gt;"&amp;T10)+COUNTIFS($P$8:$P$17,"&gt;0",$T$8:$T$17,T10,$B$8:$B$17,"&lt;"&amp;B10),COUNTIF($P$8:$P$17,"&gt;0")+COUNTIFS($P$8:$P$17,"&lt;=0",$B$8:$B$17,"&lt;="&amp;B10))</f>
        <v/>
      </c>
      <c r="S10">
        <f>IF(P10&gt;0,1+COUNTIFS($P$8:$P$17,"&gt;0",$P$8:$P$17,"&lt;"&amp;P10)+COUNTIFS($P$8:$P$17,P10,$B$8:$B$17,"&lt;"&amp;B10),COUNTIF($P$8:$P$17,"&gt;0")+COUNTIFS($P$8:$P$17,"&lt;=0",$B$8:$B$17,"&lt;="&amp;B10))</f>
        <v/>
      </c>
      <c r="T10">
        <f>N(G10)</f>
        <v/>
      </c>
      <c r="U10">
        <f>IF(OR(P10&lt;=0,N(I10)&lt;=0),"",IF(DATE(YEAR(TODAY()),MONTH(TODAY()),MIN(I10,DAY(DATE(YEAR(TODAY()),MONTH(TODAY())+1,0))))&gt;=TODAY(),DATE(YEAR(TODAY()),MONTH(TODAY()),MIN(I10,DAY(DATE(YEAR(TODAY()),MONTH(TODAY())+1,0)))),DATE(YEAR(TODAY()),MONTH(TODAY())+1,MIN(I10,DAY(DATE(YEAR(TODAY()),MONTH(TODAY())+2,0))))))</f>
        <v/>
      </c>
    </row>
    <row r="11" ht="21" customHeight="1">
      <c r="B11" s="71" t="n">
        <v>4</v>
      </c>
      <c r="C11" s="64" t="n"/>
      <c r="D11" s="65" t="n"/>
      <c r="E11" s="66" t="n"/>
      <c r="F11" s="18" t="n"/>
      <c r="G11" s="67" t="n"/>
      <c r="H11" s="18" t="n"/>
      <c r="I11" s="68" t="n"/>
      <c r="J11" s="69" t="n"/>
      <c r="K11" s="51">
        <f>IF($P11&gt;0,ROUND($P11*$T11/12,0),"")</f>
        <v/>
      </c>
      <c r="L11" s="72">
        <f>IF($P11&lt;=0,"",IF($Q11&lt;=0,"Sin cuota",IF($Q11&lt;=$P11*$T11/12,"No termina",IF($T11=0,ROUNDUP($P11/$Q11,0),ROUNDUP(-LN(1-$P11*($T11/12)/$Q11)/LN(1+$T11/12),0)))))</f>
        <v/>
      </c>
      <c r="M11" s="50">
        <f>IF(AND($C11="",$P11&lt;=0),"",IF($P11&lt;=0,"Sin saldo: no se tiene en cuenta",IF($Q11&lt;=0,"⚠ Falta la cuota mínima",IF($Q11&lt;=$P11*$T11/12,"⚠ La cuota no cubre el interés","✔ Listo"))))</f>
        <v/>
      </c>
      <c r="P11">
        <f>N(F11)</f>
        <v/>
      </c>
      <c r="Q11">
        <f>IF(P11&gt;0,N(H11),0)</f>
        <v/>
      </c>
      <c r="R11">
        <f>IF(P11&gt;0,1+COUNTIFS($P$8:$P$17,"&gt;0",$T$8:$T$17,"&gt;"&amp;T11)+COUNTIFS($P$8:$P$17,"&gt;0",$T$8:$T$17,T11,$B$8:$B$17,"&lt;"&amp;B11),COUNTIF($P$8:$P$17,"&gt;0")+COUNTIFS($P$8:$P$17,"&lt;=0",$B$8:$B$17,"&lt;="&amp;B11))</f>
        <v/>
      </c>
      <c r="S11">
        <f>IF(P11&gt;0,1+COUNTIFS($P$8:$P$17,"&gt;0",$P$8:$P$17,"&lt;"&amp;P11)+COUNTIFS($P$8:$P$17,P11,$B$8:$B$17,"&lt;"&amp;B11),COUNTIF($P$8:$P$17,"&gt;0")+COUNTIFS($P$8:$P$17,"&lt;=0",$B$8:$B$17,"&lt;="&amp;B11))</f>
        <v/>
      </c>
      <c r="T11">
        <f>N(G11)</f>
        <v/>
      </c>
      <c r="U11">
        <f>IF(OR(P11&lt;=0,N(I11)&lt;=0),"",IF(DATE(YEAR(TODAY()),MONTH(TODAY()),MIN(I11,DAY(DATE(YEAR(TODAY()),MONTH(TODAY())+1,0))))&gt;=TODAY(),DATE(YEAR(TODAY()),MONTH(TODAY()),MIN(I11,DAY(DATE(YEAR(TODAY()),MONTH(TODAY())+1,0)))),DATE(YEAR(TODAY()),MONTH(TODAY())+1,MIN(I11,DAY(DATE(YEAR(TODAY()),MONTH(TODAY())+2,0))))))</f>
        <v/>
      </c>
    </row>
    <row r="12" ht="21" customHeight="1">
      <c r="B12" s="63" t="n">
        <v>5</v>
      </c>
      <c r="C12" s="64" t="n"/>
      <c r="D12" s="65" t="n"/>
      <c r="E12" s="66" t="n"/>
      <c r="F12" s="18" t="n"/>
      <c r="G12" s="67" t="n"/>
      <c r="H12" s="18" t="n"/>
      <c r="I12" s="68" t="n"/>
      <c r="J12" s="69" t="n"/>
      <c r="K12" s="46">
        <f>IF($P12&gt;0,ROUND($P12*$T12/12,0),"")</f>
        <v/>
      </c>
      <c r="L12" s="70">
        <f>IF($P12&lt;=0,"",IF($Q12&lt;=0,"Sin cuota",IF($Q12&lt;=$P12*$T12/12,"No termina",IF($T12=0,ROUNDUP($P12/$Q12,0),ROUNDUP(-LN(1-$P12*($T12/12)/$Q12)/LN(1+$T12/12),0)))))</f>
        <v/>
      </c>
      <c r="M12" s="45">
        <f>IF(AND($C12="",$P12&lt;=0),"",IF($P12&lt;=0,"Sin saldo: no se tiene en cuenta",IF($Q12&lt;=0,"⚠ Falta la cuota mínima",IF($Q12&lt;=$P12*$T12/12,"⚠ La cuota no cubre el interés","✔ Listo"))))</f>
        <v/>
      </c>
      <c r="P12">
        <f>N(F12)</f>
        <v/>
      </c>
      <c r="Q12">
        <f>IF(P12&gt;0,N(H12),0)</f>
        <v/>
      </c>
      <c r="R12">
        <f>IF(P12&gt;0,1+COUNTIFS($P$8:$P$17,"&gt;0",$T$8:$T$17,"&gt;"&amp;T12)+COUNTIFS($P$8:$P$17,"&gt;0",$T$8:$T$17,T12,$B$8:$B$17,"&lt;"&amp;B12),COUNTIF($P$8:$P$17,"&gt;0")+COUNTIFS($P$8:$P$17,"&lt;=0",$B$8:$B$17,"&lt;="&amp;B12))</f>
        <v/>
      </c>
      <c r="S12">
        <f>IF(P12&gt;0,1+COUNTIFS($P$8:$P$17,"&gt;0",$P$8:$P$17,"&lt;"&amp;P12)+COUNTIFS($P$8:$P$17,P12,$B$8:$B$17,"&lt;"&amp;B12),COUNTIF($P$8:$P$17,"&gt;0")+COUNTIFS($P$8:$P$17,"&lt;=0",$B$8:$B$17,"&lt;="&amp;B12))</f>
        <v/>
      </c>
      <c r="T12">
        <f>N(G12)</f>
        <v/>
      </c>
      <c r="U12">
        <f>IF(OR(P12&lt;=0,N(I12)&lt;=0),"",IF(DATE(YEAR(TODAY()),MONTH(TODAY()),MIN(I12,DAY(DATE(YEAR(TODAY()),MONTH(TODAY())+1,0))))&gt;=TODAY(),DATE(YEAR(TODAY()),MONTH(TODAY()),MIN(I12,DAY(DATE(YEAR(TODAY()),MONTH(TODAY())+1,0)))),DATE(YEAR(TODAY()),MONTH(TODAY())+1,MIN(I12,DAY(DATE(YEAR(TODAY()),MONTH(TODAY())+2,0))))))</f>
        <v/>
      </c>
    </row>
    <row r="13" ht="21" customHeight="1">
      <c r="B13" s="71" t="n">
        <v>6</v>
      </c>
      <c r="C13" s="64" t="n"/>
      <c r="D13" s="65" t="n"/>
      <c r="E13" s="66" t="n"/>
      <c r="F13" s="18" t="n"/>
      <c r="G13" s="67" t="n"/>
      <c r="H13" s="18" t="n"/>
      <c r="I13" s="68" t="n"/>
      <c r="J13" s="69" t="n"/>
      <c r="K13" s="51">
        <f>IF($P13&gt;0,ROUND($P13*$T13/12,0),"")</f>
        <v/>
      </c>
      <c r="L13" s="72">
        <f>IF($P13&lt;=0,"",IF($Q13&lt;=0,"Sin cuota",IF($Q13&lt;=$P13*$T13/12,"No termina",IF($T13=0,ROUNDUP($P13/$Q13,0),ROUNDUP(-LN(1-$P13*($T13/12)/$Q13)/LN(1+$T13/12),0)))))</f>
        <v/>
      </c>
      <c r="M13" s="50">
        <f>IF(AND($C13="",$P13&lt;=0),"",IF($P13&lt;=0,"Sin saldo: no se tiene en cuenta",IF($Q13&lt;=0,"⚠ Falta la cuota mínima",IF($Q13&lt;=$P13*$T13/12,"⚠ La cuota no cubre el interés","✔ Listo"))))</f>
        <v/>
      </c>
      <c r="P13">
        <f>N(F13)</f>
        <v/>
      </c>
      <c r="Q13">
        <f>IF(P13&gt;0,N(H13),0)</f>
        <v/>
      </c>
      <c r="R13">
        <f>IF(P13&gt;0,1+COUNTIFS($P$8:$P$17,"&gt;0",$T$8:$T$17,"&gt;"&amp;T13)+COUNTIFS($P$8:$P$17,"&gt;0",$T$8:$T$17,T13,$B$8:$B$17,"&lt;"&amp;B13),COUNTIF($P$8:$P$17,"&gt;0")+COUNTIFS($P$8:$P$17,"&lt;=0",$B$8:$B$17,"&lt;="&amp;B13))</f>
        <v/>
      </c>
      <c r="S13">
        <f>IF(P13&gt;0,1+COUNTIFS($P$8:$P$17,"&gt;0",$P$8:$P$17,"&lt;"&amp;P13)+COUNTIFS($P$8:$P$17,P13,$B$8:$B$17,"&lt;"&amp;B13),COUNTIF($P$8:$P$17,"&gt;0")+COUNTIFS($P$8:$P$17,"&lt;=0",$B$8:$B$17,"&lt;="&amp;B13))</f>
        <v/>
      </c>
      <c r="T13">
        <f>N(G13)</f>
        <v/>
      </c>
      <c r="U13">
        <f>IF(OR(P13&lt;=0,N(I13)&lt;=0),"",IF(DATE(YEAR(TODAY()),MONTH(TODAY()),MIN(I13,DAY(DATE(YEAR(TODAY()),MONTH(TODAY())+1,0))))&gt;=TODAY(),DATE(YEAR(TODAY()),MONTH(TODAY()),MIN(I13,DAY(DATE(YEAR(TODAY()),MONTH(TODAY())+1,0)))),DATE(YEAR(TODAY()),MONTH(TODAY())+1,MIN(I13,DAY(DATE(YEAR(TODAY()),MONTH(TODAY())+2,0))))))</f>
        <v/>
      </c>
    </row>
    <row r="14" ht="21" customHeight="1">
      <c r="B14" s="63" t="n">
        <v>7</v>
      </c>
      <c r="C14" s="64" t="n"/>
      <c r="D14" s="65" t="n"/>
      <c r="E14" s="66" t="n"/>
      <c r="F14" s="18" t="n"/>
      <c r="G14" s="67" t="n"/>
      <c r="H14" s="18" t="n"/>
      <c r="I14" s="68" t="n"/>
      <c r="J14" s="69" t="n"/>
      <c r="K14" s="46">
        <f>IF($P14&gt;0,ROUND($P14*$T14/12,0),"")</f>
        <v/>
      </c>
      <c r="L14" s="70">
        <f>IF($P14&lt;=0,"",IF($Q14&lt;=0,"Sin cuota",IF($Q14&lt;=$P14*$T14/12,"No termina",IF($T14=0,ROUNDUP($P14/$Q14,0),ROUNDUP(-LN(1-$P14*($T14/12)/$Q14)/LN(1+$T14/12),0)))))</f>
        <v/>
      </c>
      <c r="M14" s="45">
        <f>IF(AND($C14="",$P14&lt;=0),"",IF($P14&lt;=0,"Sin saldo: no se tiene en cuenta",IF($Q14&lt;=0,"⚠ Falta la cuota mínima",IF($Q14&lt;=$P14*$T14/12,"⚠ La cuota no cubre el interés","✔ Listo"))))</f>
        <v/>
      </c>
      <c r="P14">
        <f>N(F14)</f>
        <v/>
      </c>
      <c r="Q14">
        <f>IF(P14&gt;0,N(H14),0)</f>
        <v/>
      </c>
      <c r="R14">
        <f>IF(P14&gt;0,1+COUNTIFS($P$8:$P$17,"&gt;0",$T$8:$T$17,"&gt;"&amp;T14)+COUNTIFS($P$8:$P$17,"&gt;0",$T$8:$T$17,T14,$B$8:$B$17,"&lt;"&amp;B14),COUNTIF($P$8:$P$17,"&gt;0")+COUNTIFS($P$8:$P$17,"&lt;=0",$B$8:$B$17,"&lt;="&amp;B14))</f>
        <v/>
      </c>
      <c r="S14">
        <f>IF(P14&gt;0,1+COUNTIFS($P$8:$P$17,"&gt;0",$P$8:$P$17,"&lt;"&amp;P14)+COUNTIFS($P$8:$P$17,P14,$B$8:$B$17,"&lt;"&amp;B14),COUNTIF($P$8:$P$17,"&gt;0")+COUNTIFS($P$8:$P$17,"&lt;=0",$B$8:$B$17,"&lt;="&amp;B14))</f>
        <v/>
      </c>
      <c r="T14">
        <f>N(G14)</f>
        <v/>
      </c>
      <c r="U14">
        <f>IF(OR(P14&lt;=0,N(I14)&lt;=0),"",IF(DATE(YEAR(TODAY()),MONTH(TODAY()),MIN(I14,DAY(DATE(YEAR(TODAY()),MONTH(TODAY())+1,0))))&gt;=TODAY(),DATE(YEAR(TODAY()),MONTH(TODAY()),MIN(I14,DAY(DATE(YEAR(TODAY()),MONTH(TODAY())+1,0)))),DATE(YEAR(TODAY()),MONTH(TODAY())+1,MIN(I14,DAY(DATE(YEAR(TODAY()),MONTH(TODAY())+2,0))))))</f>
        <v/>
      </c>
    </row>
    <row r="15" ht="21" customHeight="1">
      <c r="B15" s="71" t="n">
        <v>8</v>
      </c>
      <c r="C15" s="64" t="n"/>
      <c r="D15" s="65" t="n"/>
      <c r="E15" s="66" t="n"/>
      <c r="F15" s="18" t="n"/>
      <c r="G15" s="67" t="n"/>
      <c r="H15" s="18" t="n"/>
      <c r="I15" s="68" t="n"/>
      <c r="J15" s="69" t="n"/>
      <c r="K15" s="51">
        <f>IF($P15&gt;0,ROUND($P15*$T15/12,0),"")</f>
        <v/>
      </c>
      <c r="L15" s="72">
        <f>IF($P15&lt;=0,"",IF($Q15&lt;=0,"Sin cuota",IF($Q15&lt;=$P15*$T15/12,"No termina",IF($T15=0,ROUNDUP($P15/$Q15,0),ROUNDUP(-LN(1-$P15*($T15/12)/$Q15)/LN(1+$T15/12),0)))))</f>
        <v/>
      </c>
      <c r="M15" s="50">
        <f>IF(AND($C15="",$P15&lt;=0),"",IF($P15&lt;=0,"Sin saldo: no se tiene en cuenta",IF($Q15&lt;=0,"⚠ Falta la cuota mínima",IF($Q15&lt;=$P15*$T15/12,"⚠ La cuota no cubre el interés","✔ Listo"))))</f>
        <v/>
      </c>
      <c r="P15">
        <f>N(F15)</f>
        <v/>
      </c>
      <c r="Q15">
        <f>IF(P15&gt;0,N(H15),0)</f>
        <v/>
      </c>
      <c r="R15">
        <f>IF(P15&gt;0,1+COUNTIFS($P$8:$P$17,"&gt;0",$T$8:$T$17,"&gt;"&amp;T15)+COUNTIFS($P$8:$P$17,"&gt;0",$T$8:$T$17,T15,$B$8:$B$17,"&lt;"&amp;B15),COUNTIF($P$8:$P$17,"&gt;0")+COUNTIFS($P$8:$P$17,"&lt;=0",$B$8:$B$17,"&lt;="&amp;B15))</f>
        <v/>
      </c>
      <c r="S15">
        <f>IF(P15&gt;0,1+COUNTIFS($P$8:$P$17,"&gt;0",$P$8:$P$17,"&lt;"&amp;P15)+COUNTIFS($P$8:$P$17,P15,$B$8:$B$17,"&lt;"&amp;B15),COUNTIF($P$8:$P$17,"&gt;0")+COUNTIFS($P$8:$P$17,"&lt;=0",$B$8:$B$17,"&lt;="&amp;B15))</f>
        <v/>
      </c>
      <c r="T15">
        <f>N(G15)</f>
        <v/>
      </c>
      <c r="U15">
        <f>IF(OR(P15&lt;=0,N(I15)&lt;=0),"",IF(DATE(YEAR(TODAY()),MONTH(TODAY()),MIN(I15,DAY(DATE(YEAR(TODAY()),MONTH(TODAY())+1,0))))&gt;=TODAY(),DATE(YEAR(TODAY()),MONTH(TODAY()),MIN(I15,DAY(DATE(YEAR(TODAY()),MONTH(TODAY())+1,0)))),DATE(YEAR(TODAY()),MONTH(TODAY())+1,MIN(I15,DAY(DATE(YEAR(TODAY()),MONTH(TODAY())+2,0))))))</f>
        <v/>
      </c>
    </row>
    <row r="16" ht="21" customHeight="1">
      <c r="B16" s="63" t="n">
        <v>9</v>
      </c>
      <c r="C16" s="64" t="n"/>
      <c r="D16" s="65" t="n"/>
      <c r="E16" s="66" t="n"/>
      <c r="F16" s="18" t="n"/>
      <c r="G16" s="67" t="n"/>
      <c r="H16" s="18" t="n"/>
      <c r="I16" s="68" t="n"/>
      <c r="J16" s="69" t="n"/>
      <c r="K16" s="46">
        <f>IF($P16&gt;0,ROUND($P16*$T16/12,0),"")</f>
        <v/>
      </c>
      <c r="L16" s="70">
        <f>IF($P16&lt;=0,"",IF($Q16&lt;=0,"Sin cuota",IF($Q16&lt;=$P16*$T16/12,"No termina",IF($T16=0,ROUNDUP($P16/$Q16,0),ROUNDUP(-LN(1-$P16*($T16/12)/$Q16)/LN(1+$T16/12),0)))))</f>
        <v/>
      </c>
      <c r="M16" s="45">
        <f>IF(AND($C16="",$P16&lt;=0),"",IF($P16&lt;=0,"Sin saldo: no se tiene en cuenta",IF($Q16&lt;=0,"⚠ Falta la cuota mínima",IF($Q16&lt;=$P16*$T16/12,"⚠ La cuota no cubre el interés","✔ Listo"))))</f>
        <v/>
      </c>
      <c r="P16">
        <f>N(F16)</f>
        <v/>
      </c>
      <c r="Q16">
        <f>IF(P16&gt;0,N(H16),0)</f>
        <v/>
      </c>
      <c r="R16">
        <f>IF(P16&gt;0,1+COUNTIFS($P$8:$P$17,"&gt;0",$T$8:$T$17,"&gt;"&amp;T16)+COUNTIFS($P$8:$P$17,"&gt;0",$T$8:$T$17,T16,$B$8:$B$17,"&lt;"&amp;B16),COUNTIF($P$8:$P$17,"&gt;0")+COUNTIFS($P$8:$P$17,"&lt;=0",$B$8:$B$17,"&lt;="&amp;B16))</f>
        <v/>
      </c>
      <c r="S16">
        <f>IF(P16&gt;0,1+COUNTIFS($P$8:$P$17,"&gt;0",$P$8:$P$17,"&lt;"&amp;P16)+COUNTIFS($P$8:$P$17,P16,$B$8:$B$17,"&lt;"&amp;B16),COUNTIF($P$8:$P$17,"&gt;0")+COUNTIFS($P$8:$P$17,"&lt;=0",$B$8:$B$17,"&lt;="&amp;B16))</f>
        <v/>
      </c>
      <c r="T16">
        <f>N(G16)</f>
        <v/>
      </c>
      <c r="U16">
        <f>IF(OR(P16&lt;=0,N(I16)&lt;=0),"",IF(DATE(YEAR(TODAY()),MONTH(TODAY()),MIN(I16,DAY(DATE(YEAR(TODAY()),MONTH(TODAY())+1,0))))&gt;=TODAY(),DATE(YEAR(TODAY()),MONTH(TODAY()),MIN(I16,DAY(DATE(YEAR(TODAY()),MONTH(TODAY())+1,0)))),DATE(YEAR(TODAY()),MONTH(TODAY())+1,MIN(I16,DAY(DATE(YEAR(TODAY()),MONTH(TODAY())+2,0))))))</f>
        <v/>
      </c>
    </row>
    <row r="17" ht="21" customHeight="1">
      <c r="B17" s="71" t="n">
        <v>10</v>
      </c>
      <c r="C17" s="64" t="n"/>
      <c r="D17" s="65" t="n"/>
      <c r="E17" s="66" t="n"/>
      <c r="F17" s="18" t="n"/>
      <c r="G17" s="67" t="n"/>
      <c r="H17" s="18" t="n"/>
      <c r="I17" s="68" t="n"/>
      <c r="J17" s="69" t="n"/>
      <c r="K17" s="51">
        <f>IF($P17&gt;0,ROUND($P17*$T17/12,0),"")</f>
        <v/>
      </c>
      <c r="L17" s="72">
        <f>IF($P17&lt;=0,"",IF($Q17&lt;=0,"Sin cuota",IF($Q17&lt;=$P17*$T17/12,"No termina",IF($T17=0,ROUNDUP($P17/$Q17,0),ROUNDUP(-LN(1-$P17*($T17/12)/$Q17)/LN(1+$T17/12),0)))))</f>
        <v/>
      </c>
      <c r="M17" s="50">
        <f>IF(AND($C17="",$P17&lt;=0),"",IF($P17&lt;=0,"Sin saldo: no se tiene en cuenta",IF($Q17&lt;=0,"⚠ Falta la cuota mínima",IF($Q17&lt;=$P17*$T17/12,"⚠ La cuota no cubre el interés","✔ Listo"))))</f>
        <v/>
      </c>
      <c r="P17">
        <f>N(F17)</f>
        <v/>
      </c>
      <c r="Q17">
        <f>IF(P17&gt;0,N(H17),0)</f>
        <v/>
      </c>
      <c r="R17">
        <f>IF(P17&gt;0,1+COUNTIFS($P$8:$P$17,"&gt;0",$T$8:$T$17,"&gt;"&amp;T17)+COUNTIFS($P$8:$P$17,"&gt;0",$T$8:$T$17,T17,$B$8:$B$17,"&lt;"&amp;B17),COUNTIF($P$8:$P$17,"&gt;0")+COUNTIFS($P$8:$P$17,"&lt;=0",$B$8:$B$17,"&lt;="&amp;B17))</f>
        <v/>
      </c>
      <c r="S17">
        <f>IF(P17&gt;0,1+COUNTIFS($P$8:$P$17,"&gt;0",$P$8:$P$17,"&lt;"&amp;P17)+COUNTIFS($P$8:$P$17,P17,$B$8:$B$17,"&lt;"&amp;B17),COUNTIF($P$8:$P$17,"&gt;0")+COUNTIFS($P$8:$P$17,"&lt;=0",$B$8:$B$17,"&lt;="&amp;B17))</f>
        <v/>
      </c>
      <c r="T17">
        <f>N(G17)</f>
        <v/>
      </c>
      <c r="U17">
        <f>IF(OR(P17&lt;=0,N(I17)&lt;=0),"",IF(DATE(YEAR(TODAY()),MONTH(TODAY()),MIN(I17,DAY(DATE(YEAR(TODAY()),MONTH(TODAY())+1,0))))&gt;=TODAY(),DATE(YEAR(TODAY()),MONTH(TODAY()),MIN(I17,DAY(DATE(YEAR(TODAY()),MONTH(TODAY())+1,0)))),DATE(YEAR(TODAY()),MONTH(TODAY())+1,MIN(I17,DAY(DATE(YEAR(TODAY()),MONTH(TODAY())+2,0))))))</f>
        <v/>
      </c>
    </row>
    <row r="18" ht="24" customHeight="1">
      <c r="B18" s="73" t="inlineStr">
        <is>
          <t>TOTAL</t>
        </is>
      </c>
      <c r="E18" s="55">
        <f>SUM(E8:E17)</f>
        <v/>
      </c>
      <c r="F18" s="74">
        <f>SUM(F8:F17)</f>
        <v/>
      </c>
      <c r="G18" s="75">
        <f>IFERROR(SUMPRODUCT(P8:P17,T8:T17)/SUM(P8:P17),0)</f>
        <v/>
      </c>
      <c r="H18" s="74">
        <f>SUM(Q8:Q17)</f>
        <v/>
      </c>
      <c r="I18" s="56" t="n"/>
      <c r="J18" s="56" t="n"/>
      <c r="K18" s="55">
        <f>SUM(K8:K17)</f>
        <v/>
      </c>
    </row>
    <row r="20" ht="20" customHeight="1">
      <c r="B20" s="16" t="inlineStr">
        <is>
          <t>Pago extra por mes (lo elegís en el PANEL):</t>
        </is>
      </c>
      <c r="H20" s="76">
        <f>Extra</f>
        <v/>
      </c>
    </row>
    <row r="21" ht="24" customHeight="1">
      <c r="B21" s="16" t="inlineStr">
        <is>
          <t>PAGO MENSUAL TOTAL (cuotas + extra):</t>
        </is>
      </c>
      <c r="H21" s="77">
        <f>SUM(Q8:Q17)+N(Extra)</f>
        <v/>
      </c>
    </row>
    <row r="23">
      <c r="B23" s="19" t="inlineStr">
        <is>
          <t>La tasa anual la encontrás en tu contrato o estado de cuenta (ej.: 36 %). Si no cobran interés, escribí 0 %. Los cálculos son estimados: tu banco puede aplicar comisiones o seguros que acá no figuran.</t>
        </is>
      </c>
    </row>
    <row r="26" ht="8" customHeight="1">
      <c r="B26" s="57" t="n"/>
    </row>
    <row r="27" ht="16" customHeight="1">
      <c r="B27" s="58" t="inlineStr">
        <is>
          <t>MIX SHOP DIGITAL  ·  Herramientas inteligentes que simplifican tu vida.</t>
        </is>
      </c>
    </row>
    <row r="28" ht="16" customHeight="1">
      <c r="B28" s="59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mergeCells count="15">
    <mergeCell ref="B20:G20"/>
    <mergeCell ref="E2:M2"/>
    <mergeCell ref="C4:M4"/>
    <mergeCell ref="E1:M1"/>
    <mergeCell ref="B5:D5"/>
    <mergeCell ref="B28:M28"/>
    <mergeCell ref="B1:D1"/>
    <mergeCell ref="B23:M23"/>
    <mergeCell ref="G5:H5"/>
    <mergeCell ref="E5:F5"/>
    <mergeCell ref="B18:D18"/>
    <mergeCell ref="B26:M26"/>
    <mergeCell ref="B27:M27"/>
    <mergeCell ref="B21:G21"/>
    <mergeCell ref="B2:D2"/>
  </mergeCells>
  <conditionalFormatting sqref="M8:M17">
    <cfRule type="expression" priority="1" dxfId="0" stopIfTrue="1">
      <formula>LEFT($M8,1)="⚠"</formula>
    </cfRule>
    <cfRule type="expression" priority="2" dxfId="1">
      <formula>LEFT($M8,1)="✔"</formula>
    </cfRule>
  </conditionalFormatting>
  <conditionalFormatting sqref="L8:L17">
    <cfRule type="cellIs" priority="3" operator="equal" dxfId="2">
      <formula>"No termina"</formula>
    </cfRule>
  </conditionalFormatting>
  <conditionalFormatting sqref="F8:F17">
    <cfRule type="dataBar" priority="4">
      <dataBar showValue="1">
        <cfvo type="num" val="0"/>
        <cfvo type="max"/>
        <color rgb="009ED8B5"/>
      </dataBar>
    </cfRule>
  </conditionalFormatting>
  <dataValidations count="6">
    <dataValidation sqref="D8:D17" showDropDown="0" showInputMessage="1" showErrorMessage="1" allowBlank="1" errorTitle="Valor no válido" error="Elegí un valor de la lista desplegable." promptTitle="Tipo de deuda" prompt="Elegí el tipo. Podés editar la lista en AJUSTES." type="list" errorStyle="stop">
      <formula1>ListaTipo</formula1>
    </dataValidation>
    <dataValidation sqref="J8:J17" showDropDown="0" showInputMessage="1" showErrorMessage="1" allowBlank="1" errorTitle="Valor no válido" error="Elegí un valor de la lista desplegable." promptTitle="¿Pagaste este mes?" prompt="Elegí Sí cuando pagues la cuota del mes. Volvé a poner No el mes siguiente." type="list" errorStyle="stop">
      <formula1>"Sí,No"</formula1>
    </dataValidation>
    <dataValidation sqref="E8:F17" showDropDown="0" showInputMessage="1" showErrorMessage="1" allowBlank="1" errorTitle="Dato no válido" error="Ingresá un número válido. No se aceptan valores negativos ni texto." promptTitle="Monto" prompt="Solo números, sin puntos ni símbolos. Ej.: 4200000" type="decimal" operator="greaterThanOrEqual">
      <formula1>0</formula1>
    </dataValidation>
    <dataValidation sqref="H8:H17" showDropDown="0" showInputMessage="1" showErrorMessage="1" allowBlank="1" errorTitle="Dato no válido" error="Ingresá un número válido. No se aceptan valores negativos ni texto." promptTitle="Cuota mínima" prompt="Lo que tenés que pagar como mínimo cada mes." type="decimal" operator="greaterThanOrEqual">
      <formula1>0</formula1>
    </dataValidation>
    <dataValidation sqref="G8:G17" showDropDown="0" showInputMessage="1" showErrorMessage="1" allowBlank="1" errorTitle="Dato no válido" error="La tasa debe estar entre 0 % y 300 %." promptTitle="Tasa anual" prompt="Escribí el porcentaje anual. Ej.: 36 % (0 si no cobran interés)." type="decimal" operator="between">
      <formula1>0</formula1>
      <formula2>3</formula2>
    </dataValidation>
    <dataValidation sqref="I8:I17" showDropDown="0" showInputMessage="1" showErrorMessage="1" allowBlank="1" errorTitle="Dato no válido" error="Escribí un día entre 1 y 31." promptTitle="Día de vencimiento" prompt="Día del mes en que vence. Ej.: 15" type="whole" operator="between">
      <formula1>1</formula1>
      <formula2>31</formula2>
    </dataValidation>
  </dataValidations>
  <hyperlinks>
    <hyperlink ref="B5" location="'PANEL'!A1" display="←  Volver al PANEL"/>
    <hyperlink ref="E5" location="'VENCIMIENTOS'!A1" display="Vencimientos"/>
    <hyperlink ref="G5" location="'AJUSTES'!A1" display="Ajustes"/>
    <hyperlink xmlns:r="http://schemas.openxmlformats.org/officeDocument/2006/relationships" ref="B28" r:id="rId1"/>
  </hyperlinks>
  <printOptions horizontalCentered="1"/>
  <pageMargins left="0.75" right="0.75" top="1" bottom="1" header="0.5" footer="0.5"/>
  <pageSetup orientation="landscape" paperSize="9" fitToHeight="0" fitToWidth="1"/>
  <headerFooter>
    <oddHeader>&amp;C&amp;"Arial,Bold"&amp;14 &amp;K14532DMIX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tabColor rgb="00F2C94C"/>
    <outlinePr summaryBelow="1" summaryRight="1"/>
    <pageSetUpPr fitToPage="1"/>
  </sheetPr>
  <dimension ref="B1:G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14" customWidth="1" min="4" max="4"/>
    <col width="16" customWidth="1" min="5" max="5"/>
    <col width="16" customWidth="1" min="6" max="6"/>
    <col width="28" customWidth="1" min="7" max="7"/>
  </cols>
  <sheetData>
    <row r="1" ht="38" customHeight="1">
      <c r="B1" s="1" t="n"/>
      <c r="C1" s="2" t="n"/>
      <c r="D1" s="3" t="inlineStr">
        <is>
          <t>VENCIMIENTOS</t>
        </is>
      </c>
      <c r="E1" s="2" t="n"/>
      <c r="F1" s="2" t="n"/>
      <c r="G1" s="2" t="n"/>
    </row>
    <row r="2" ht="18" customHeight="1">
      <c r="B2" s="4" t="inlineStr">
        <is>
          <t>Herramientas inteligentes que simplifican tu vida.</t>
        </is>
      </c>
      <c r="D2" s="5" t="inlineStr">
        <is>
          <t>¿Qué tenés que pagar este mes?</t>
        </is>
      </c>
    </row>
    <row r="3" ht="5" customHeight="1">
      <c r="B3" s="6" t="n"/>
      <c r="C3" s="7" t="n"/>
      <c r="D3" s="8" t="n"/>
      <c r="E3" s="9" t="n"/>
      <c r="F3" s="10" t="n"/>
      <c r="G3" s="11" t="n"/>
    </row>
    <row r="4" ht="20" customHeight="1">
      <c r="B4" s="60" t="n"/>
      <c r="C4" s="12" t="inlineStr">
        <is>
          <t>Marcá «Sí» en DEUDAS cuando pagues cada cuota. Acá ves qué está pagado, qué vence pronto y qué ya venció.</t>
        </is>
      </c>
    </row>
    <row r="5" ht="22" customHeight="1">
      <c r="B5" s="14" t="inlineStr">
        <is>
          <t>←  Volver al PANEL</t>
        </is>
      </c>
      <c r="D5" s="15" t="inlineStr">
        <is>
          <t>Anotar pagos</t>
        </is>
      </c>
    </row>
    <row r="7" ht="16" customHeight="1">
      <c r="B7" s="22" t="inlineStr">
        <is>
          <t>PAGADAS ESTE MES</t>
        </is>
      </c>
      <c r="D7" s="20" t="inlineStr">
        <is>
          <t>PENDIENTES</t>
        </is>
      </c>
      <c r="F7" s="21" t="inlineStr">
        <is>
          <t>TE FALTA PAGAR</t>
        </is>
      </c>
    </row>
    <row r="8" ht="30" customHeight="1">
      <c r="B8" s="78">
        <f>COUNTIF(G11:G20,"✔*")</f>
        <v/>
      </c>
      <c r="D8" s="79">
        <f>COUNTIF(B11:B20,"?*")-B8</f>
        <v/>
      </c>
      <c r="F8" s="80">
        <f>SUMIFS(E11:E20,G11:G20,"&lt;&gt;✔ Pagado")</f>
        <v/>
      </c>
    </row>
    <row r="9" ht="15" customHeight="1">
      <c r="B9" s="30">
        <f>"de "&amp;COUNTIF(B11:B20,"?*")&amp;" deudas"</f>
        <v/>
      </c>
      <c r="D9" s="28" t="inlineStr">
        <is>
          <t>todavía sin pagar</t>
        </is>
      </c>
      <c r="F9" s="29" t="inlineStr">
        <is>
          <t>suma de cuotas pendientes</t>
        </is>
      </c>
    </row>
    <row r="10" ht="24" customHeight="1">
      <c r="B10" s="61" t="inlineStr">
        <is>
          <t>Deuda</t>
        </is>
      </c>
      <c r="C10" s="61" t="inlineStr">
        <is>
          <t>Tipo</t>
        </is>
      </c>
      <c r="D10" s="61" t="inlineStr">
        <is>
          <t>Vence</t>
        </is>
      </c>
      <c r="E10" s="61" t="inlineStr">
        <is>
          <t>Cuota mínima</t>
        </is>
      </c>
      <c r="F10" s="61" t="inlineStr">
        <is>
          <t>¿Pagaste?</t>
        </is>
      </c>
      <c r="G10" s="61" t="inlineStr">
        <is>
          <t>Estado</t>
        </is>
      </c>
    </row>
    <row r="11" ht="21" customHeight="1">
      <c r="B11" s="37">
        <f>IF(OR(DEUDAS!P8&lt;=0,DEUDAS!C8=""),"",DEUDAS!C8)</f>
        <v/>
      </c>
      <c r="C11" s="81">
        <f>IF(B11="","",DEUDAS!D8&amp;"")</f>
        <v/>
      </c>
      <c r="D11" s="82">
        <f>IF(OR(B11="",N(DEUDAS!I8)=0),"",DATE(YEAR(TODAY()),MONTH(TODAY()),MIN(DEUDAS!I8,DAY(DATE(YEAR(TODAY()),MONTH(TODAY())+1,0)))))</f>
        <v/>
      </c>
      <c r="E11" s="83">
        <f>IF(B11="","",DEUDAS!Q8)</f>
        <v/>
      </c>
      <c r="F11" s="48">
        <f>IF(B11="","",IF(DEUDAS!J8="Sí","Sí","No"))</f>
        <v/>
      </c>
      <c r="G11" s="84">
        <f>IF(B11="","",IF(F11="Sí","✔ Pagado",IF(D11="","Sin día de vencimiento",IF(D11&lt;TODAY(),"✖ Vencido",IF(D11=TODAY(),"⚠ Vence hoy",IF(D11-TODAY()&lt;=5,"⚠ Vence en "&amp;(D11-TODAY())&amp;" día(s)","Pendiente"))))))</f>
        <v/>
      </c>
    </row>
    <row r="12" ht="21" customHeight="1">
      <c r="B12" s="85">
        <f>IF(OR(DEUDAS!P9&lt;=0,DEUDAS!C9=""),"",DEUDAS!C9)</f>
        <v/>
      </c>
      <c r="C12" s="86">
        <f>IF(B12="","",DEUDAS!D9&amp;"")</f>
        <v/>
      </c>
      <c r="D12" s="87">
        <f>IF(OR(B12="",N(DEUDAS!I9)=0),"",DATE(YEAR(TODAY()),MONTH(TODAY()),MIN(DEUDAS!I9,DAY(DATE(YEAR(TODAY()),MONTH(TODAY())+1,0)))))</f>
        <v/>
      </c>
      <c r="E12" s="88">
        <f>IF(B12="","",DEUDAS!Q9)</f>
        <v/>
      </c>
      <c r="F12" s="53">
        <f>IF(B12="","",IF(DEUDAS!J9="Sí","Sí","No"))</f>
        <v/>
      </c>
      <c r="G12" s="89">
        <f>IF(B12="","",IF(F12="Sí","✔ Pagado",IF(D12="","Sin día de vencimiento",IF(D12&lt;TODAY(),"✖ Vencido",IF(D12=TODAY(),"⚠ Vence hoy",IF(D12-TODAY()&lt;=5,"⚠ Vence en "&amp;(D12-TODAY())&amp;" día(s)","Pendiente"))))))</f>
        <v/>
      </c>
    </row>
    <row r="13" ht="21" customHeight="1">
      <c r="B13" s="37">
        <f>IF(OR(DEUDAS!P10&lt;=0,DEUDAS!C10=""),"",DEUDAS!C10)</f>
        <v/>
      </c>
      <c r="C13" s="81">
        <f>IF(B13="","",DEUDAS!D10&amp;"")</f>
        <v/>
      </c>
      <c r="D13" s="82">
        <f>IF(OR(B13="",N(DEUDAS!I10)=0),"",DATE(YEAR(TODAY()),MONTH(TODAY()),MIN(DEUDAS!I10,DAY(DATE(YEAR(TODAY()),MONTH(TODAY())+1,0)))))</f>
        <v/>
      </c>
      <c r="E13" s="83">
        <f>IF(B13="","",DEUDAS!Q10)</f>
        <v/>
      </c>
      <c r="F13" s="48">
        <f>IF(B13="","",IF(DEUDAS!J10="Sí","Sí","No"))</f>
        <v/>
      </c>
      <c r="G13" s="84">
        <f>IF(B13="","",IF(F13="Sí","✔ Pagado",IF(D13="","Sin día de vencimiento",IF(D13&lt;TODAY(),"✖ Vencido",IF(D13=TODAY(),"⚠ Vence hoy",IF(D13-TODAY()&lt;=5,"⚠ Vence en "&amp;(D13-TODAY())&amp;" día(s)","Pendiente"))))))</f>
        <v/>
      </c>
    </row>
    <row r="14" ht="21" customHeight="1">
      <c r="B14" s="85">
        <f>IF(OR(DEUDAS!P11&lt;=0,DEUDAS!C11=""),"",DEUDAS!C11)</f>
        <v/>
      </c>
      <c r="C14" s="86">
        <f>IF(B14="","",DEUDAS!D11&amp;"")</f>
        <v/>
      </c>
      <c r="D14" s="87">
        <f>IF(OR(B14="",N(DEUDAS!I11)=0),"",DATE(YEAR(TODAY()),MONTH(TODAY()),MIN(DEUDAS!I11,DAY(DATE(YEAR(TODAY()),MONTH(TODAY())+1,0)))))</f>
        <v/>
      </c>
      <c r="E14" s="88">
        <f>IF(B14="","",DEUDAS!Q11)</f>
        <v/>
      </c>
      <c r="F14" s="53">
        <f>IF(B14="","",IF(DEUDAS!J11="Sí","Sí","No"))</f>
        <v/>
      </c>
      <c r="G14" s="89">
        <f>IF(B14="","",IF(F14="Sí","✔ Pagado",IF(D14="","Sin día de vencimiento",IF(D14&lt;TODAY(),"✖ Vencido",IF(D14=TODAY(),"⚠ Vence hoy",IF(D14-TODAY()&lt;=5,"⚠ Vence en "&amp;(D14-TODAY())&amp;" día(s)","Pendiente"))))))</f>
        <v/>
      </c>
    </row>
    <row r="15" ht="21" customHeight="1">
      <c r="B15" s="37">
        <f>IF(OR(DEUDAS!P12&lt;=0,DEUDAS!C12=""),"",DEUDAS!C12)</f>
        <v/>
      </c>
      <c r="C15" s="81">
        <f>IF(B15="","",DEUDAS!D12&amp;"")</f>
        <v/>
      </c>
      <c r="D15" s="82">
        <f>IF(OR(B15="",N(DEUDAS!I12)=0),"",DATE(YEAR(TODAY()),MONTH(TODAY()),MIN(DEUDAS!I12,DAY(DATE(YEAR(TODAY()),MONTH(TODAY())+1,0)))))</f>
        <v/>
      </c>
      <c r="E15" s="83">
        <f>IF(B15="","",DEUDAS!Q12)</f>
        <v/>
      </c>
      <c r="F15" s="48">
        <f>IF(B15="","",IF(DEUDAS!J12="Sí","Sí","No"))</f>
        <v/>
      </c>
      <c r="G15" s="84">
        <f>IF(B15="","",IF(F15="Sí","✔ Pagado",IF(D15="","Sin día de vencimiento",IF(D15&lt;TODAY(),"✖ Vencido",IF(D15=TODAY(),"⚠ Vence hoy",IF(D15-TODAY()&lt;=5,"⚠ Vence en "&amp;(D15-TODAY())&amp;" día(s)","Pendiente"))))))</f>
        <v/>
      </c>
    </row>
    <row r="16" ht="21" customHeight="1">
      <c r="B16" s="85">
        <f>IF(OR(DEUDAS!P13&lt;=0,DEUDAS!C13=""),"",DEUDAS!C13)</f>
        <v/>
      </c>
      <c r="C16" s="86">
        <f>IF(B16="","",DEUDAS!D13&amp;"")</f>
        <v/>
      </c>
      <c r="D16" s="87">
        <f>IF(OR(B16="",N(DEUDAS!I13)=0),"",DATE(YEAR(TODAY()),MONTH(TODAY()),MIN(DEUDAS!I13,DAY(DATE(YEAR(TODAY()),MONTH(TODAY())+1,0)))))</f>
        <v/>
      </c>
      <c r="E16" s="88">
        <f>IF(B16="","",DEUDAS!Q13)</f>
        <v/>
      </c>
      <c r="F16" s="53">
        <f>IF(B16="","",IF(DEUDAS!J13="Sí","Sí","No"))</f>
        <v/>
      </c>
      <c r="G16" s="89">
        <f>IF(B16="","",IF(F16="Sí","✔ Pagado",IF(D16="","Sin día de vencimiento",IF(D16&lt;TODAY(),"✖ Vencido",IF(D16=TODAY(),"⚠ Vence hoy",IF(D16-TODAY()&lt;=5,"⚠ Vence en "&amp;(D16-TODAY())&amp;" día(s)","Pendiente"))))))</f>
        <v/>
      </c>
    </row>
    <row r="17" ht="21" customHeight="1">
      <c r="B17" s="37">
        <f>IF(OR(DEUDAS!P14&lt;=0,DEUDAS!C14=""),"",DEUDAS!C14)</f>
        <v/>
      </c>
      <c r="C17" s="81">
        <f>IF(B17="","",DEUDAS!D14&amp;"")</f>
        <v/>
      </c>
      <c r="D17" s="82">
        <f>IF(OR(B17="",N(DEUDAS!I14)=0),"",DATE(YEAR(TODAY()),MONTH(TODAY()),MIN(DEUDAS!I14,DAY(DATE(YEAR(TODAY()),MONTH(TODAY())+1,0)))))</f>
        <v/>
      </c>
      <c r="E17" s="83">
        <f>IF(B17="","",DEUDAS!Q14)</f>
        <v/>
      </c>
      <c r="F17" s="48">
        <f>IF(B17="","",IF(DEUDAS!J14="Sí","Sí","No"))</f>
        <v/>
      </c>
      <c r="G17" s="84">
        <f>IF(B17="","",IF(F17="Sí","✔ Pagado",IF(D17="","Sin día de vencimiento",IF(D17&lt;TODAY(),"✖ Vencido",IF(D17=TODAY(),"⚠ Vence hoy",IF(D17-TODAY()&lt;=5,"⚠ Vence en "&amp;(D17-TODAY())&amp;" día(s)","Pendiente"))))))</f>
        <v/>
      </c>
    </row>
    <row r="18" ht="21" customHeight="1">
      <c r="B18" s="85">
        <f>IF(OR(DEUDAS!P15&lt;=0,DEUDAS!C15=""),"",DEUDAS!C15)</f>
        <v/>
      </c>
      <c r="C18" s="86">
        <f>IF(B18="","",DEUDAS!D15&amp;"")</f>
        <v/>
      </c>
      <c r="D18" s="87">
        <f>IF(OR(B18="",N(DEUDAS!I15)=0),"",DATE(YEAR(TODAY()),MONTH(TODAY()),MIN(DEUDAS!I15,DAY(DATE(YEAR(TODAY()),MONTH(TODAY())+1,0)))))</f>
        <v/>
      </c>
      <c r="E18" s="88">
        <f>IF(B18="","",DEUDAS!Q15)</f>
        <v/>
      </c>
      <c r="F18" s="53">
        <f>IF(B18="","",IF(DEUDAS!J15="Sí","Sí","No"))</f>
        <v/>
      </c>
      <c r="G18" s="89">
        <f>IF(B18="","",IF(F18="Sí","✔ Pagado",IF(D18="","Sin día de vencimiento",IF(D18&lt;TODAY(),"✖ Vencido",IF(D18=TODAY(),"⚠ Vence hoy",IF(D18-TODAY()&lt;=5,"⚠ Vence en "&amp;(D18-TODAY())&amp;" día(s)","Pendiente"))))))</f>
        <v/>
      </c>
    </row>
    <row r="19" ht="21" customHeight="1">
      <c r="B19" s="37">
        <f>IF(OR(DEUDAS!P16&lt;=0,DEUDAS!C16=""),"",DEUDAS!C16)</f>
        <v/>
      </c>
      <c r="C19" s="81">
        <f>IF(B19="","",DEUDAS!D16&amp;"")</f>
        <v/>
      </c>
      <c r="D19" s="82">
        <f>IF(OR(B19="",N(DEUDAS!I16)=0),"",DATE(YEAR(TODAY()),MONTH(TODAY()),MIN(DEUDAS!I16,DAY(DATE(YEAR(TODAY()),MONTH(TODAY())+1,0)))))</f>
        <v/>
      </c>
      <c r="E19" s="83">
        <f>IF(B19="","",DEUDAS!Q16)</f>
        <v/>
      </c>
      <c r="F19" s="48">
        <f>IF(B19="","",IF(DEUDAS!J16="Sí","Sí","No"))</f>
        <v/>
      </c>
      <c r="G19" s="84">
        <f>IF(B19="","",IF(F19="Sí","✔ Pagado",IF(D19="","Sin día de vencimiento",IF(D19&lt;TODAY(),"✖ Vencido",IF(D19=TODAY(),"⚠ Vence hoy",IF(D19-TODAY()&lt;=5,"⚠ Vence en "&amp;(D19-TODAY())&amp;" día(s)","Pendiente"))))))</f>
        <v/>
      </c>
    </row>
    <row r="20" ht="21" customHeight="1">
      <c r="B20" s="85">
        <f>IF(OR(DEUDAS!P17&lt;=0,DEUDAS!C17=""),"",DEUDAS!C17)</f>
        <v/>
      </c>
      <c r="C20" s="86">
        <f>IF(B20="","",DEUDAS!D17&amp;"")</f>
        <v/>
      </c>
      <c r="D20" s="87">
        <f>IF(OR(B20="",N(DEUDAS!I17)=0),"",DATE(YEAR(TODAY()),MONTH(TODAY()),MIN(DEUDAS!I17,DAY(DATE(YEAR(TODAY()),MONTH(TODAY())+1,0)))))</f>
        <v/>
      </c>
      <c r="E20" s="88">
        <f>IF(B20="","",DEUDAS!Q17)</f>
        <v/>
      </c>
      <c r="F20" s="53">
        <f>IF(B20="","",IF(DEUDAS!J17="Sí","Sí","No"))</f>
        <v/>
      </c>
      <c r="G20" s="89">
        <f>IF(B20="","",IF(F20="Sí","✔ Pagado",IF(D20="","Sin día de vencimiento",IF(D20&lt;TODAY(),"✖ Vencido",IF(D20=TODAY(),"⚠ Vence hoy",IF(D20-TODAY()&lt;=5,"⚠ Vence en "&amp;(D20-TODAY())&amp;" día(s)","Pendiente"))))))</f>
        <v/>
      </c>
    </row>
    <row r="22">
      <c r="B22" s="19" t="inlineStr">
        <is>
          <t>Cada mes volvé a poner «No» en la columna «¿Pagaste este mes?» de DEUDAS, así el aviso empieza de nuevo.</t>
        </is>
      </c>
    </row>
    <row r="24" ht="8" customHeight="1">
      <c r="B24" s="57" t="n"/>
    </row>
    <row r="25" ht="16" customHeight="1">
      <c r="B25" s="58" t="inlineStr">
        <is>
          <t>MIX SHOP DIGITAL  ·  Herramientas inteligentes que simplifican tu vida.</t>
        </is>
      </c>
    </row>
    <row r="26" ht="16" customHeight="1">
      <c r="B26" s="59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mergeCells count="20">
    <mergeCell ref="B7:C7"/>
    <mergeCell ref="F7:G7"/>
    <mergeCell ref="C4:G4"/>
    <mergeCell ref="B2:C2"/>
    <mergeCell ref="D1:G1"/>
    <mergeCell ref="B1:C1"/>
    <mergeCell ref="B8:C8"/>
    <mergeCell ref="F8:G8"/>
    <mergeCell ref="B24:G24"/>
    <mergeCell ref="D7:E7"/>
    <mergeCell ref="B26:G26"/>
    <mergeCell ref="B9:C9"/>
    <mergeCell ref="D2:G2"/>
    <mergeCell ref="D9:E9"/>
    <mergeCell ref="F9:G9"/>
    <mergeCell ref="B25:G25"/>
    <mergeCell ref="D8:E8"/>
    <mergeCell ref="B22:G22"/>
    <mergeCell ref="B5:C5"/>
    <mergeCell ref="D5:E5"/>
  </mergeCells>
  <conditionalFormatting sqref="G11:G20">
    <cfRule type="expression" priority="1" dxfId="3">
      <formula>LEFT($G11,1)="✖"</formula>
    </cfRule>
    <cfRule type="expression" priority="2" dxfId="0">
      <formula>LEFT($G11,1)="⚠"</formula>
    </cfRule>
    <cfRule type="expression" priority="3" dxfId="1">
      <formula>LEFT($G11,1)="✔"</formula>
    </cfRule>
  </conditionalFormatting>
  <hyperlinks>
    <hyperlink ref="B5" location="'PANEL'!A1" display="←  Volver al PANEL"/>
    <hyperlink ref="D5" location="'DEUDAS'!A1" display="Anotar pagos"/>
    <hyperlink xmlns:r="http://schemas.openxmlformats.org/officeDocument/2006/relationships" ref="B26" r:id="rId1"/>
  </hyperlinks>
  <printOptions horizontalCentered="1"/>
  <pageMargins left="0.75" right="0.75" top="1" bottom="1" header="0.5" footer="0.5"/>
  <pageSetup orientation="portrait" paperSize="9" fitToHeight="0" fitToWidth="1"/>
  <headerFooter>
    <oddHeader>&amp;C&amp;"Arial,Bold"&amp;14 &amp;K14532DMIX SHOP DIGITAL</oddHeader>
    <oddFooter>&amp;L&amp;8 MIX SHOP DIGITAL — Herramientas inteligentes que simplifican tu vida.&amp;C&amp;8 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tabColor rgb="002E9E5B"/>
    <outlinePr summaryBelow="1" summaryRight="1"/>
    <pageSetUpPr fitToPage="1"/>
  </sheetPr>
  <dimension ref="B1:H4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14" customWidth="1" min="3" max="3"/>
    <col width="16" customWidth="1" min="4" max="4"/>
    <col width="16" customWidth="1" min="5" max="5"/>
    <col width="16" customWidth="1" min="6" max="6"/>
    <col width="18" customWidth="1" min="7" max="7"/>
    <col width="30" customWidth="1" min="8" max="8"/>
  </cols>
  <sheetData>
    <row r="1" ht="38" customHeight="1">
      <c r="B1" s="1" t="n"/>
      <c r="C1" s="2" t="n"/>
      <c r="D1" s="3" t="inlineStr">
        <is>
          <t>PLAN MES A MES</t>
        </is>
      </c>
      <c r="E1" s="2" t="n"/>
      <c r="F1" s="2" t="n"/>
      <c r="G1" s="2" t="n"/>
      <c r="H1" s="2" t="n"/>
    </row>
    <row r="2" ht="18" customHeight="1">
      <c r="B2" s="4" t="inlineStr">
        <is>
          <t>Herramientas inteligentes que simplifican tu vida.</t>
        </is>
      </c>
      <c r="D2" s="5" t="inlineStr">
        <is>
          <t>Tu camino hacia cero</t>
        </is>
      </c>
    </row>
    <row r="3" ht="5" customHeight="1">
      <c r="B3" s="6" t="n"/>
      <c r="C3" s="7" t="n"/>
      <c r="D3" s="8" t="n"/>
      <c r="E3" s="9" t="n"/>
      <c r="F3" s="9" t="n"/>
      <c r="G3" s="10" t="n"/>
      <c r="H3" s="11" t="n"/>
    </row>
    <row r="4" ht="20" customHeight="1">
      <c r="B4" s="60" t="n"/>
      <c r="C4" s="12" t="inlineStr">
        <is>
          <t>Muestra los primeros 3 años de la estrategia que elegiste en el PANEL: cuánto pagás, cuánto es interés y cuánto te queda.</t>
        </is>
      </c>
    </row>
    <row r="5" ht="22" customHeight="1">
      <c r="B5" s="14" t="inlineStr">
        <is>
          <t>←  Volver al PANEL</t>
        </is>
      </c>
      <c r="D5" s="90">
        <f>"Estrategia: "&amp;Estrat&amp;"   ·   pago extra: "&amp;FIXED(N(Extra),0)&amp;" "&amp;Moneda</f>
        <v/>
      </c>
    </row>
    <row r="7" ht="32" customHeight="1">
      <c r="B7" s="61" t="inlineStr">
        <is>
          <t>Mes</t>
        </is>
      </c>
      <c r="C7" s="61" t="inlineStr">
        <is>
          <t>Fecha</t>
        </is>
      </c>
      <c r="D7" s="61" t="inlineStr">
        <is>
          <t>Pago total</t>
        </is>
      </c>
      <c r="E7" s="61" t="inlineStr">
        <is>
          <t>Intereses</t>
        </is>
      </c>
      <c r="F7" s="61" t="inlineStr">
        <is>
          <t>Capital (baja la deuda)</t>
        </is>
      </c>
      <c r="G7" s="61" t="inlineStr">
        <is>
          <t>Te queda por pagar</t>
        </is>
      </c>
      <c r="H7" s="61" t="inlineStr">
        <is>
          <t>Pagás de más a</t>
        </is>
      </c>
    </row>
    <row r="8" ht="19" customHeight="1">
      <c r="B8" s="70">
        <f>IF(CHOOSE(EstrN,SIM_AVALANCHA!AI10,SIM_BOLA!AI10)&lt;=0,"",1)</f>
        <v/>
      </c>
      <c r="C8" s="91">
        <f>IF($B8="","",CHOOSE(EstrN,SIM_AVALANCHA!B11,SIM_BOLA!B11))</f>
        <v/>
      </c>
      <c r="D8" s="46">
        <f>IF($B8="","",CHOOSE(EstrN,SIM_AVALANCHA!AH11,SIM_BOLA!AH11))</f>
        <v/>
      </c>
      <c r="E8" s="92">
        <f>IF($B8="","",CHOOSE(EstrN,SIM_AVALANCHA!AG11,SIM_BOLA!AG11))</f>
        <v/>
      </c>
      <c r="F8" s="46">
        <f>IF($B8="","",D8-E8)</f>
        <v/>
      </c>
      <c r="G8" s="93">
        <f>IF($B8="","",CHOOSE(EstrN,SIM_AVALANCHA!AI11,SIM_BOLA!AI11))</f>
        <v/>
      </c>
      <c r="H8" s="94">
        <f>IF($B8="","",IF(CHOOSE(EstrN,SIM_AVALANCHA!AJ11,SIM_BOLA!AJ11)&lt;=0,"-",IF(CHOOSE(EstrN,SIM_AVALANCHA!AK11,SIM_BOLA!AK11)=0,"",CHOOSE(EstrN,INDEX(SIM_AVALANCHA!$C$7:$L$7,SIM_AVALANCHA!AK11),INDEX(SIM_BOLA!$C$7:$L$7,SIM_BOLA!AK11)))))</f>
        <v/>
      </c>
    </row>
    <row r="9" ht="19" customHeight="1">
      <c r="B9" s="72">
        <f>IF(CHOOSE(EstrN,SIM_AVALANCHA!AI11,SIM_BOLA!AI11)&lt;=0,"",2)</f>
        <v/>
      </c>
      <c r="C9" s="95">
        <f>IF($B9="","",CHOOSE(EstrN,SIM_AVALANCHA!B12,SIM_BOLA!B12))</f>
        <v/>
      </c>
      <c r="D9" s="51">
        <f>IF($B9="","",CHOOSE(EstrN,SIM_AVALANCHA!AH12,SIM_BOLA!AH12))</f>
        <v/>
      </c>
      <c r="E9" s="96">
        <f>IF($B9="","",CHOOSE(EstrN,SIM_AVALANCHA!AG12,SIM_BOLA!AG12))</f>
        <v/>
      </c>
      <c r="F9" s="51">
        <f>IF($B9="","",D9-E9)</f>
        <v/>
      </c>
      <c r="G9" s="97">
        <f>IF($B9="","",CHOOSE(EstrN,SIM_AVALANCHA!AI12,SIM_BOLA!AI12))</f>
        <v/>
      </c>
      <c r="H9" s="98">
        <f>IF($B9="","",IF(CHOOSE(EstrN,SIM_AVALANCHA!AJ12,SIM_BOLA!AJ12)&lt;=0,"-",IF(CHOOSE(EstrN,SIM_AVALANCHA!AK12,SIM_BOLA!AK12)=0,"",CHOOSE(EstrN,INDEX(SIM_AVALANCHA!$C$7:$L$7,SIM_AVALANCHA!AK12),INDEX(SIM_BOLA!$C$7:$L$7,SIM_BOLA!AK12)))))</f>
        <v/>
      </c>
    </row>
    <row r="10" ht="19" customHeight="1">
      <c r="B10" s="70">
        <f>IF(CHOOSE(EstrN,SIM_AVALANCHA!AI12,SIM_BOLA!AI12)&lt;=0,"",3)</f>
        <v/>
      </c>
      <c r="C10" s="91">
        <f>IF($B10="","",CHOOSE(EstrN,SIM_AVALANCHA!B13,SIM_BOLA!B13))</f>
        <v/>
      </c>
      <c r="D10" s="46">
        <f>IF($B10="","",CHOOSE(EstrN,SIM_AVALANCHA!AH13,SIM_BOLA!AH13))</f>
        <v/>
      </c>
      <c r="E10" s="92">
        <f>IF($B10="","",CHOOSE(EstrN,SIM_AVALANCHA!AG13,SIM_BOLA!AG13))</f>
        <v/>
      </c>
      <c r="F10" s="46">
        <f>IF($B10="","",D10-E10)</f>
        <v/>
      </c>
      <c r="G10" s="93">
        <f>IF($B10="","",CHOOSE(EstrN,SIM_AVALANCHA!AI13,SIM_BOLA!AI13))</f>
        <v/>
      </c>
      <c r="H10" s="94">
        <f>IF($B10="","",IF(CHOOSE(EstrN,SIM_AVALANCHA!AJ13,SIM_BOLA!AJ13)&lt;=0,"-",IF(CHOOSE(EstrN,SIM_AVALANCHA!AK13,SIM_BOLA!AK13)=0,"",CHOOSE(EstrN,INDEX(SIM_AVALANCHA!$C$7:$L$7,SIM_AVALANCHA!AK13),INDEX(SIM_BOLA!$C$7:$L$7,SIM_BOLA!AK13)))))</f>
        <v/>
      </c>
    </row>
    <row r="11" ht="19" customHeight="1">
      <c r="B11" s="72">
        <f>IF(CHOOSE(EstrN,SIM_AVALANCHA!AI13,SIM_BOLA!AI13)&lt;=0,"",4)</f>
        <v/>
      </c>
      <c r="C11" s="95">
        <f>IF($B11="","",CHOOSE(EstrN,SIM_AVALANCHA!B14,SIM_BOLA!B14))</f>
        <v/>
      </c>
      <c r="D11" s="51">
        <f>IF($B11="","",CHOOSE(EstrN,SIM_AVALANCHA!AH14,SIM_BOLA!AH14))</f>
        <v/>
      </c>
      <c r="E11" s="96">
        <f>IF($B11="","",CHOOSE(EstrN,SIM_AVALANCHA!AG14,SIM_BOLA!AG14))</f>
        <v/>
      </c>
      <c r="F11" s="51">
        <f>IF($B11="","",D11-E11)</f>
        <v/>
      </c>
      <c r="G11" s="97">
        <f>IF($B11="","",CHOOSE(EstrN,SIM_AVALANCHA!AI14,SIM_BOLA!AI14))</f>
        <v/>
      </c>
      <c r="H11" s="98">
        <f>IF($B11="","",IF(CHOOSE(EstrN,SIM_AVALANCHA!AJ14,SIM_BOLA!AJ14)&lt;=0,"-",IF(CHOOSE(EstrN,SIM_AVALANCHA!AK14,SIM_BOLA!AK14)=0,"",CHOOSE(EstrN,INDEX(SIM_AVALANCHA!$C$7:$L$7,SIM_AVALANCHA!AK14),INDEX(SIM_BOLA!$C$7:$L$7,SIM_BOLA!AK14)))))</f>
        <v/>
      </c>
    </row>
    <row r="12" ht="19" customHeight="1">
      <c r="B12" s="70">
        <f>IF(CHOOSE(EstrN,SIM_AVALANCHA!AI14,SIM_BOLA!AI14)&lt;=0,"",5)</f>
        <v/>
      </c>
      <c r="C12" s="91">
        <f>IF($B12="","",CHOOSE(EstrN,SIM_AVALANCHA!B15,SIM_BOLA!B15))</f>
        <v/>
      </c>
      <c r="D12" s="46">
        <f>IF($B12="","",CHOOSE(EstrN,SIM_AVALANCHA!AH15,SIM_BOLA!AH15))</f>
        <v/>
      </c>
      <c r="E12" s="92">
        <f>IF($B12="","",CHOOSE(EstrN,SIM_AVALANCHA!AG15,SIM_BOLA!AG15))</f>
        <v/>
      </c>
      <c r="F12" s="46">
        <f>IF($B12="","",D12-E12)</f>
        <v/>
      </c>
      <c r="G12" s="93">
        <f>IF($B12="","",CHOOSE(EstrN,SIM_AVALANCHA!AI15,SIM_BOLA!AI15))</f>
        <v/>
      </c>
      <c r="H12" s="94">
        <f>IF($B12="","",IF(CHOOSE(EstrN,SIM_AVALANCHA!AJ15,SIM_BOLA!AJ15)&lt;=0,"-",IF(CHOOSE(EstrN,SIM_AVALANCHA!AK15,SIM_BOLA!AK15)=0,"",CHOOSE(EstrN,INDEX(SIM_AVALANCHA!$C$7:$L$7,SIM_AVALANCHA!AK15),INDEX(SIM_BOLA!$C$7:$L$7,SIM_BOLA!AK15)))))</f>
        <v/>
      </c>
    </row>
    <row r="13" ht="19" customHeight="1">
      <c r="B13" s="72">
        <f>IF(CHOOSE(EstrN,SIM_AVALANCHA!AI15,SIM_BOLA!AI15)&lt;=0,"",6)</f>
        <v/>
      </c>
      <c r="C13" s="95">
        <f>IF($B13="","",CHOOSE(EstrN,SIM_AVALANCHA!B16,SIM_BOLA!B16))</f>
        <v/>
      </c>
      <c r="D13" s="51">
        <f>IF($B13="","",CHOOSE(EstrN,SIM_AVALANCHA!AH16,SIM_BOLA!AH16))</f>
        <v/>
      </c>
      <c r="E13" s="96">
        <f>IF($B13="","",CHOOSE(EstrN,SIM_AVALANCHA!AG16,SIM_BOLA!AG16))</f>
        <v/>
      </c>
      <c r="F13" s="51">
        <f>IF($B13="","",D13-E13)</f>
        <v/>
      </c>
      <c r="G13" s="97">
        <f>IF($B13="","",CHOOSE(EstrN,SIM_AVALANCHA!AI16,SIM_BOLA!AI16))</f>
        <v/>
      </c>
      <c r="H13" s="98">
        <f>IF($B13="","",IF(CHOOSE(EstrN,SIM_AVALANCHA!AJ16,SIM_BOLA!AJ16)&lt;=0,"-",IF(CHOOSE(EstrN,SIM_AVALANCHA!AK16,SIM_BOLA!AK16)=0,"",CHOOSE(EstrN,INDEX(SIM_AVALANCHA!$C$7:$L$7,SIM_AVALANCHA!AK16),INDEX(SIM_BOLA!$C$7:$L$7,SIM_BOLA!AK16)))))</f>
        <v/>
      </c>
    </row>
    <row r="14" ht="19" customHeight="1">
      <c r="B14" s="70">
        <f>IF(CHOOSE(EstrN,SIM_AVALANCHA!AI16,SIM_BOLA!AI16)&lt;=0,"",7)</f>
        <v/>
      </c>
      <c r="C14" s="91">
        <f>IF($B14="","",CHOOSE(EstrN,SIM_AVALANCHA!B17,SIM_BOLA!B17))</f>
        <v/>
      </c>
      <c r="D14" s="46">
        <f>IF($B14="","",CHOOSE(EstrN,SIM_AVALANCHA!AH17,SIM_BOLA!AH17))</f>
        <v/>
      </c>
      <c r="E14" s="92">
        <f>IF($B14="","",CHOOSE(EstrN,SIM_AVALANCHA!AG17,SIM_BOLA!AG17))</f>
        <v/>
      </c>
      <c r="F14" s="46">
        <f>IF($B14="","",D14-E14)</f>
        <v/>
      </c>
      <c r="G14" s="93">
        <f>IF($B14="","",CHOOSE(EstrN,SIM_AVALANCHA!AI17,SIM_BOLA!AI17))</f>
        <v/>
      </c>
      <c r="H14" s="94">
        <f>IF($B14="","",IF(CHOOSE(EstrN,SIM_AVALANCHA!AJ17,SIM_BOLA!AJ17)&lt;=0,"-",IF(CHOOSE(EstrN,SIM_AVALANCHA!AK17,SIM_BOLA!AK17)=0,"",CHOOSE(EstrN,INDEX(SIM_AVALANCHA!$C$7:$L$7,SIM_AVALANCHA!AK17),INDEX(SIM_BOLA!$C$7:$L$7,SIM_BOLA!AK17)))))</f>
        <v/>
      </c>
    </row>
    <row r="15" ht="19" customHeight="1">
      <c r="B15" s="72">
        <f>IF(CHOOSE(EstrN,SIM_AVALANCHA!AI17,SIM_BOLA!AI17)&lt;=0,"",8)</f>
        <v/>
      </c>
      <c r="C15" s="95">
        <f>IF($B15="","",CHOOSE(EstrN,SIM_AVALANCHA!B18,SIM_BOLA!B18))</f>
        <v/>
      </c>
      <c r="D15" s="51">
        <f>IF($B15="","",CHOOSE(EstrN,SIM_AVALANCHA!AH18,SIM_BOLA!AH18))</f>
        <v/>
      </c>
      <c r="E15" s="96">
        <f>IF($B15="","",CHOOSE(EstrN,SIM_AVALANCHA!AG18,SIM_BOLA!AG18))</f>
        <v/>
      </c>
      <c r="F15" s="51">
        <f>IF($B15="","",D15-E15)</f>
        <v/>
      </c>
      <c r="G15" s="97">
        <f>IF($B15="","",CHOOSE(EstrN,SIM_AVALANCHA!AI18,SIM_BOLA!AI18))</f>
        <v/>
      </c>
      <c r="H15" s="98">
        <f>IF($B15="","",IF(CHOOSE(EstrN,SIM_AVALANCHA!AJ18,SIM_BOLA!AJ18)&lt;=0,"-",IF(CHOOSE(EstrN,SIM_AVALANCHA!AK18,SIM_BOLA!AK18)=0,"",CHOOSE(EstrN,INDEX(SIM_AVALANCHA!$C$7:$L$7,SIM_AVALANCHA!AK18),INDEX(SIM_BOLA!$C$7:$L$7,SIM_BOLA!AK18)))))</f>
        <v/>
      </c>
    </row>
    <row r="16" ht="19" customHeight="1">
      <c r="B16" s="70">
        <f>IF(CHOOSE(EstrN,SIM_AVALANCHA!AI18,SIM_BOLA!AI18)&lt;=0,"",9)</f>
        <v/>
      </c>
      <c r="C16" s="91">
        <f>IF($B16="","",CHOOSE(EstrN,SIM_AVALANCHA!B19,SIM_BOLA!B19))</f>
        <v/>
      </c>
      <c r="D16" s="46">
        <f>IF($B16="","",CHOOSE(EstrN,SIM_AVALANCHA!AH19,SIM_BOLA!AH19))</f>
        <v/>
      </c>
      <c r="E16" s="92">
        <f>IF($B16="","",CHOOSE(EstrN,SIM_AVALANCHA!AG19,SIM_BOLA!AG19))</f>
        <v/>
      </c>
      <c r="F16" s="46">
        <f>IF($B16="","",D16-E16)</f>
        <v/>
      </c>
      <c r="G16" s="93">
        <f>IF($B16="","",CHOOSE(EstrN,SIM_AVALANCHA!AI19,SIM_BOLA!AI19))</f>
        <v/>
      </c>
      <c r="H16" s="94">
        <f>IF($B16="","",IF(CHOOSE(EstrN,SIM_AVALANCHA!AJ19,SIM_BOLA!AJ19)&lt;=0,"-",IF(CHOOSE(EstrN,SIM_AVALANCHA!AK19,SIM_BOLA!AK19)=0,"",CHOOSE(EstrN,INDEX(SIM_AVALANCHA!$C$7:$L$7,SIM_AVALANCHA!AK19),INDEX(SIM_BOLA!$C$7:$L$7,SIM_BOLA!AK19)))))</f>
        <v/>
      </c>
    </row>
    <row r="17" ht="19" customHeight="1">
      <c r="B17" s="72">
        <f>IF(CHOOSE(EstrN,SIM_AVALANCHA!AI19,SIM_BOLA!AI19)&lt;=0,"",10)</f>
        <v/>
      </c>
      <c r="C17" s="95">
        <f>IF($B17="","",CHOOSE(EstrN,SIM_AVALANCHA!B20,SIM_BOLA!B20))</f>
        <v/>
      </c>
      <c r="D17" s="51">
        <f>IF($B17="","",CHOOSE(EstrN,SIM_AVALANCHA!AH20,SIM_BOLA!AH20))</f>
        <v/>
      </c>
      <c r="E17" s="96">
        <f>IF($B17="","",CHOOSE(EstrN,SIM_AVALANCHA!AG20,SIM_BOLA!AG20))</f>
        <v/>
      </c>
      <c r="F17" s="51">
        <f>IF($B17="","",D17-E17)</f>
        <v/>
      </c>
      <c r="G17" s="97">
        <f>IF($B17="","",CHOOSE(EstrN,SIM_AVALANCHA!AI20,SIM_BOLA!AI20))</f>
        <v/>
      </c>
      <c r="H17" s="98">
        <f>IF($B17="","",IF(CHOOSE(EstrN,SIM_AVALANCHA!AJ20,SIM_BOLA!AJ20)&lt;=0,"-",IF(CHOOSE(EstrN,SIM_AVALANCHA!AK20,SIM_BOLA!AK20)=0,"",CHOOSE(EstrN,INDEX(SIM_AVALANCHA!$C$7:$L$7,SIM_AVALANCHA!AK20),INDEX(SIM_BOLA!$C$7:$L$7,SIM_BOLA!AK20)))))</f>
        <v/>
      </c>
    </row>
    <row r="18" ht="19" customHeight="1">
      <c r="B18" s="70">
        <f>IF(CHOOSE(EstrN,SIM_AVALANCHA!AI20,SIM_BOLA!AI20)&lt;=0,"",11)</f>
        <v/>
      </c>
      <c r="C18" s="91">
        <f>IF($B18="","",CHOOSE(EstrN,SIM_AVALANCHA!B21,SIM_BOLA!B21))</f>
        <v/>
      </c>
      <c r="D18" s="46">
        <f>IF($B18="","",CHOOSE(EstrN,SIM_AVALANCHA!AH21,SIM_BOLA!AH21))</f>
        <v/>
      </c>
      <c r="E18" s="92">
        <f>IF($B18="","",CHOOSE(EstrN,SIM_AVALANCHA!AG21,SIM_BOLA!AG21))</f>
        <v/>
      </c>
      <c r="F18" s="46">
        <f>IF($B18="","",D18-E18)</f>
        <v/>
      </c>
      <c r="G18" s="93">
        <f>IF($B18="","",CHOOSE(EstrN,SIM_AVALANCHA!AI21,SIM_BOLA!AI21))</f>
        <v/>
      </c>
      <c r="H18" s="94">
        <f>IF($B18="","",IF(CHOOSE(EstrN,SIM_AVALANCHA!AJ21,SIM_BOLA!AJ21)&lt;=0,"-",IF(CHOOSE(EstrN,SIM_AVALANCHA!AK21,SIM_BOLA!AK21)=0,"",CHOOSE(EstrN,INDEX(SIM_AVALANCHA!$C$7:$L$7,SIM_AVALANCHA!AK21),INDEX(SIM_BOLA!$C$7:$L$7,SIM_BOLA!AK21)))))</f>
        <v/>
      </c>
    </row>
    <row r="19" ht="19" customHeight="1">
      <c r="B19" s="72">
        <f>IF(CHOOSE(EstrN,SIM_AVALANCHA!AI21,SIM_BOLA!AI21)&lt;=0,"",12)</f>
        <v/>
      </c>
      <c r="C19" s="95">
        <f>IF($B19="","",CHOOSE(EstrN,SIM_AVALANCHA!B22,SIM_BOLA!B22))</f>
        <v/>
      </c>
      <c r="D19" s="51">
        <f>IF($B19="","",CHOOSE(EstrN,SIM_AVALANCHA!AH22,SIM_BOLA!AH22))</f>
        <v/>
      </c>
      <c r="E19" s="96">
        <f>IF($B19="","",CHOOSE(EstrN,SIM_AVALANCHA!AG22,SIM_BOLA!AG22))</f>
        <v/>
      </c>
      <c r="F19" s="51">
        <f>IF($B19="","",D19-E19)</f>
        <v/>
      </c>
      <c r="G19" s="97">
        <f>IF($B19="","",CHOOSE(EstrN,SIM_AVALANCHA!AI22,SIM_BOLA!AI22))</f>
        <v/>
      </c>
      <c r="H19" s="98">
        <f>IF($B19="","",IF(CHOOSE(EstrN,SIM_AVALANCHA!AJ22,SIM_BOLA!AJ22)&lt;=0,"-",IF(CHOOSE(EstrN,SIM_AVALANCHA!AK22,SIM_BOLA!AK22)=0,"",CHOOSE(EstrN,INDEX(SIM_AVALANCHA!$C$7:$L$7,SIM_AVALANCHA!AK22),INDEX(SIM_BOLA!$C$7:$L$7,SIM_BOLA!AK22)))))</f>
        <v/>
      </c>
    </row>
    <row r="20" ht="19" customHeight="1">
      <c r="B20" s="70">
        <f>IF(CHOOSE(EstrN,SIM_AVALANCHA!AI22,SIM_BOLA!AI22)&lt;=0,"",13)</f>
        <v/>
      </c>
      <c r="C20" s="91">
        <f>IF($B20="","",CHOOSE(EstrN,SIM_AVALANCHA!B23,SIM_BOLA!B23))</f>
        <v/>
      </c>
      <c r="D20" s="46">
        <f>IF($B20="","",CHOOSE(EstrN,SIM_AVALANCHA!AH23,SIM_BOLA!AH23))</f>
        <v/>
      </c>
      <c r="E20" s="92">
        <f>IF($B20="","",CHOOSE(EstrN,SIM_AVALANCHA!AG23,SIM_BOLA!AG23))</f>
        <v/>
      </c>
      <c r="F20" s="46">
        <f>IF($B20="","",D20-E20)</f>
        <v/>
      </c>
      <c r="G20" s="93">
        <f>IF($B20="","",CHOOSE(EstrN,SIM_AVALANCHA!AI23,SIM_BOLA!AI23))</f>
        <v/>
      </c>
      <c r="H20" s="94">
        <f>IF($B20="","",IF(CHOOSE(EstrN,SIM_AVALANCHA!AJ23,SIM_BOLA!AJ23)&lt;=0,"-",IF(CHOOSE(EstrN,SIM_AVALANCHA!AK23,SIM_BOLA!AK23)=0,"",CHOOSE(EstrN,INDEX(SIM_AVALANCHA!$C$7:$L$7,SIM_AVALANCHA!AK23),INDEX(SIM_BOLA!$C$7:$L$7,SIM_BOLA!AK23)))))</f>
        <v/>
      </c>
    </row>
    <row r="21" ht="19" customHeight="1">
      <c r="B21" s="72">
        <f>IF(CHOOSE(EstrN,SIM_AVALANCHA!AI23,SIM_BOLA!AI23)&lt;=0,"",14)</f>
        <v/>
      </c>
      <c r="C21" s="95">
        <f>IF($B21="","",CHOOSE(EstrN,SIM_AVALANCHA!B24,SIM_BOLA!B24))</f>
        <v/>
      </c>
      <c r="D21" s="51">
        <f>IF($B21="","",CHOOSE(EstrN,SIM_AVALANCHA!AH24,SIM_BOLA!AH24))</f>
        <v/>
      </c>
      <c r="E21" s="96">
        <f>IF($B21="","",CHOOSE(EstrN,SIM_AVALANCHA!AG24,SIM_BOLA!AG24))</f>
        <v/>
      </c>
      <c r="F21" s="51">
        <f>IF($B21="","",D21-E21)</f>
        <v/>
      </c>
      <c r="G21" s="97">
        <f>IF($B21="","",CHOOSE(EstrN,SIM_AVALANCHA!AI24,SIM_BOLA!AI24))</f>
        <v/>
      </c>
      <c r="H21" s="98">
        <f>IF($B21="","",IF(CHOOSE(EstrN,SIM_AVALANCHA!AJ24,SIM_BOLA!AJ24)&lt;=0,"-",IF(CHOOSE(EstrN,SIM_AVALANCHA!AK24,SIM_BOLA!AK24)=0,"",CHOOSE(EstrN,INDEX(SIM_AVALANCHA!$C$7:$L$7,SIM_AVALANCHA!AK24),INDEX(SIM_BOLA!$C$7:$L$7,SIM_BOLA!AK24)))))</f>
        <v/>
      </c>
    </row>
    <row r="22" ht="19" customHeight="1">
      <c r="B22" s="70">
        <f>IF(CHOOSE(EstrN,SIM_AVALANCHA!AI24,SIM_BOLA!AI24)&lt;=0,"",15)</f>
        <v/>
      </c>
      <c r="C22" s="91">
        <f>IF($B22="","",CHOOSE(EstrN,SIM_AVALANCHA!B25,SIM_BOLA!B25))</f>
        <v/>
      </c>
      <c r="D22" s="46">
        <f>IF($B22="","",CHOOSE(EstrN,SIM_AVALANCHA!AH25,SIM_BOLA!AH25))</f>
        <v/>
      </c>
      <c r="E22" s="92">
        <f>IF($B22="","",CHOOSE(EstrN,SIM_AVALANCHA!AG25,SIM_BOLA!AG25))</f>
        <v/>
      </c>
      <c r="F22" s="46">
        <f>IF($B22="","",D22-E22)</f>
        <v/>
      </c>
      <c r="G22" s="93">
        <f>IF($B22="","",CHOOSE(EstrN,SIM_AVALANCHA!AI25,SIM_BOLA!AI25))</f>
        <v/>
      </c>
      <c r="H22" s="94">
        <f>IF($B22="","",IF(CHOOSE(EstrN,SIM_AVALANCHA!AJ25,SIM_BOLA!AJ25)&lt;=0,"-",IF(CHOOSE(EstrN,SIM_AVALANCHA!AK25,SIM_BOLA!AK25)=0,"",CHOOSE(EstrN,INDEX(SIM_AVALANCHA!$C$7:$L$7,SIM_AVALANCHA!AK25),INDEX(SIM_BOLA!$C$7:$L$7,SIM_BOLA!AK25)))))</f>
        <v/>
      </c>
    </row>
    <row r="23" ht="19" customHeight="1">
      <c r="B23" s="72">
        <f>IF(CHOOSE(EstrN,SIM_AVALANCHA!AI25,SIM_BOLA!AI25)&lt;=0,"",16)</f>
        <v/>
      </c>
      <c r="C23" s="95">
        <f>IF($B23="","",CHOOSE(EstrN,SIM_AVALANCHA!B26,SIM_BOLA!B26))</f>
        <v/>
      </c>
      <c r="D23" s="51">
        <f>IF($B23="","",CHOOSE(EstrN,SIM_AVALANCHA!AH26,SIM_BOLA!AH26))</f>
        <v/>
      </c>
      <c r="E23" s="96">
        <f>IF($B23="","",CHOOSE(EstrN,SIM_AVALANCHA!AG26,SIM_BOLA!AG26))</f>
        <v/>
      </c>
      <c r="F23" s="51">
        <f>IF($B23="","",D23-E23)</f>
        <v/>
      </c>
      <c r="G23" s="97">
        <f>IF($B23="","",CHOOSE(EstrN,SIM_AVALANCHA!AI26,SIM_BOLA!AI26))</f>
        <v/>
      </c>
      <c r="H23" s="98">
        <f>IF($B23="","",IF(CHOOSE(EstrN,SIM_AVALANCHA!AJ26,SIM_BOLA!AJ26)&lt;=0,"-",IF(CHOOSE(EstrN,SIM_AVALANCHA!AK26,SIM_BOLA!AK26)=0,"",CHOOSE(EstrN,INDEX(SIM_AVALANCHA!$C$7:$L$7,SIM_AVALANCHA!AK26),INDEX(SIM_BOLA!$C$7:$L$7,SIM_BOLA!AK26)))))</f>
        <v/>
      </c>
    </row>
    <row r="24" ht="19" customHeight="1">
      <c r="B24" s="70">
        <f>IF(CHOOSE(EstrN,SIM_AVALANCHA!AI26,SIM_BOLA!AI26)&lt;=0,"",17)</f>
        <v/>
      </c>
      <c r="C24" s="91">
        <f>IF($B24="","",CHOOSE(EstrN,SIM_AVALANCHA!B27,SIM_BOLA!B27))</f>
        <v/>
      </c>
      <c r="D24" s="46">
        <f>IF($B24="","",CHOOSE(EstrN,SIM_AVALANCHA!AH27,SIM_BOLA!AH27))</f>
        <v/>
      </c>
      <c r="E24" s="92">
        <f>IF($B24="","",CHOOSE(EstrN,SIM_AVALANCHA!AG27,SIM_BOLA!AG27))</f>
        <v/>
      </c>
      <c r="F24" s="46">
        <f>IF($B24="","",D24-E24)</f>
        <v/>
      </c>
      <c r="G24" s="93">
        <f>IF($B24="","",CHOOSE(EstrN,SIM_AVALANCHA!AI27,SIM_BOLA!AI27))</f>
        <v/>
      </c>
      <c r="H24" s="94">
        <f>IF($B24="","",IF(CHOOSE(EstrN,SIM_AVALANCHA!AJ27,SIM_BOLA!AJ27)&lt;=0,"-",IF(CHOOSE(EstrN,SIM_AVALANCHA!AK27,SIM_BOLA!AK27)=0,"",CHOOSE(EstrN,INDEX(SIM_AVALANCHA!$C$7:$L$7,SIM_AVALANCHA!AK27),INDEX(SIM_BOLA!$C$7:$L$7,SIM_BOLA!AK27)))))</f>
        <v/>
      </c>
    </row>
    <row r="25" ht="19" customHeight="1">
      <c r="B25" s="72">
        <f>IF(CHOOSE(EstrN,SIM_AVALANCHA!AI27,SIM_BOLA!AI27)&lt;=0,"",18)</f>
        <v/>
      </c>
      <c r="C25" s="95">
        <f>IF($B25="","",CHOOSE(EstrN,SIM_AVALANCHA!B28,SIM_BOLA!B28))</f>
        <v/>
      </c>
      <c r="D25" s="51">
        <f>IF($B25="","",CHOOSE(EstrN,SIM_AVALANCHA!AH28,SIM_BOLA!AH28))</f>
        <v/>
      </c>
      <c r="E25" s="96">
        <f>IF($B25="","",CHOOSE(EstrN,SIM_AVALANCHA!AG28,SIM_BOLA!AG28))</f>
        <v/>
      </c>
      <c r="F25" s="51">
        <f>IF($B25="","",D25-E25)</f>
        <v/>
      </c>
      <c r="G25" s="97">
        <f>IF($B25="","",CHOOSE(EstrN,SIM_AVALANCHA!AI28,SIM_BOLA!AI28))</f>
        <v/>
      </c>
      <c r="H25" s="98">
        <f>IF($B25="","",IF(CHOOSE(EstrN,SIM_AVALANCHA!AJ28,SIM_BOLA!AJ28)&lt;=0,"-",IF(CHOOSE(EstrN,SIM_AVALANCHA!AK28,SIM_BOLA!AK28)=0,"",CHOOSE(EstrN,INDEX(SIM_AVALANCHA!$C$7:$L$7,SIM_AVALANCHA!AK28),INDEX(SIM_BOLA!$C$7:$L$7,SIM_BOLA!AK28)))))</f>
        <v/>
      </c>
    </row>
    <row r="26" ht="19" customHeight="1">
      <c r="B26" s="70">
        <f>IF(CHOOSE(EstrN,SIM_AVALANCHA!AI28,SIM_BOLA!AI28)&lt;=0,"",19)</f>
        <v/>
      </c>
      <c r="C26" s="91">
        <f>IF($B26="","",CHOOSE(EstrN,SIM_AVALANCHA!B29,SIM_BOLA!B29))</f>
        <v/>
      </c>
      <c r="D26" s="46">
        <f>IF($B26="","",CHOOSE(EstrN,SIM_AVALANCHA!AH29,SIM_BOLA!AH29))</f>
        <v/>
      </c>
      <c r="E26" s="92">
        <f>IF($B26="","",CHOOSE(EstrN,SIM_AVALANCHA!AG29,SIM_BOLA!AG29))</f>
        <v/>
      </c>
      <c r="F26" s="46">
        <f>IF($B26="","",D26-E26)</f>
        <v/>
      </c>
      <c r="G26" s="93">
        <f>IF($B26="","",CHOOSE(EstrN,SIM_AVALANCHA!AI29,SIM_BOLA!AI29))</f>
        <v/>
      </c>
      <c r="H26" s="94">
        <f>IF($B26="","",IF(CHOOSE(EstrN,SIM_AVALANCHA!AJ29,SIM_BOLA!AJ29)&lt;=0,"-",IF(CHOOSE(EstrN,SIM_AVALANCHA!AK29,SIM_BOLA!AK29)=0,"",CHOOSE(EstrN,INDEX(SIM_AVALANCHA!$C$7:$L$7,SIM_AVALANCHA!AK29),INDEX(SIM_BOLA!$C$7:$L$7,SIM_BOLA!AK29)))))</f>
        <v/>
      </c>
    </row>
    <row r="27" ht="19" customHeight="1">
      <c r="B27" s="72">
        <f>IF(CHOOSE(EstrN,SIM_AVALANCHA!AI29,SIM_BOLA!AI29)&lt;=0,"",20)</f>
        <v/>
      </c>
      <c r="C27" s="95">
        <f>IF($B27="","",CHOOSE(EstrN,SIM_AVALANCHA!B30,SIM_BOLA!B30))</f>
        <v/>
      </c>
      <c r="D27" s="51">
        <f>IF($B27="","",CHOOSE(EstrN,SIM_AVALANCHA!AH30,SIM_BOLA!AH30))</f>
        <v/>
      </c>
      <c r="E27" s="96">
        <f>IF($B27="","",CHOOSE(EstrN,SIM_AVALANCHA!AG30,SIM_BOLA!AG30))</f>
        <v/>
      </c>
      <c r="F27" s="51">
        <f>IF($B27="","",D27-E27)</f>
        <v/>
      </c>
      <c r="G27" s="97">
        <f>IF($B27="","",CHOOSE(EstrN,SIM_AVALANCHA!AI30,SIM_BOLA!AI30))</f>
        <v/>
      </c>
      <c r="H27" s="98">
        <f>IF($B27="","",IF(CHOOSE(EstrN,SIM_AVALANCHA!AJ30,SIM_BOLA!AJ30)&lt;=0,"-",IF(CHOOSE(EstrN,SIM_AVALANCHA!AK30,SIM_BOLA!AK30)=0,"",CHOOSE(EstrN,INDEX(SIM_AVALANCHA!$C$7:$L$7,SIM_AVALANCHA!AK30),INDEX(SIM_BOLA!$C$7:$L$7,SIM_BOLA!AK30)))))</f>
        <v/>
      </c>
    </row>
    <row r="28" ht="19" customHeight="1">
      <c r="B28" s="70">
        <f>IF(CHOOSE(EstrN,SIM_AVALANCHA!AI30,SIM_BOLA!AI30)&lt;=0,"",21)</f>
        <v/>
      </c>
      <c r="C28" s="91">
        <f>IF($B28="","",CHOOSE(EstrN,SIM_AVALANCHA!B31,SIM_BOLA!B31))</f>
        <v/>
      </c>
      <c r="D28" s="46">
        <f>IF($B28="","",CHOOSE(EstrN,SIM_AVALANCHA!AH31,SIM_BOLA!AH31))</f>
        <v/>
      </c>
      <c r="E28" s="92">
        <f>IF($B28="","",CHOOSE(EstrN,SIM_AVALANCHA!AG31,SIM_BOLA!AG31))</f>
        <v/>
      </c>
      <c r="F28" s="46">
        <f>IF($B28="","",D28-E28)</f>
        <v/>
      </c>
      <c r="G28" s="93">
        <f>IF($B28="","",CHOOSE(EstrN,SIM_AVALANCHA!AI31,SIM_BOLA!AI31))</f>
        <v/>
      </c>
      <c r="H28" s="94">
        <f>IF($B28="","",IF(CHOOSE(EstrN,SIM_AVALANCHA!AJ31,SIM_BOLA!AJ31)&lt;=0,"-",IF(CHOOSE(EstrN,SIM_AVALANCHA!AK31,SIM_BOLA!AK31)=0,"",CHOOSE(EstrN,INDEX(SIM_AVALANCHA!$C$7:$L$7,SIM_AVALANCHA!AK31),INDEX(SIM_BOLA!$C$7:$L$7,SIM_BOLA!AK31)))))</f>
        <v/>
      </c>
    </row>
    <row r="29" ht="19" customHeight="1">
      <c r="B29" s="72">
        <f>IF(CHOOSE(EstrN,SIM_AVALANCHA!AI31,SIM_BOLA!AI31)&lt;=0,"",22)</f>
        <v/>
      </c>
      <c r="C29" s="95">
        <f>IF($B29="","",CHOOSE(EstrN,SIM_AVALANCHA!B32,SIM_BOLA!B32))</f>
        <v/>
      </c>
      <c r="D29" s="51">
        <f>IF($B29="","",CHOOSE(EstrN,SIM_AVALANCHA!AH32,SIM_BOLA!AH32))</f>
        <v/>
      </c>
      <c r="E29" s="96">
        <f>IF($B29="","",CHOOSE(EstrN,SIM_AVALANCHA!AG32,SIM_BOLA!AG32))</f>
        <v/>
      </c>
      <c r="F29" s="51">
        <f>IF($B29="","",D29-E29)</f>
        <v/>
      </c>
      <c r="G29" s="97">
        <f>IF($B29="","",CHOOSE(EstrN,SIM_AVALANCHA!AI32,SIM_BOLA!AI32))</f>
        <v/>
      </c>
      <c r="H29" s="98">
        <f>IF($B29="","",IF(CHOOSE(EstrN,SIM_AVALANCHA!AJ32,SIM_BOLA!AJ32)&lt;=0,"-",IF(CHOOSE(EstrN,SIM_AVALANCHA!AK32,SIM_BOLA!AK32)=0,"",CHOOSE(EstrN,INDEX(SIM_AVALANCHA!$C$7:$L$7,SIM_AVALANCHA!AK32),INDEX(SIM_BOLA!$C$7:$L$7,SIM_BOLA!AK32)))))</f>
        <v/>
      </c>
    </row>
    <row r="30" ht="19" customHeight="1">
      <c r="B30" s="70">
        <f>IF(CHOOSE(EstrN,SIM_AVALANCHA!AI32,SIM_BOLA!AI32)&lt;=0,"",23)</f>
        <v/>
      </c>
      <c r="C30" s="91">
        <f>IF($B30="","",CHOOSE(EstrN,SIM_AVALANCHA!B33,SIM_BOLA!B33))</f>
        <v/>
      </c>
      <c r="D30" s="46">
        <f>IF($B30="","",CHOOSE(EstrN,SIM_AVALANCHA!AH33,SIM_BOLA!AH33))</f>
        <v/>
      </c>
      <c r="E30" s="92">
        <f>IF($B30="","",CHOOSE(EstrN,SIM_AVALANCHA!AG33,SIM_BOLA!AG33))</f>
        <v/>
      </c>
      <c r="F30" s="46">
        <f>IF($B30="","",D30-E30)</f>
        <v/>
      </c>
      <c r="G30" s="93">
        <f>IF($B30="","",CHOOSE(EstrN,SIM_AVALANCHA!AI33,SIM_BOLA!AI33))</f>
        <v/>
      </c>
      <c r="H30" s="94">
        <f>IF($B30="","",IF(CHOOSE(EstrN,SIM_AVALANCHA!AJ33,SIM_BOLA!AJ33)&lt;=0,"-",IF(CHOOSE(EstrN,SIM_AVALANCHA!AK33,SIM_BOLA!AK33)=0,"",CHOOSE(EstrN,INDEX(SIM_AVALANCHA!$C$7:$L$7,SIM_AVALANCHA!AK33),INDEX(SIM_BOLA!$C$7:$L$7,SIM_BOLA!AK33)))))</f>
        <v/>
      </c>
    </row>
    <row r="31" ht="19" customHeight="1">
      <c r="B31" s="72">
        <f>IF(CHOOSE(EstrN,SIM_AVALANCHA!AI33,SIM_BOLA!AI33)&lt;=0,"",24)</f>
        <v/>
      </c>
      <c r="C31" s="95">
        <f>IF($B31="","",CHOOSE(EstrN,SIM_AVALANCHA!B34,SIM_BOLA!B34))</f>
        <v/>
      </c>
      <c r="D31" s="51">
        <f>IF($B31="","",CHOOSE(EstrN,SIM_AVALANCHA!AH34,SIM_BOLA!AH34))</f>
        <v/>
      </c>
      <c r="E31" s="96">
        <f>IF($B31="","",CHOOSE(EstrN,SIM_AVALANCHA!AG34,SIM_BOLA!AG34))</f>
        <v/>
      </c>
      <c r="F31" s="51">
        <f>IF($B31="","",D31-E31)</f>
        <v/>
      </c>
      <c r="G31" s="97">
        <f>IF($B31="","",CHOOSE(EstrN,SIM_AVALANCHA!AI34,SIM_BOLA!AI34))</f>
        <v/>
      </c>
      <c r="H31" s="98">
        <f>IF($B31="","",IF(CHOOSE(EstrN,SIM_AVALANCHA!AJ34,SIM_BOLA!AJ34)&lt;=0,"-",IF(CHOOSE(EstrN,SIM_AVALANCHA!AK34,SIM_BOLA!AK34)=0,"",CHOOSE(EstrN,INDEX(SIM_AVALANCHA!$C$7:$L$7,SIM_AVALANCHA!AK34),INDEX(SIM_BOLA!$C$7:$L$7,SIM_BOLA!AK34)))))</f>
        <v/>
      </c>
    </row>
    <row r="32" ht="19" customHeight="1">
      <c r="B32" s="70">
        <f>IF(CHOOSE(EstrN,SIM_AVALANCHA!AI34,SIM_BOLA!AI34)&lt;=0,"",25)</f>
        <v/>
      </c>
      <c r="C32" s="91">
        <f>IF($B32="","",CHOOSE(EstrN,SIM_AVALANCHA!B35,SIM_BOLA!B35))</f>
        <v/>
      </c>
      <c r="D32" s="46">
        <f>IF($B32="","",CHOOSE(EstrN,SIM_AVALANCHA!AH35,SIM_BOLA!AH35))</f>
        <v/>
      </c>
      <c r="E32" s="92">
        <f>IF($B32="","",CHOOSE(EstrN,SIM_AVALANCHA!AG35,SIM_BOLA!AG35))</f>
        <v/>
      </c>
      <c r="F32" s="46">
        <f>IF($B32="","",D32-E32)</f>
        <v/>
      </c>
      <c r="G32" s="93">
        <f>IF($B32="","",CHOOSE(EstrN,SIM_AVALANCHA!AI35,SIM_BOLA!AI35))</f>
        <v/>
      </c>
      <c r="H32" s="94">
        <f>IF($B32="","",IF(CHOOSE(EstrN,SIM_AVALANCHA!AJ35,SIM_BOLA!AJ35)&lt;=0,"-",IF(CHOOSE(EstrN,SIM_AVALANCHA!AK35,SIM_BOLA!AK35)=0,"",CHOOSE(EstrN,INDEX(SIM_AVALANCHA!$C$7:$L$7,SIM_AVALANCHA!AK35),INDEX(SIM_BOLA!$C$7:$L$7,SIM_BOLA!AK35)))))</f>
        <v/>
      </c>
    </row>
    <row r="33" ht="19" customHeight="1">
      <c r="B33" s="72">
        <f>IF(CHOOSE(EstrN,SIM_AVALANCHA!AI35,SIM_BOLA!AI35)&lt;=0,"",26)</f>
        <v/>
      </c>
      <c r="C33" s="95">
        <f>IF($B33="","",CHOOSE(EstrN,SIM_AVALANCHA!B36,SIM_BOLA!B36))</f>
        <v/>
      </c>
      <c r="D33" s="51">
        <f>IF($B33="","",CHOOSE(EstrN,SIM_AVALANCHA!AH36,SIM_BOLA!AH36))</f>
        <v/>
      </c>
      <c r="E33" s="96">
        <f>IF($B33="","",CHOOSE(EstrN,SIM_AVALANCHA!AG36,SIM_BOLA!AG36))</f>
        <v/>
      </c>
      <c r="F33" s="51">
        <f>IF($B33="","",D33-E33)</f>
        <v/>
      </c>
      <c r="G33" s="97">
        <f>IF($B33="","",CHOOSE(EstrN,SIM_AVALANCHA!AI36,SIM_BOLA!AI36))</f>
        <v/>
      </c>
      <c r="H33" s="98">
        <f>IF($B33="","",IF(CHOOSE(EstrN,SIM_AVALANCHA!AJ36,SIM_BOLA!AJ36)&lt;=0,"-",IF(CHOOSE(EstrN,SIM_AVALANCHA!AK36,SIM_BOLA!AK36)=0,"",CHOOSE(EstrN,INDEX(SIM_AVALANCHA!$C$7:$L$7,SIM_AVALANCHA!AK36),INDEX(SIM_BOLA!$C$7:$L$7,SIM_BOLA!AK36)))))</f>
        <v/>
      </c>
    </row>
    <row r="34" ht="19" customHeight="1">
      <c r="B34" s="70">
        <f>IF(CHOOSE(EstrN,SIM_AVALANCHA!AI36,SIM_BOLA!AI36)&lt;=0,"",27)</f>
        <v/>
      </c>
      <c r="C34" s="91">
        <f>IF($B34="","",CHOOSE(EstrN,SIM_AVALANCHA!B37,SIM_BOLA!B37))</f>
        <v/>
      </c>
      <c r="D34" s="46">
        <f>IF($B34="","",CHOOSE(EstrN,SIM_AVALANCHA!AH37,SIM_BOLA!AH37))</f>
        <v/>
      </c>
      <c r="E34" s="92">
        <f>IF($B34="","",CHOOSE(EstrN,SIM_AVALANCHA!AG37,SIM_BOLA!AG37))</f>
        <v/>
      </c>
      <c r="F34" s="46">
        <f>IF($B34="","",D34-E34)</f>
        <v/>
      </c>
      <c r="G34" s="93">
        <f>IF($B34="","",CHOOSE(EstrN,SIM_AVALANCHA!AI37,SIM_BOLA!AI37))</f>
        <v/>
      </c>
      <c r="H34" s="94">
        <f>IF($B34="","",IF(CHOOSE(EstrN,SIM_AVALANCHA!AJ37,SIM_BOLA!AJ37)&lt;=0,"-",IF(CHOOSE(EstrN,SIM_AVALANCHA!AK37,SIM_BOLA!AK37)=0,"",CHOOSE(EstrN,INDEX(SIM_AVALANCHA!$C$7:$L$7,SIM_AVALANCHA!AK37),INDEX(SIM_BOLA!$C$7:$L$7,SIM_BOLA!AK37)))))</f>
        <v/>
      </c>
    </row>
    <row r="35" ht="19" customHeight="1">
      <c r="B35" s="72">
        <f>IF(CHOOSE(EstrN,SIM_AVALANCHA!AI37,SIM_BOLA!AI37)&lt;=0,"",28)</f>
        <v/>
      </c>
      <c r="C35" s="95">
        <f>IF($B35="","",CHOOSE(EstrN,SIM_AVALANCHA!B38,SIM_BOLA!B38))</f>
        <v/>
      </c>
      <c r="D35" s="51">
        <f>IF($B35="","",CHOOSE(EstrN,SIM_AVALANCHA!AH38,SIM_BOLA!AH38))</f>
        <v/>
      </c>
      <c r="E35" s="96">
        <f>IF($B35="","",CHOOSE(EstrN,SIM_AVALANCHA!AG38,SIM_BOLA!AG38))</f>
        <v/>
      </c>
      <c r="F35" s="51">
        <f>IF($B35="","",D35-E35)</f>
        <v/>
      </c>
      <c r="G35" s="97">
        <f>IF($B35="","",CHOOSE(EstrN,SIM_AVALANCHA!AI38,SIM_BOLA!AI38))</f>
        <v/>
      </c>
      <c r="H35" s="98">
        <f>IF($B35="","",IF(CHOOSE(EstrN,SIM_AVALANCHA!AJ38,SIM_BOLA!AJ38)&lt;=0,"-",IF(CHOOSE(EstrN,SIM_AVALANCHA!AK38,SIM_BOLA!AK38)=0,"",CHOOSE(EstrN,INDEX(SIM_AVALANCHA!$C$7:$L$7,SIM_AVALANCHA!AK38),INDEX(SIM_BOLA!$C$7:$L$7,SIM_BOLA!AK38)))))</f>
        <v/>
      </c>
    </row>
    <row r="36" ht="19" customHeight="1">
      <c r="B36" s="70">
        <f>IF(CHOOSE(EstrN,SIM_AVALANCHA!AI38,SIM_BOLA!AI38)&lt;=0,"",29)</f>
        <v/>
      </c>
      <c r="C36" s="91">
        <f>IF($B36="","",CHOOSE(EstrN,SIM_AVALANCHA!B39,SIM_BOLA!B39))</f>
        <v/>
      </c>
      <c r="D36" s="46">
        <f>IF($B36="","",CHOOSE(EstrN,SIM_AVALANCHA!AH39,SIM_BOLA!AH39))</f>
        <v/>
      </c>
      <c r="E36" s="92">
        <f>IF($B36="","",CHOOSE(EstrN,SIM_AVALANCHA!AG39,SIM_BOLA!AG39))</f>
        <v/>
      </c>
      <c r="F36" s="46">
        <f>IF($B36="","",D36-E36)</f>
        <v/>
      </c>
      <c r="G36" s="93">
        <f>IF($B36="","",CHOOSE(EstrN,SIM_AVALANCHA!AI39,SIM_BOLA!AI39))</f>
        <v/>
      </c>
      <c r="H36" s="94">
        <f>IF($B36="","",IF(CHOOSE(EstrN,SIM_AVALANCHA!AJ39,SIM_BOLA!AJ39)&lt;=0,"-",IF(CHOOSE(EstrN,SIM_AVALANCHA!AK39,SIM_BOLA!AK39)=0,"",CHOOSE(EstrN,INDEX(SIM_AVALANCHA!$C$7:$L$7,SIM_AVALANCHA!AK39),INDEX(SIM_BOLA!$C$7:$L$7,SIM_BOLA!AK39)))))</f>
        <v/>
      </c>
    </row>
    <row r="37" ht="19" customHeight="1">
      <c r="B37" s="72">
        <f>IF(CHOOSE(EstrN,SIM_AVALANCHA!AI39,SIM_BOLA!AI39)&lt;=0,"",30)</f>
        <v/>
      </c>
      <c r="C37" s="95">
        <f>IF($B37="","",CHOOSE(EstrN,SIM_AVALANCHA!B40,SIM_BOLA!B40))</f>
        <v/>
      </c>
      <c r="D37" s="51">
        <f>IF($B37="","",CHOOSE(EstrN,SIM_AVALANCHA!AH40,SIM_BOLA!AH40))</f>
        <v/>
      </c>
      <c r="E37" s="96">
        <f>IF($B37="","",CHOOSE(EstrN,SIM_AVALANCHA!AG40,SIM_BOLA!AG40))</f>
        <v/>
      </c>
      <c r="F37" s="51">
        <f>IF($B37="","",D37-E37)</f>
        <v/>
      </c>
      <c r="G37" s="97">
        <f>IF($B37="","",CHOOSE(EstrN,SIM_AVALANCHA!AI40,SIM_BOLA!AI40))</f>
        <v/>
      </c>
      <c r="H37" s="98">
        <f>IF($B37="","",IF(CHOOSE(EstrN,SIM_AVALANCHA!AJ40,SIM_BOLA!AJ40)&lt;=0,"-",IF(CHOOSE(EstrN,SIM_AVALANCHA!AK40,SIM_BOLA!AK40)=0,"",CHOOSE(EstrN,INDEX(SIM_AVALANCHA!$C$7:$L$7,SIM_AVALANCHA!AK40),INDEX(SIM_BOLA!$C$7:$L$7,SIM_BOLA!AK40)))))</f>
        <v/>
      </c>
    </row>
    <row r="38" ht="19" customHeight="1">
      <c r="B38" s="70">
        <f>IF(CHOOSE(EstrN,SIM_AVALANCHA!AI40,SIM_BOLA!AI40)&lt;=0,"",31)</f>
        <v/>
      </c>
      <c r="C38" s="91">
        <f>IF($B38="","",CHOOSE(EstrN,SIM_AVALANCHA!B41,SIM_BOLA!B41))</f>
        <v/>
      </c>
      <c r="D38" s="46">
        <f>IF($B38="","",CHOOSE(EstrN,SIM_AVALANCHA!AH41,SIM_BOLA!AH41))</f>
        <v/>
      </c>
      <c r="E38" s="92">
        <f>IF($B38="","",CHOOSE(EstrN,SIM_AVALANCHA!AG41,SIM_BOLA!AG41))</f>
        <v/>
      </c>
      <c r="F38" s="46">
        <f>IF($B38="","",D38-E38)</f>
        <v/>
      </c>
      <c r="G38" s="93">
        <f>IF($B38="","",CHOOSE(EstrN,SIM_AVALANCHA!AI41,SIM_BOLA!AI41))</f>
        <v/>
      </c>
      <c r="H38" s="94">
        <f>IF($B38="","",IF(CHOOSE(EstrN,SIM_AVALANCHA!AJ41,SIM_BOLA!AJ41)&lt;=0,"-",IF(CHOOSE(EstrN,SIM_AVALANCHA!AK41,SIM_BOLA!AK41)=0,"",CHOOSE(EstrN,INDEX(SIM_AVALANCHA!$C$7:$L$7,SIM_AVALANCHA!AK41),INDEX(SIM_BOLA!$C$7:$L$7,SIM_BOLA!AK41)))))</f>
        <v/>
      </c>
    </row>
    <row r="39" ht="19" customHeight="1">
      <c r="B39" s="72">
        <f>IF(CHOOSE(EstrN,SIM_AVALANCHA!AI41,SIM_BOLA!AI41)&lt;=0,"",32)</f>
        <v/>
      </c>
      <c r="C39" s="95">
        <f>IF($B39="","",CHOOSE(EstrN,SIM_AVALANCHA!B42,SIM_BOLA!B42))</f>
        <v/>
      </c>
      <c r="D39" s="51">
        <f>IF($B39="","",CHOOSE(EstrN,SIM_AVALANCHA!AH42,SIM_BOLA!AH42))</f>
        <v/>
      </c>
      <c r="E39" s="96">
        <f>IF($B39="","",CHOOSE(EstrN,SIM_AVALANCHA!AG42,SIM_BOLA!AG42))</f>
        <v/>
      </c>
      <c r="F39" s="51">
        <f>IF($B39="","",D39-E39)</f>
        <v/>
      </c>
      <c r="G39" s="97">
        <f>IF($B39="","",CHOOSE(EstrN,SIM_AVALANCHA!AI42,SIM_BOLA!AI42))</f>
        <v/>
      </c>
      <c r="H39" s="98">
        <f>IF($B39="","",IF(CHOOSE(EstrN,SIM_AVALANCHA!AJ42,SIM_BOLA!AJ42)&lt;=0,"-",IF(CHOOSE(EstrN,SIM_AVALANCHA!AK42,SIM_BOLA!AK42)=0,"",CHOOSE(EstrN,INDEX(SIM_AVALANCHA!$C$7:$L$7,SIM_AVALANCHA!AK42),INDEX(SIM_BOLA!$C$7:$L$7,SIM_BOLA!AK42)))))</f>
        <v/>
      </c>
    </row>
    <row r="40" ht="19" customHeight="1">
      <c r="B40" s="70">
        <f>IF(CHOOSE(EstrN,SIM_AVALANCHA!AI42,SIM_BOLA!AI42)&lt;=0,"",33)</f>
        <v/>
      </c>
      <c r="C40" s="91">
        <f>IF($B40="","",CHOOSE(EstrN,SIM_AVALANCHA!B43,SIM_BOLA!B43))</f>
        <v/>
      </c>
      <c r="D40" s="46">
        <f>IF($B40="","",CHOOSE(EstrN,SIM_AVALANCHA!AH43,SIM_BOLA!AH43))</f>
        <v/>
      </c>
      <c r="E40" s="92">
        <f>IF($B40="","",CHOOSE(EstrN,SIM_AVALANCHA!AG43,SIM_BOLA!AG43))</f>
        <v/>
      </c>
      <c r="F40" s="46">
        <f>IF($B40="","",D40-E40)</f>
        <v/>
      </c>
      <c r="G40" s="93">
        <f>IF($B40="","",CHOOSE(EstrN,SIM_AVALANCHA!AI43,SIM_BOLA!AI43))</f>
        <v/>
      </c>
      <c r="H40" s="94">
        <f>IF($B40="","",IF(CHOOSE(EstrN,SIM_AVALANCHA!AJ43,SIM_BOLA!AJ43)&lt;=0,"-",IF(CHOOSE(EstrN,SIM_AVALANCHA!AK43,SIM_BOLA!AK43)=0,"",CHOOSE(EstrN,INDEX(SIM_AVALANCHA!$C$7:$L$7,SIM_AVALANCHA!AK43),INDEX(SIM_BOLA!$C$7:$L$7,SIM_BOLA!AK43)))))</f>
        <v/>
      </c>
    </row>
    <row r="41" ht="19" customHeight="1">
      <c r="B41" s="72">
        <f>IF(CHOOSE(EstrN,SIM_AVALANCHA!AI43,SIM_BOLA!AI43)&lt;=0,"",34)</f>
        <v/>
      </c>
      <c r="C41" s="95">
        <f>IF($B41="","",CHOOSE(EstrN,SIM_AVALANCHA!B44,SIM_BOLA!B44))</f>
        <v/>
      </c>
      <c r="D41" s="51">
        <f>IF($B41="","",CHOOSE(EstrN,SIM_AVALANCHA!AH44,SIM_BOLA!AH44))</f>
        <v/>
      </c>
      <c r="E41" s="96">
        <f>IF($B41="","",CHOOSE(EstrN,SIM_AVALANCHA!AG44,SIM_BOLA!AG44))</f>
        <v/>
      </c>
      <c r="F41" s="51">
        <f>IF($B41="","",D41-E41)</f>
        <v/>
      </c>
      <c r="G41" s="97">
        <f>IF($B41="","",CHOOSE(EstrN,SIM_AVALANCHA!AI44,SIM_BOLA!AI44))</f>
        <v/>
      </c>
      <c r="H41" s="98">
        <f>IF($B41="","",IF(CHOOSE(EstrN,SIM_AVALANCHA!AJ44,SIM_BOLA!AJ44)&lt;=0,"-",IF(CHOOSE(EstrN,SIM_AVALANCHA!AK44,SIM_BOLA!AK44)=0,"",CHOOSE(EstrN,INDEX(SIM_AVALANCHA!$C$7:$L$7,SIM_AVALANCHA!AK44),INDEX(SIM_BOLA!$C$7:$L$7,SIM_BOLA!AK44)))))</f>
        <v/>
      </c>
    </row>
    <row r="42" ht="19" customHeight="1">
      <c r="B42" s="70">
        <f>IF(CHOOSE(EstrN,SIM_AVALANCHA!AI44,SIM_BOLA!AI44)&lt;=0,"",35)</f>
        <v/>
      </c>
      <c r="C42" s="91">
        <f>IF($B42="","",CHOOSE(EstrN,SIM_AVALANCHA!B45,SIM_BOLA!B45))</f>
        <v/>
      </c>
      <c r="D42" s="46">
        <f>IF($B42="","",CHOOSE(EstrN,SIM_AVALANCHA!AH45,SIM_BOLA!AH45))</f>
        <v/>
      </c>
      <c r="E42" s="92">
        <f>IF($B42="","",CHOOSE(EstrN,SIM_AVALANCHA!AG45,SIM_BOLA!AG45))</f>
        <v/>
      </c>
      <c r="F42" s="46">
        <f>IF($B42="","",D42-E42)</f>
        <v/>
      </c>
      <c r="G42" s="93">
        <f>IF($B42="","",CHOOSE(EstrN,SIM_AVALANCHA!AI45,SIM_BOLA!AI45))</f>
        <v/>
      </c>
      <c r="H42" s="94">
        <f>IF($B42="","",IF(CHOOSE(EstrN,SIM_AVALANCHA!AJ45,SIM_BOLA!AJ45)&lt;=0,"-",IF(CHOOSE(EstrN,SIM_AVALANCHA!AK45,SIM_BOLA!AK45)=0,"",CHOOSE(EstrN,INDEX(SIM_AVALANCHA!$C$7:$L$7,SIM_AVALANCHA!AK45),INDEX(SIM_BOLA!$C$7:$L$7,SIM_BOLA!AK45)))))</f>
        <v/>
      </c>
    </row>
    <row r="43" ht="19" customHeight="1">
      <c r="B43" s="72">
        <f>IF(CHOOSE(EstrN,SIM_AVALANCHA!AI45,SIM_BOLA!AI45)&lt;=0,"",36)</f>
        <v/>
      </c>
      <c r="C43" s="95">
        <f>IF($B43="","",CHOOSE(EstrN,SIM_AVALANCHA!B46,SIM_BOLA!B46))</f>
        <v/>
      </c>
      <c r="D43" s="51">
        <f>IF($B43="","",CHOOSE(EstrN,SIM_AVALANCHA!AH46,SIM_BOLA!AH46))</f>
        <v/>
      </c>
      <c r="E43" s="96">
        <f>IF($B43="","",CHOOSE(EstrN,SIM_AVALANCHA!AG46,SIM_BOLA!AG46))</f>
        <v/>
      </c>
      <c r="F43" s="51">
        <f>IF($B43="","",D43-E43)</f>
        <v/>
      </c>
      <c r="G43" s="97">
        <f>IF($B43="","",CHOOSE(EstrN,SIM_AVALANCHA!AI46,SIM_BOLA!AI46))</f>
        <v/>
      </c>
      <c r="H43" s="98">
        <f>IF($B43="","",IF(CHOOSE(EstrN,SIM_AVALANCHA!AJ46,SIM_BOLA!AJ46)&lt;=0,"-",IF(CHOOSE(EstrN,SIM_AVALANCHA!AK46,SIM_BOLA!AK46)=0,"",CHOOSE(EstrN,INDEX(SIM_AVALANCHA!$C$7:$L$7,SIM_AVALANCHA!AK46),INDEX(SIM_BOLA!$C$7:$L$7,SIM_BOLA!AK46)))))</f>
        <v/>
      </c>
    </row>
    <row r="45" ht="8" customHeight="1">
      <c r="B45" s="57" t="n"/>
    </row>
    <row r="46" ht="16" customHeight="1">
      <c r="B46" s="58" t="inlineStr">
        <is>
          <t>MIX SHOP DIGITAL  ·  Herramientas inteligentes que simplifican tu vida.</t>
        </is>
      </c>
    </row>
    <row r="47" ht="16" customHeight="1">
      <c r="B47" s="59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mergeCells count="10">
    <mergeCell ref="B2:C2"/>
    <mergeCell ref="D2:H2"/>
    <mergeCell ref="B5:C5"/>
    <mergeCell ref="D1:H1"/>
    <mergeCell ref="D5:H5"/>
    <mergeCell ref="B47:H47"/>
    <mergeCell ref="C4:H4"/>
    <mergeCell ref="B1:C1"/>
    <mergeCell ref="B45:H45"/>
    <mergeCell ref="B46:H46"/>
  </mergeCells>
  <conditionalFormatting sqref="G8:G43">
    <cfRule type="dataBar" priority="1">
      <dataBar showValue="1">
        <cfvo type="num" val="0"/>
        <cfvo type="max"/>
        <color rgb="009ED8B5"/>
      </dataBar>
    </cfRule>
  </conditionalFormatting>
  <hyperlinks>
    <hyperlink ref="B5" location="'PANEL'!A1" display="←  Volver al PANEL"/>
    <hyperlink xmlns:r="http://schemas.openxmlformats.org/officeDocument/2006/relationships" ref="B47" r:id="rId1"/>
  </hyperlinks>
  <printOptions horizontalCentered="1"/>
  <pageMargins left="0.75" right="0.75" top="1" bottom="1" header="0.5" footer="0.5"/>
  <pageSetup orientation="portrait" paperSize="9" fitToHeight="0" fitToWidth="1"/>
  <headerFooter>
    <oddHeader>&amp;C&amp;"Arial,Bold"&amp;14 &amp;K14532DMIX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tabColor rgb="0014532D"/>
    <outlinePr summaryBelow="1" summaryRight="1"/>
    <pageSetUpPr fitToPage="1"/>
  </sheetPr>
  <dimension ref="B1:D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38" customWidth="1" min="3" max="3"/>
    <col width="56" customWidth="1" min="4" max="4"/>
  </cols>
  <sheetData>
    <row r="1" ht="38" customHeight="1">
      <c r="B1" s="1" t="n"/>
      <c r="C1" s="3" t="inlineStr">
        <is>
          <t>AJUSTES</t>
        </is>
      </c>
      <c r="D1" s="2" t="n"/>
    </row>
    <row r="2" ht="18" customHeight="1">
      <c r="B2" s="4" t="inlineStr">
        <is>
          <t>Herramientas inteligentes que simplifican tu vida.</t>
        </is>
      </c>
      <c r="C2" s="5" t="inlineStr">
        <is>
          <t>Cargalos una sola vez</t>
        </is>
      </c>
    </row>
    <row r="3" ht="5" customHeight="1">
      <c r="B3" s="6" t="n"/>
      <c r="C3" s="8" t="n"/>
      <c r="D3" s="10" t="n"/>
    </row>
    <row r="4" ht="20" customHeight="1">
      <c r="B4" s="60" t="inlineStr">
        <is>
          <t>← VOLVER</t>
        </is>
      </c>
      <c r="C4" s="12" t="inlineStr">
        <is>
          <t>Completá solamente las celdas amarillas. Estos datos alimentan las demás hojas automáticamente.</t>
        </is>
      </c>
    </row>
    <row r="6">
      <c r="B6" s="36" t="inlineStr">
        <is>
          <t>1. TU PLAN</t>
        </is>
      </c>
    </row>
    <row r="7" ht="28" customHeight="1">
      <c r="B7" s="99" t="inlineStr">
        <is>
          <t>Nombre del plan</t>
        </is>
      </c>
      <c r="C7" s="100" t="inlineStr">
        <is>
          <t>Mi plan para salir de deudas</t>
        </is>
      </c>
      <c r="D7" s="101" t="inlineStr">
        <is>
          <t>Aparece en el PANEL.</t>
        </is>
      </c>
    </row>
    <row r="8" ht="28" customHeight="1">
      <c r="B8" s="99" t="inlineStr">
        <is>
          <t>Moneda</t>
        </is>
      </c>
      <c r="C8" s="100" t="inlineStr">
        <is>
          <t>Gs.</t>
        </is>
      </c>
      <c r="D8" s="101" t="inlineStr">
        <is>
          <t>Símbolo que se muestra en las hojas.</t>
        </is>
      </c>
    </row>
    <row r="9" ht="28" customHeight="1">
      <c r="B9" s="99" t="inlineStr">
        <is>
          <t>Mes en que empieza el plan</t>
        </is>
      </c>
      <c r="C9" s="102" t="n"/>
      <c r="D9" s="101" t="inlineStr">
        <is>
          <t>Primer mes en que vas a pagar con este plan. Si lo dejás vacío se usa el mes actual.</t>
        </is>
      </c>
    </row>
    <row r="10">
      <c r="B10" s="103" t="inlineStr">
        <is>
          <t>Mes de inicio que se usa</t>
        </is>
      </c>
      <c r="C10" s="104">
        <f>IF(C9="",DATE(YEAR(TODAY()),MONTH(TODAY()),1),DATE(YEAR(C9),MONTH(C9),1))</f>
        <v/>
      </c>
      <c r="D10" s="12" t="inlineStr">
        <is>
          <t>Se calcula solo.</t>
        </is>
      </c>
    </row>
    <row r="12">
      <c r="B12" s="43" t="inlineStr">
        <is>
          <t>2. TIPOS DE DEUDA (podés renombrarlos)</t>
        </is>
      </c>
    </row>
    <row r="13">
      <c r="B13" s="12" t="inlineStr">
        <is>
          <t>Se usan en la lista desplegable de DEUDAS. Cambiá el nombre, pero no dejes huecos.</t>
        </is>
      </c>
    </row>
    <row r="14">
      <c r="B14" s="100" t="inlineStr">
        <is>
          <t>Tarjeta de crédito</t>
        </is>
      </c>
      <c r="C14" s="12" t="inlineStr">
        <is>
          <t>Hasta 8 tipos.</t>
        </is>
      </c>
    </row>
    <row r="15">
      <c r="B15" s="100" t="inlineStr">
        <is>
          <t>Préstamo bancario</t>
        </is>
      </c>
    </row>
    <row r="16">
      <c r="B16" s="100" t="inlineStr">
        <is>
          <t>Financiera</t>
        </is>
      </c>
    </row>
    <row r="17">
      <c r="B17" s="100" t="inlineStr">
        <is>
          <t>Casa comercial / cuotas</t>
        </is>
      </c>
    </row>
    <row r="18">
      <c r="B18" s="100" t="inlineStr">
        <is>
          <t>Préstamo personal</t>
        </is>
      </c>
    </row>
    <row r="19">
      <c r="B19" s="100" t="inlineStr">
        <is>
          <t>Cooperativa</t>
        </is>
      </c>
    </row>
    <row r="20">
      <c r="B20" s="100" t="inlineStr">
        <is>
          <t>Hipoteca / vivienda</t>
        </is>
      </c>
    </row>
    <row r="21">
      <c r="B21" s="100" t="inlineStr">
        <is>
          <t>Otra</t>
        </is>
      </c>
    </row>
    <row r="24" ht="8" customHeight="1">
      <c r="B24" s="57" t="n"/>
    </row>
    <row r="25" ht="16" customHeight="1">
      <c r="B25" s="58" t="inlineStr">
        <is>
          <t>MIX SHOP DIGITAL  ·  Herramientas inteligentes que simplifican tu vida.</t>
        </is>
      </c>
    </row>
    <row r="26" ht="16" customHeight="1">
      <c r="B26" s="59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mergeCells count="8">
    <mergeCell ref="C2:D2"/>
    <mergeCell ref="C1:D1"/>
    <mergeCell ref="B26:D26"/>
    <mergeCell ref="B12:D12"/>
    <mergeCell ref="B25:D25"/>
    <mergeCell ref="B6:D6"/>
    <mergeCell ref="B24:D24"/>
    <mergeCell ref="C4:D4"/>
  </mergeCells>
  <dataValidations count="2">
    <dataValidation sqref="C8" showDropDown="0" showInputMessage="1" showErrorMessage="1" allowBlank="1" errorTitle="Valor no válido" error="Elegí un valor de la lista desplegable." promptTitle="Moneda" prompt="Elegí la moneda que usás." type="list" errorStyle="stop">
      <formula1>"Gs.,US$,R$,ARS $,€"</formula1>
    </dataValidation>
    <dataValidation sqref="C9" showDropDown="0" showInputMessage="1" showErrorMessage="1" allowBlank="1" errorTitle="Dato no válido" error="Escribí una fecha válida (dd/mm/aaaa)." promptTitle="Mes de inicio" prompt="Escribí una fecha del mes en que empezás. Ej.: 01/11/2026" type="date" operator="greaterThanOrEqual">
      <formula1>36526</formula1>
    </dataValidation>
  </dataValidations>
  <hyperlinks>
    <hyperlink ref="B4" location="'PANEL'!A1" display="← VOLVER"/>
    <hyperlink xmlns:r="http://schemas.openxmlformats.org/officeDocument/2006/relationships" ref="B26" r:id="rId1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&amp;K14532DMIX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tabColor rgb="0014532D"/>
    <outlinePr summaryBelow="1" summaryRight="1"/>
    <pageSetUpPr fitToPage="1"/>
  </sheetPr>
  <dimension ref="B1:H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8" customHeight="1">
      <c r="B1" s="1" t="n"/>
      <c r="C1" s="2" t="n"/>
      <c r="D1" s="3" t="inlineStr">
        <is>
          <t>AYUDA</t>
        </is>
      </c>
      <c r="E1" s="2" t="n"/>
      <c r="F1" s="2" t="n"/>
      <c r="G1" s="2" t="n"/>
      <c r="H1" s="2" t="n"/>
    </row>
    <row r="2" ht="18" customHeight="1">
      <c r="B2" s="4" t="inlineStr">
        <is>
          <t>Herramientas inteligentes que simplifican tu vida.</t>
        </is>
      </c>
      <c r="D2" s="5" t="inlineStr">
        <is>
          <t>Se aprende en 2 minutos</t>
        </is>
      </c>
    </row>
    <row r="3" ht="5" customHeight="1">
      <c r="B3" s="6" t="n"/>
      <c r="C3" s="7" t="n"/>
      <c r="D3" s="8" t="n"/>
      <c r="E3" s="9" t="n"/>
      <c r="F3" s="9" t="n"/>
      <c r="G3" s="10" t="n"/>
      <c r="H3" s="11" t="n"/>
    </row>
    <row r="4" ht="20" customHeight="1">
      <c r="B4" s="60" t="inlineStr">
        <is>
          <t>← VOLVER</t>
        </is>
      </c>
      <c r="C4" s="12" t="inlineStr">
        <is>
          <t>Leé esta hoja una vez. Después ya no la vas a necesitar.</t>
        </is>
      </c>
    </row>
    <row r="6">
      <c r="B6" s="36" t="inlineStr">
        <is>
          <t>¿PARA QUÉ SIRVE?</t>
        </is>
      </c>
    </row>
    <row r="7" ht="47.5" customHeight="1">
      <c r="B7" s="105" t="inlineStr">
        <is>
          <t>Para ordenar todas tus deudas (tarjetas, préstamos, financieras, cuotas), ver cuánto interés te cobran y armar un plan para dejar de deber: en qué orden pagar, cuánto tardás y cuánto ahorrás en intereses. Sin fórmulas y sin Internet.</t>
        </is>
      </c>
    </row>
    <row r="9">
      <c r="B9" s="43" t="inlineStr">
        <is>
          <t>EMPEZÁ EN 3 PASOS</t>
        </is>
      </c>
    </row>
    <row r="10" ht="33" customHeight="1">
      <c r="B10" s="105" t="inlineStr">
        <is>
          <t>1) En DEUDAS escribí una fila por cada deuda: nombre, saldo (lo que debés hoy), tasa anual y cuota mínima. El resto es opcional.</t>
        </is>
      </c>
    </row>
    <row r="11" ht="18.5" customHeight="1">
      <c r="B11" s="105" t="inlineStr">
        <is>
          <t>2) En el PANEL elegí la estrategia y, si podés, un pago extra por mes además de las cuotas.</t>
        </is>
      </c>
    </row>
    <row r="12" ht="33" customHeight="1">
      <c r="B12" s="105" t="inlineStr">
        <is>
          <t>3) Mirá el PANEL: cuándo quedás libre de deudas, cuánto te ahorrás en intereses y en qué orden pagar. En PLAN MES A MES ves los primeros 3 años.</t>
        </is>
      </c>
    </row>
    <row r="14">
      <c r="B14" s="36" t="inlineStr">
        <is>
          <t>LAS DOS ESTRATEGIAS</t>
        </is>
      </c>
    </row>
    <row r="15" ht="33" customHeight="1">
      <c r="B15" s="105" t="inlineStr">
        <is>
          <t>Avalancha: además de las cuotas, el dinero extra va a la deuda con la tasa más alta. Es la que menos intereses te cobra en total.</t>
        </is>
      </c>
    </row>
    <row r="16" ht="33" customHeight="1">
      <c r="B16" s="105" t="inlineStr">
        <is>
          <t>Bola de nieve: el dinero extra va a la deuda más chica. Cerrás deudas rápido y eso motiva, aunque pagues algo más de intereses.</t>
        </is>
      </c>
    </row>
    <row r="17" ht="18.5" customHeight="1">
      <c r="B17" s="105" t="inlineStr">
        <is>
          <t>En las dos, cuando terminás una deuda, su cuota se suma al extra y se usa para la siguiente.</t>
        </is>
      </c>
    </row>
    <row r="19">
      <c r="B19" s="43" t="inlineStr">
        <is>
          <t>COLORES Y AVISOS</t>
        </is>
      </c>
    </row>
    <row r="20" ht="18.5" customHeight="1">
      <c r="B20" s="105" t="inlineStr">
        <is>
          <t>Amarillo claro: celdas que completás vos.   Gris o blanco: se calcula solo (bloqueado).</t>
        </is>
      </c>
    </row>
    <row r="21" ht="33" customHeight="1">
      <c r="B21" s="105" t="inlineStr">
        <is>
          <t>En DEUDAS: «⚠ La cuota no cubre el interés» significa que, pagando solo esa cuota, la deuda nunca baja. En VENCIMIENTOS: verde pagado, naranja por vencer, rojo vencido.</t>
        </is>
      </c>
    </row>
    <row r="23">
      <c r="B23" s="43" t="inlineStr">
        <is>
          <t>PREGUNTAS FRECUENTES</t>
        </is>
      </c>
    </row>
    <row r="24" ht="18.5" customHeight="1">
      <c r="B24" s="105" t="inlineStr">
        <is>
          <t>• Veo todo en cero: hacé clic en «Habilitar edición» en la barra amarilla de Excel.</t>
        </is>
      </c>
    </row>
    <row r="25" ht="33" customHeight="1">
      <c r="B25" s="105" t="inlineStr">
        <is>
          <t>• ¿Dónde encuentro la tasa? En tu contrato o estado de cuenta, como tasa anual (ej.: 36 %). Si no cobran interés, escribí 0 %.</t>
        </is>
      </c>
    </row>
    <row r="26" ht="33" customHeight="1">
      <c r="B26" s="105" t="inlineStr">
        <is>
          <t>• ¿Cómo marco una cuota como pagada? En DEUDAS elegí «Sí» en «¿Pagaste este mes?». El mes siguiente volvé a poner «No».</t>
        </is>
      </c>
    </row>
    <row r="27" ht="33" customHeight="1">
      <c r="B27" s="105" t="inlineStr">
        <is>
          <t>• ¿Cuándo actualizo el saldo? Cada mes, con el saldo que te figura en el banco: así el plan se recalcula con datos reales.</t>
        </is>
      </c>
    </row>
    <row r="28" ht="18.5" customHeight="1">
      <c r="B28" s="105" t="inlineStr">
        <is>
          <t>• Los resultados son estimados: tu banco puede cobrar comisiones o seguros que acá no figuran.</t>
        </is>
      </c>
    </row>
    <row r="29" ht="18.5" customHeight="1">
      <c r="B29" s="105" t="inlineStr">
        <is>
          <t>• Hay lugar para 10 deudas y el plan simula hasta 10 años.</t>
        </is>
      </c>
    </row>
    <row r="30" ht="33" customHeight="1">
      <c r="B30" s="105" t="inlineStr">
        <is>
          <t>• Solo se editan las celdas amarillas: el resto está protegido para que no se rompan las fórmulas por accidente.</t>
        </is>
      </c>
    </row>
    <row r="32">
      <c r="B32" s="36" t="inlineStr">
        <is>
          <t>SOBRE LA PROTECCIÓN</t>
        </is>
      </c>
    </row>
    <row r="33" ht="18.5" customHeight="1">
      <c r="B33" s="105" t="inlineStr">
        <is>
          <t>La protección de Excel evita borrados accidentales, pero no es un sistema de seguridad criptográfico.</t>
        </is>
      </c>
    </row>
    <row r="35">
      <c r="B35" s="106" t="inlineStr">
        <is>
          <t>MIX SHOP DIGITAL</t>
        </is>
      </c>
    </row>
    <row r="36" ht="33" customHeight="1">
      <c r="B36" s="105" t="inlineStr">
        <is>
          <t>Esta planilla es una herramienta gratuita de Mix Shop Digital. Encontrá más herramientas gratuitas y programas para tu vida diaria y tu negocio en nuestro sitio.</t>
        </is>
      </c>
    </row>
    <row r="37">
      <c r="B37" s="107" t="inlineStr">
        <is>
          <t>→ mixshopdigital.com.py</t>
        </is>
      </c>
    </row>
    <row r="39" ht="8" customHeight="1">
      <c r="B39" s="57" t="n"/>
    </row>
    <row r="40" ht="16" customHeight="1">
      <c r="B40" s="58" t="inlineStr">
        <is>
          <t>MIX SHOP DIGITAL  ·  Herramientas inteligentes que simplifican tu vida.</t>
        </is>
      </c>
    </row>
    <row r="41" ht="16" customHeight="1">
      <c r="B41" s="59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mergeCells count="34">
    <mergeCell ref="B40:H40"/>
    <mergeCell ref="B9:H9"/>
    <mergeCell ref="D1:H1"/>
    <mergeCell ref="B6:H6"/>
    <mergeCell ref="B24:H24"/>
    <mergeCell ref="B30:H30"/>
    <mergeCell ref="B15:H15"/>
    <mergeCell ref="B33:H33"/>
    <mergeCell ref="B20:H20"/>
    <mergeCell ref="B36:H36"/>
    <mergeCell ref="B32:H32"/>
    <mergeCell ref="B2:C2"/>
    <mergeCell ref="B26:H26"/>
    <mergeCell ref="B41:H41"/>
    <mergeCell ref="B35:H35"/>
    <mergeCell ref="D2:H2"/>
    <mergeCell ref="B16:H16"/>
    <mergeCell ref="B7:H7"/>
    <mergeCell ref="B25:H25"/>
    <mergeCell ref="B1:C1"/>
    <mergeCell ref="B27:H27"/>
    <mergeCell ref="B21:H21"/>
    <mergeCell ref="B12:H12"/>
    <mergeCell ref="B39:H39"/>
    <mergeCell ref="B11:H11"/>
    <mergeCell ref="B23:H23"/>
    <mergeCell ref="B14:H14"/>
    <mergeCell ref="B17:H17"/>
    <mergeCell ref="C4:H4"/>
    <mergeCell ref="B10:H10"/>
    <mergeCell ref="B29:H29"/>
    <mergeCell ref="B19:H19"/>
    <mergeCell ref="B37:H37"/>
    <mergeCell ref="B28:H28"/>
  </mergeCells>
  <hyperlinks>
    <hyperlink ref="B4" location="'PANEL'!A1" display="← VOLVER"/>
    <hyperlink xmlns:r="http://schemas.openxmlformats.org/officeDocument/2006/relationships" ref="B37" r:id="rId1"/>
    <hyperlink xmlns:r="http://schemas.openxmlformats.org/officeDocument/2006/relationships" ref="B41" r:id="rId2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&amp;K14532DMIX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30"/>
  <sheetViews>
    <sheetView workbookViewId="0">
      <selection activeCell="A1" sqref="A1"/>
    </sheetView>
  </sheetViews>
  <sheetFormatPr baseColWidth="8" defaultRowHeight="15"/>
  <sheetData>
    <row r="1">
      <c r="A1" s="108" t="inlineStr">
        <is>
          <t>AVALANCHA: se paga primero la deuda con la tasa más alta</t>
        </is>
      </c>
    </row>
    <row r="2">
      <c r="A2" t="inlineStr">
        <is>
          <t>Posición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AM2" t="inlineStr">
        <is>
          <t>Meses hasta liberarte</t>
        </is>
      </c>
      <c r="AN2">
        <f>IF(AI10&lt;=0,0,IFERROR(MATCH(0,AI10:AI130,0)-1,999))</f>
        <v/>
      </c>
    </row>
    <row r="3">
      <c r="A3" t="inlineStr">
        <is>
          <t>N° de deuda</t>
        </is>
      </c>
      <c r="C3">
        <f>IFERROR(MATCH(C$2,RankA,0),0)</f>
        <v/>
      </c>
      <c r="D3">
        <f>IFERROR(MATCH(D$2,RankA,0),0)</f>
        <v/>
      </c>
      <c r="E3">
        <f>IFERROR(MATCH(E$2,RankA,0),0)</f>
        <v/>
      </c>
      <c r="F3">
        <f>IFERROR(MATCH(F$2,RankA,0),0)</f>
        <v/>
      </c>
      <c r="G3">
        <f>IFERROR(MATCH(G$2,RankA,0),0)</f>
        <v/>
      </c>
      <c r="H3">
        <f>IFERROR(MATCH(H$2,RankA,0),0)</f>
        <v/>
      </c>
      <c r="I3">
        <f>IFERROR(MATCH(I$2,RankA,0),0)</f>
        <v/>
      </c>
      <c r="J3">
        <f>IFERROR(MATCH(J$2,RankA,0),0)</f>
        <v/>
      </c>
      <c r="K3">
        <f>IFERROR(MATCH(K$2,RankA,0),0)</f>
        <v/>
      </c>
      <c r="L3">
        <f>IFERROR(MATCH(L$2,RankA,0),0)</f>
        <v/>
      </c>
      <c r="AM3" t="inlineStr">
        <is>
          <t>Intereses totales</t>
        </is>
      </c>
      <c r="AN3">
        <f>SUM(AG11:AG130)</f>
        <v/>
      </c>
    </row>
    <row r="4">
      <c r="A4" t="inlineStr">
        <is>
          <t>Saldo hoy</t>
        </is>
      </c>
      <c r="C4">
        <f>IF(C$3=0,0,INDEX(DeuSal,C$3))</f>
        <v/>
      </c>
      <c r="D4">
        <f>IF(D$3=0,0,INDEX(DeuSal,D$3))</f>
        <v/>
      </c>
      <c r="E4">
        <f>IF(E$3=0,0,INDEX(DeuSal,E$3))</f>
        <v/>
      </c>
      <c r="F4">
        <f>IF(F$3=0,0,INDEX(DeuSal,F$3))</f>
        <v/>
      </c>
      <c r="G4">
        <f>IF(G$3=0,0,INDEX(DeuSal,G$3))</f>
        <v/>
      </c>
      <c r="H4">
        <f>IF(H$3=0,0,INDEX(DeuSal,H$3))</f>
        <v/>
      </c>
      <c r="I4">
        <f>IF(I$3=0,0,INDEX(DeuSal,I$3))</f>
        <v/>
      </c>
      <c r="J4">
        <f>IF(J$3=0,0,INDEX(DeuSal,J$3))</f>
        <v/>
      </c>
      <c r="K4">
        <f>IF(K$3=0,0,INDEX(DeuSal,K$3))</f>
        <v/>
      </c>
      <c r="L4">
        <f>IF(L$3=0,0,INDEX(DeuSal,L$3))</f>
        <v/>
      </c>
      <c r="AM4" t="inlineStr">
        <is>
          <t>Total pagado</t>
        </is>
      </c>
      <c r="AN4">
        <f>SUM(AH11:AH130)</f>
        <v/>
      </c>
    </row>
    <row r="5">
      <c r="A5" t="inlineStr">
        <is>
          <t>Tasa mensual</t>
        </is>
      </c>
      <c r="C5">
        <f>IF(C$3=0,0,INDEX(DeuTasa,C$3)/12)</f>
        <v/>
      </c>
      <c r="D5">
        <f>IF(D$3=0,0,INDEX(DeuTasa,D$3)/12)</f>
        <v/>
      </c>
      <c r="E5">
        <f>IF(E$3=0,0,INDEX(DeuTasa,E$3)/12)</f>
        <v/>
      </c>
      <c r="F5">
        <f>IF(F$3=0,0,INDEX(DeuTasa,F$3)/12)</f>
        <v/>
      </c>
      <c r="G5">
        <f>IF(G$3=0,0,INDEX(DeuTasa,G$3)/12)</f>
        <v/>
      </c>
      <c r="H5">
        <f>IF(H$3=0,0,INDEX(DeuTasa,H$3)/12)</f>
        <v/>
      </c>
      <c r="I5">
        <f>IF(I$3=0,0,INDEX(DeuTasa,I$3)/12)</f>
        <v/>
      </c>
      <c r="J5">
        <f>IF(J$3=0,0,INDEX(DeuTasa,J$3)/12)</f>
        <v/>
      </c>
      <c r="K5">
        <f>IF(K$3=0,0,INDEX(DeuTasa,K$3)/12)</f>
        <v/>
      </c>
      <c r="L5">
        <f>IF(L$3=0,0,INDEX(DeuTasa,L$3)/12)</f>
        <v/>
      </c>
    </row>
    <row r="6">
      <c r="A6" t="inlineStr">
        <is>
          <t>Cuota</t>
        </is>
      </c>
      <c r="C6">
        <f>IF(C$3=0,0,INDEX(DeuCuota,C$3))</f>
        <v/>
      </c>
      <c r="D6">
        <f>IF(D$3=0,0,INDEX(DeuCuota,D$3))</f>
        <v/>
      </c>
      <c r="E6">
        <f>IF(E$3=0,0,INDEX(DeuCuota,E$3))</f>
        <v/>
      </c>
      <c r="F6">
        <f>IF(F$3=0,0,INDEX(DeuCuota,F$3))</f>
        <v/>
      </c>
      <c r="G6">
        <f>IF(G$3=0,0,INDEX(DeuCuota,G$3))</f>
        <v/>
      </c>
      <c r="H6">
        <f>IF(H$3=0,0,INDEX(DeuCuota,H$3))</f>
        <v/>
      </c>
      <c r="I6">
        <f>IF(I$3=0,0,INDEX(DeuCuota,I$3))</f>
        <v/>
      </c>
      <c r="J6">
        <f>IF(J$3=0,0,INDEX(DeuCuota,J$3))</f>
        <v/>
      </c>
      <c r="K6">
        <f>IF(K$3=0,0,INDEX(DeuCuota,K$3))</f>
        <v/>
      </c>
      <c r="L6">
        <f>IF(L$3=0,0,INDEX(DeuCuota,L$3))</f>
        <v/>
      </c>
    </row>
    <row r="7">
      <c r="A7" t="inlineStr">
        <is>
          <t>Deuda</t>
        </is>
      </c>
      <c r="C7">
        <f>IF(C$4&gt;0,INDEX(DeuNom,C$3)&amp;"","")</f>
        <v/>
      </c>
      <c r="D7">
        <f>IF(D$4&gt;0,INDEX(DeuNom,D$3)&amp;"","")</f>
        <v/>
      </c>
      <c r="E7">
        <f>IF(E$4&gt;0,INDEX(DeuNom,E$3)&amp;"","")</f>
        <v/>
      </c>
      <c r="F7">
        <f>IF(F$4&gt;0,INDEX(DeuNom,F$3)&amp;"","")</f>
        <v/>
      </c>
      <c r="G7">
        <f>IF(G$4&gt;0,INDEX(DeuNom,G$3)&amp;"","")</f>
        <v/>
      </c>
      <c r="H7">
        <f>IF(H$4&gt;0,INDEX(DeuNom,H$3)&amp;"","")</f>
        <v/>
      </c>
      <c r="I7">
        <f>IF(I$4&gt;0,INDEX(DeuNom,I$3)&amp;"","")</f>
        <v/>
      </c>
      <c r="J7">
        <f>IF(J$4&gt;0,INDEX(DeuNom,J$3)&amp;"","")</f>
        <v/>
      </c>
      <c r="K7">
        <f>IF(K$4&gt;0,INDEX(DeuNom,K$3)&amp;"","")</f>
        <v/>
      </c>
      <c r="L7">
        <f>IF(L$4&gt;0,INDEX(DeuNom,L$3)&amp;"","")</f>
        <v/>
      </c>
    </row>
    <row r="8">
      <c r="A8" t="inlineStr">
        <is>
          <t>Termina en el mes</t>
        </is>
      </c>
      <c r="C8">
        <f>IF(C$4&lt;=0,0,IFERROR(MATCH(0,W$10:W$130,0)-1,999))</f>
        <v/>
      </c>
      <c r="D8">
        <f>IF(D$4&lt;=0,0,IFERROR(MATCH(0,X$10:X$130,0)-1,999))</f>
        <v/>
      </c>
      <c r="E8">
        <f>IF(E$4&lt;=0,0,IFERROR(MATCH(0,Y$10:Y$130,0)-1,999))</f>
        <v/>
      </c>
      <c r="F8">
        <f>IF(F$4&lt;=0,0,IFERROR(MATCH(0,Z$10:Z$130,0)-1,999))</f>
        <v/>
      </c>
      <c r="G8">
        <f>IF(G$4&lt;=0,0,IFERROR(MATCH(0,AA$10:AA$130,0)-1,999))</f>
        <v/>
      </c>
      <c r="H8">
        <f>IF(H$4&lt;=0,0,IFERROR(MATCH(0,AB$10:AB$130,0)-1,999))</f>
        <v/>
      </c>
      <c r="I8">
        <f>IF(I$4&lt;=0,0,IFERROR(MATCH(0,AC$10:AC$130,0)-1,999))</f>
        <v/>
      </c>
      <c r="J8">
        <f>IF(J$4&lt;=0,0,IFERROR(MATCH(0,AD$10:AD$130,0)-1,999))</f>
        <v/>
      </c>
      <c r="K8">
        <f>IF(K$4&lt;=0,0,IFERROR(MATCH(0,AE$10:AE$130,0)-1,999))</f>
        <v/>
      </c>
      <c r="L8">
        <f>IF(L$4&lt;=0,0,IFERROR(MATCH(0,AF$10:AF$130,0)-1,999))</f>
        <v/>
      </c>
    </row>
    <row r="9">
      <c r="A9" t="inlineStr">
        <is>
          <t>Mes</t>
        </is>
      </c>
      <c r="B9" t="inlineStr">
        <is>
          <t>Fecha</t>
        </is>
      </c>
      <c r="C9" t="inlineStr">
        <is>
          <t>Mín 1</t>
        </is>
      </c>
      <c r="D9" t="inlineStr">
        <is>
          <t>Mín 2</t>
        </is>
      </c>
      <c r="E9" t="inlineStr">
        <is>
          <t>Mín 3</t>
        </is>
      </c>
      <c r="F9" t="inlineStr">
        <is>
          <t>Mín 4</t>
        </is>
      </c>
      <c r="G9" t="inlineStr">
        <is>
          <t>Mín 5</t>
        </is>
      </c>
      <c r="H9" t="inlineStr">
        <is>
          <t>Mín 6</t>
        </is>
      </c>
      <c r="I9" t="inlineStr">
        <is>
          <t>Mín 7</t>
        </is>
      </c>
      <c r="J9" t="inlineStr">
        <is>
          <t>Mín 8</t>
        </is>
      </c>
      <c r="K9" t="inlineStr">
        <is>
          <t>Mín 9</t>
        </is>
      </c>
      <c r="L9" t="inlineStr">
        <is>
          <t>Mín 10</t>
        </is>
      </c>
      <c r="M9" t="inlineStr">
        <is>
          <t>Extra 1</t>
        </is>
      </c>
      <c r="N9" t="inlineStr">
        <is>
          <t>Extra 2</t>
        </is>
      </c>
      <c r="O9" t="inlineStr">
        <is>
          <t>Extra 3</t>
        </is>
      </c>
      <c r="P9" t="inlineStr">
        <is>
          <t>Extra 4</t>
        </is>
      </c>
      <c r="Q9" t="inlineStr">
        <is>
          <t>Extra 5</t>
        </is>
      </c>
      <c r="R9" t="inlineStr">
        <is>
          <t>Extra 6</t>
        </is>
      </c>
      <c r="S9" t="inlineStr">
        <is>
          <t>Extra 7</t>
        </is>
      </c>
      <c r="T9" t="inlineStr">
        <is>
          <t>Extra 8</t>
        </is>
      </c>
      <c r="U9" t="inlineStr">
        <is>
          <t>Extra 9</t>
        </is>
      </c>
      <c r="V9" t="inlineStr">
        <is>
          <t>Extra 10</t>
        </is>
      </c>
      <c r="W9" t="inlineStr">
        <is>
          <t>Saldo 1</t>
        </is>
      </c>
      <c r="X9" t="inlineStr">
        <is>
          <t>Saldo 2</t>
        </is>
      </c>
      <c r="Y9" t="inlineStr">
        <is>
          <t>Saldo 3</t>
        </is>
      </c>
      <c r="Z9" t="inlineStr">
        <is>
          <t>Saldo 4</t>
        </is>
      </c>
      <c r="AA9" t="inlineStr">
        <is>
          <t>Saldo 5</t>
        </is>
      </c>
      <c r="AB9" t="inlineStr">
        <is>
          <t>Saldo 6</t>
        </is>
      </c>
      <c r="AC9" t="inlineStr">
        <is>
          <t>Saldo 7</t>
        </is>
      </c>
      <c r="AD9" t="inlineStr">
        <is>
          <t>Saldo 8</t>
        </is>
      </c>
      <c r="AE9" t="inlineStr">
        <is>
          <t>Saldo 9</t>
        </is>
      </c>
      <c r="AF9" t="inlineStr">
        <is>
          <t>Saldo 10</t>
        </is>
      </c>
      <c r="AG9" t="inlineStr">
        <is>
          <t>Intereses</t>
        </is>
      </c>
      <c r="AH9" t="inlineStr">
        <is>
          <t>Pago total</t>
        </is>
      </c>
      <c r="AI9" t="inlineStr">
        <is>
          <t>Saldo total</t>
        </is>
      </c>
      <c r="AJ9" t="inlineStr">
        <is>
          <t>Pozo extra</t>
        </is>
      </c>
      <c r="AK9" t="inlineStr">
        <is>
          <t>Objetivo</t>
        </is>
      </c>
    </row>
    <row r="10">
      <c r="A10" t="n">
        <v>0</v>
      </c>
      <c r="B10" t="inlineStr">
        <is>
          <t>Hoy</t>
        </is>
      </c>
      <c r="W10">
        <f>C$4</f>
        <v/>
      </c>
      <c r="X10">
        <f>D$4</f>
        <v/>
      </c>
      <c r="Y10">
        <f>E$4</f>
        <v/>
      </c>
      <c r="Z10">
        <f>F$4</f>
        <v/>
      </c>
      <c r="AA10">
        <f>G$4</f>
        <v/>
      </c>
      <c r="AB10">
        <f>H$4</f>
        <v/>
      </c>
      <c r="AC10">
        <f>I$4</f>
        <v/>
      </c>
      <c r="AD10">
        <f>J$4</f>
        <v/>
      </c>
      <c r="AE10">
        <f>K$4</f>
        <v/>
      </c>
      <c r="AF10">
        <f>L$4</f>
        <v/>
      </c>
      <c r="AI10">
        <f>SUM(W10:AF10)</f>
        <v/>
      </c>
    </row>
    <row r="11">
      <c r="A11" t="n">
        <v>1</v>
      </c>
      <c r="B11">
        <f>DATE(YEAR(InicioEf),MONTH(InicioEf)+A11-1,1)</f>
        <v/>
      </c>
      <c r="C11">
        <f>MIN(C$6,ROUND(W10*(1+C$5),0))</f>
        <v/>
      </c>
      <c r="D11">
        <f>MIN(D$6,ROUND(X10*(1+D$5),0))</f>
        <v/>
      </c>
      <c r="E11">
        <f>MIN(E$6,ROUND(Y10*(1+E$5),0))</f>
        <v/>
      </c>
      <c r="F11">
        <f>MIN(F$6,ROUND(Z10*(1+F$5),0))</f>
        <v/>
      </c>
      <c r="G11">
        <f>MIN(G$6,ROUND(AA10*(1+G$5),0))</f>
        <v/>
      </c>
      <c r="H11">
        <f>MIN(H$6,ROUND(AB10*(1+H$5),0))</f>
        <v/>
      </c>
      <c r="I11">
        <f>MIN(I$6,ROUND(AC10*(1+I$5),0))</f>
        <v/>
      </c>
      <c r="J11">
        <f>MIN(J$6,ROUND(AD10*(1+J$5),0))</f>
        <v/>
      </c>
      <c r="K11">
        <f>MIN(K$6,ROUND(AE10*(1+K$5),0))</f>
        <v/>
      </c>
      <c r="L11">
        <f>MIN(L$6,ROUND(AF10*(1+L$5),0))</f>
        <v/>
      </c>
      <c r="M11">
        <f>MAX(0,MIN(ROUND(W10*(1+C$5),0)-C11,$AJ11-0))</f>
        <v/>
      </c>
      <c r="N11">
        <f>MAX(0,MIN(ROUND(X10*(1+D$5),0)-D11,$AJ11-SUM($M11:M11)))</f>
        <v/>
      </c>
      <c r="O11">
        <f>MAX(0,MIN(ROUND(Y10*(1+E$5),0)-E11,$AJ11-SUM($M11:N11)))</f>
        <v/>
      </c>
      <c r="P11">
        <f>MAX(0,MIN(ROUND(Z10*(1+F$5),0)-F11,$AJ11-SUM($M11:O11)))</f>
        <v/>
      </c>
      <c r="Q11">
        <f>MAX(0,MIN(ROUND(AA10*(1+G$5),0)-G11,$AJ11-SUM($M11:P11)))</f>
        <v/>
      </c>
      <c r="R11">
        <f>MAX(0,MIN(ROUND(AB10*(1+H$5),0)-H11,$AJ11-SUM($M11:Q11)))</f>
        <v/>
      </c>
      <c r="S11">
        <f>MAX(0,MIN(ROUND(AC10*(1+I$5),0)-I11,$AJ11-SUM($M11:R11)))</f>
        <v/>
      </c>
      <c r="T11">
        <f>MAX(0,MIN(ROUND(AD10*(1+J$5),0)-J11,$AJ11-SUM($M11:S11)))</f>
        <v/>
      </c>
      <c r="U11">
        <f>MAX(0,MIN(ROUND(AE10*(1+K$5),0)-K11,$AJ11-SUM($M11:T11)))</f>
        <v/>
      </c>
      <c r="V11">
        <f>MAX(0,MIN(ROUND(AF10*(1+L$5),0)-L11,$AJ11-SUM($M11:U11)))</f>
        <v/>
      </c>
      <c r="W11">
        <f>MAX(0,ROUND(W10*(1+C$5),0)-C11-M11)</f>
        <v/>
      </c>
      <c r="X11">
        <f>MAX(0,ROUND(X10*(1+D$5),0)-D11-N11)</f>
        <v/>
      </c>
      <c r="Y11">
        <f>MAX(0,ROUND(Y10*(1+E$5),0)-E11-O11)</f>
        <v/>
      </c>
      <c r="Z11">
        <f>MAX(0,ROUND(Z10*(1+F$5),0)-F11-P11)</f>
        <v/>
      </c>
      <c r="AA11">
        <f>MAX(0,ROUND(AA10*(1+G$5),0)-G11-Q11)</f>
        <v/>
      </c>
      <c r="AB11">
        <f>MAX(0,ROUND(AB10*(1+H$5),0)-H11-R11)</f>
        <v/>
      </c>
      <c r="AC11">
        <f>MAX(0,ROUND(AC10*(1+I$5),0)-I11-S11)</f>
        <v/>
      </c>
      <c r="AD11">
        <f>MAX(0,ROUND(AD10*(1+J$5),0)-J11-T11)</f>
        <v/>
      </c>
      <c r="AE11">
        <f>MAX(0,ROUND(AE10*(1+K$5),0)-K11-U11)</f>
        <v/>
      </c>
      <c r="AF11">
        <f>MAX(0,ROUND(AF10*(1+L$5),0)-L11-V11)</f>
        <v/>
      </c>
      <c r="AG11">
        <f>AH11-(AI10-AI11)</f>
        <v/>
      </c>
      <c r="AH11">
        <f>SUM(C11:V11)</f>
        <v/>
      </c>
      <c r="AI11">
        <f>SUM(W11:AF11)</f>
        <v/>
      </c>
      <c r="AJ11">
        <f>MAX(0,PresTot-SUM(C11:L11))</f>
        <v/>
      </c>
      <c r="AK11">
        <f>IF(AI10&lt;=0,0,11-SUMPRODUCT(MAX((W10:AF10&gt;0)*(11-(COLUMN(W10:AF10)-COLUMN($V10))))))</f>
        <v/>
      </c>
    </row>
    <row r="12">
      <c r="A12" t="n">
        <v>2</v>
      </c>
      <c r="B12">
        <f>DATE(YEAR(InicioEf),MONTH(InicioEf)+A12-1,1)</f>
        <v/>
      </c>
      <c r="C12">
        <f>MIN(C$6,ROUND(W11*(1+C$5),0))</f>
        <v/>
      </c>
      <c r="D12">
        <f>MIN(D$6,ROUND(X11*(1+D$5),0))</f>
        <v/>
      </c>
      <c r="E12">
        <f>MIN(E$6,ROUND(Y11*(1+E$5),0))</f>
        <v/>
      </c>
      <c r="F12">
        <f>MIN(F$6,ROUND(Z11*(1+F$5),0))</f>
        <v/>
      </c>
      <c r="G12">
        <f>MIN(G$6,ROUND(AA11*(1+G$5),0))</f>
        <v/>
      </c>
      <c r="H12">
        <f>MIN(H$6,ROUND(AB11*(1+H$5),0))</f>
        <v/>
      </c>
      <c r="I12">
        <f>MIN(I$6,ROUND(AC11*(1+I$5),0))</f>
        <v/>
      </c>
      <c r="J12">
        <f>MIN(J$6,ROUND(AD11*(1+J$5),0))</f>
        <v/>
      </c>
      <c r="K12">
        <f>MIN(K$6,ROUND(AE11*(1+K$5),0))</f>
        <v/>
      </c>
      <c r="L12">
        <f>MIN(L$6,ROUND(AF11*(1+L$5),0))</f>
        <v/>
      </c>
      <c r="M12">
        <f>MAX(0,MIN(ROUND(W11*(1+C$5),0)-C12,$AJ12-0))</f>
        <v/>
      </c>
      <c r="N12">
        <f>MAX(0,MIN(ROUND(X11*(1+D$5),0)-D12,$AJ12-SUM($M12:M12)))</f>
        <v/>
      </c>
      <c r="O12">
        <f>MAX(0,MIN(ROUND(Y11*(1+E$5),0)-E12,$AJ12-SUM($M12:N12)))</f>
        <v/>
      </c>
      <c r="P12">
        <f>MAX(0,MIN(ROUND(Z11*(1+F$5),0)-F12,$AJ12-SUM($M12:O12)))</f>
        <v/>
      </c>
      <c r="Q12">
        <f>MAX(0,MIN(ROUND(AA11*(1+G$5),0)-G12,$AJ12-SUM($M12:P12)))</f>
        <v/>
      </c>
      <c r="R12">
        <f>MAX(0,MIN(ROUND(AB11*(1+H$5),0)-H12,$AJ12-SUM($M12:Q12)))</f>
        <v/>
      </c>
      <c r="S12">
        <f>MAX(0,MIN(ROUND(AC11*(1+I$5),0)-I12,$AJ12-SUM($M12:R12)))</f>
        <v/>
      </c>
      <c r="T12">
        <f>MAX(0,MIN(ROUND(AD11*(1+J$5),0)-J12,$AJ12-SUM($M12:S12)))</f>
        <v/>
      </c>
      <c r="U12">
        <f>MAX(0,MIN(ROUND(AE11*(1+K$5),0)-K12,$AJ12-SUM($M12:T12)))</f>
        <v/>
      </c>
      <c r="V12">
        <f>MAX(0,MIN(ROUND(AF11*(1+L$5),0)-L12,$AJ12-SUM($M12:U12)))</f>
        <v/>
      </c>
      <c r="W12">
        <f>MAX(0,ROUND(W11*(1+C$5),0)-C12-M12)</f>
        <v/>
      </c>
      <c r="X12">
        <f>MAX(0,ROUND(X11*(1+D$5),0)-D12-N12)</f>
        <v/>
      </c>
      <c r="Y12">
        <f>MAX(0,ROUND(Y11*(1+E$5),0)-E12-O12)</f>
        <v/>
      </c>
      <c r="Z12">
        <f>MAX(0,ROUND(Z11*(1+F$5),0)-F12-P12)</f>
        <v/>
      </c>
      <c r="AA12">
        <f>MAX(0,ROUND(AA11*(1+G$5),0)-G12-Q12)</f>
        <v/>
      </c>
      <c r="AB12">
        <f>MAX(0,ROUND(AB11*(1+H$5),0)-H12-R12)</f>
        <v/>
      </c>
      <c r="AC12">
        <f>MAX(0,ROUND(AC11*(1+I$5),0)-I12-S12)</f>
        <v/>
      </c>
      <c r="AD12">
        <f>MAX(0,ROUND(AD11*(1+J$5),0)-J12-T12)</f>
        <v/>
      </c>
      <c r="AE12">
        <f>MAX(0,ROUND(AE11*(1+K$5),0)-K12-U12)</f>
        <v/>
      </c>
      <c r="AF12">
        <f>MAX(0,ROUND(AF11*(1+L$5),0)-L12-V12)</f>
        <v/>
      </c>
      <c r="AG12">
        <f>AH12-(AI11-AI12)</f>
        <v/>
      </c>
      <c r="AH12">
        <f>SUM(C12:V12)</f>
        <v/>
      </c>
      <c r="AI12">
        <f>SUM(W12:AF12)</f>
        <v/>
      </c>
      <c r="AJ12">
        <f>MAX(0,PresTot-SUM(C12:L12))</f>
        <v/>
      </c>
      <c r="AK12">
        <f>IF(AI11&lt;=0,0,11-SUMPRODUCT(MAX((W11:AF11&gt;0)*(11-(COLUMN(W11:AF11)-COLUMN($V11))))))</f>
        <v/>
      </c>
    </row>
    <row r="13">
      <c r="A13" t="n">
        <v>3</v>
      </c>
      <c r="B13">
        <f>DATE(YEAR(InicioEf),MONTH(InicioEf)+A13-1,1)</f>
        <v/>
      </c>
      <c r="C13">
        <f>MIN(C$6,ROUND(W12*(1+C$5),0))</f>
        <v/>
      </c>
      <c r="D13">
        <f>MIN(D$6,ROUND(X12*(1+D$5),0))</f>
        <v/>
      </c>
      <c r="E13">
        <f>MIN(E$6,ROUND(Y12*(1+E$5),0))</f>
        <v/>
      </c>
      <c r="F13">
        <f>MIN(F$6,ROUND(Z12*(1+F$5),0))</f>
        <v/>
      </c>
      <c r="G13">
        <f>MIN(G$6,ROUND(AA12*(1+G$5),0))</f>
        <v/>
      </c>
      <c r="H13">
        <f>MIN(H$6,ROUND(AB12*(1+H$5),0))</f>
        <v/>
      </c>
      <c r="I13">
        <f>MIN(I$6,ROUND(AC12*(1+I$5),0))</f>
        <v/>
      </c>
      <c r="J13">
        <f>MIN(J$6,ROUND(AD12*(1+J$5),0))</f>
        <v/>
      </c>
      <c r="K13">
        <f>MIN(K$6,ROUND(AE12*(1+K$5),0))</f>
        <v/>
      </c>
      <c r="L13">
        <f>MIN(L$6,ROUND(AF12*(1+L$5),0))</f>
        <v/>
      </c>
      <c r="M13">
        <f>MAX(0,MIN(ROUND(W12*(1+C$5),0)-C13,$AJ13-0))</f>
        <v/>
      </c>
      <c r="N13">
        <f>MAX(0,MIN(ROUND(X12*(1+D$5),0)-D13,$AJ13-SUM($M13:M13)))</f>
        <v/>
      </c>
      <c r="O13">
        <f>MAX(0,MIN(ROUND(Y12*(1+E$5),0)-E13,$AJ13-SUM($M13:N13)))</f>
        <v/>
      </c>
      <c r="P13">
        <f>MAX(0,MIN(ROUND(Z12*(1+F$5),0)-F13,$AJ13-SUM($M13:O13)))</f>
        <v/>
      </c>
      <c r="Q13">
        <f>MAX(0,MIN(ROUND(AA12*(1+G$5),0)-G13,$AJ13-SUM($M13:P13)))</f>
        <v/>
      </c>
      <c r="R13">
        <f>MAX(0,MIN(ROUND(AB12*(1+H$5),0)-H13,$AJ13-SUM($M13:Q13)))</f>
        <v/>
      </c>
      <c r="S13">
        <f>MAX(0,MIN(ROUND(AC12*(1+I$5),0)-I13,$AJ13-SUM($M13:R13)))</f>
        <v/>
      </c>
      <c r="T13">
        <f>MAX(0,MIN(ROUND(AD12*(1+J$5),0)-J13,$AJ13-SUM($M13:S13)))</f>
        <v/>
      </c>
      <c r="U13">
        <f>MAX(0,MIN(ROUND(AE12*(1+K$5),0)-K13,$AJ13-SUM($M13:T13)))</f>
        <v/>
      </c>
      <c r="V13">
        <f>MAX(0,MIN(ROUND(AF12*(1+L$5),0)-L13,$AJ13-SUM($M13:U13)))</f>
        <v/>
      </c>
      <c r="W13">
        <f>MAX(0,ROUND(W12*(1+C$5),0)-C13-M13)</f>
        <v/>
      </c>
      <c r="X13">
        <f>MAX(0,ROUND(X12*(1+D$5),0)-D13-N13)</f>
        <v/>
      </c>
      <c r="Y13">
        <f>MAX(0,ROUND(Y12*(1+E$5),0)-E13-O13)</f>
        <v/>
      </c>
      <c r="Z13">
        <f>MAX(0,ROUND(Z12*(1+F$5),0)-F13-P13)</f>
        <v/>
      </c>
      <c r="AA13">
        <f>MAX(0,ROUND(AA12*(1+G$5),0)-G13-Q13)</f>
        <v/>
      </c>
      <c r="AB13">
        <f>MAX(0,ROUND(AB12*(1+H$5),0)-H13-R13)</f>
        <v/>
      </c>
      <c r="AC13">
        <f>MAX(0,ROUND(AC12*(1+I$5),0)-I13-S13)</f>
        <v/>
      </c>
      <c r="AD13">
        <f>MAX(0,ROUND(AD12*(1+J$5),0)-J13-T13)</f>
        <v/>
      </c>
      <c r="AE13">
        <f>MAX(0,ROUND(AE12*(1+K$5),0)-K13-U13)</f>
        <v/>
      </c>
      <c r="AF13">
        <f>MAX(0,ROUND(AF12*(1+L$5),0)-L13-V13)</f>
        <v/>
      </c>
      <c r="AG13">
        <f>AH13-(AI12-AI13)</f>
        <v/>
      </c>
      <c r="AH13">
        <f>SUM(C13:V13)</f>
        <v/>
      </c>
      <c r="AI13">
        <f>SUM(W13:AF13)</f>
        <v/>
      </c>
      <c r="AJ13">
        <f>MAX(0,PresTot-SUM(C13:L13))</f>
        <v/>
      </c>
      <c r="AK13">
        <f>IF(AI12&lt;=0,0,11-SUMPRODUCT(MAX((W12:AF12&gt;0)*(11-(COLUMN(W12:AF12)-COLUMN($V12))))))</f>
        <v/>
      </c>
    </row>
    <row r="14">
      <c r="A14" t="n">
        <v>4</v>
      </c>
      <c r="B14">
        <f>DATE(YEAR(InicioEf),MONTH(InicioEf)+A14-1,1)</f>
        <v/>
      </c>
      <c r="C14">
        <f>MIN(C$6,ROUND(W13*(1+C$5),0))</f>
        <v/>
      </c>
      <c r="D14">
        <f>MIN(D$6,ROUND(X13*(1+D$5),0))</f>
        <v/>
      </c>
      <c r="E14">
        <f>MIN(E$6,ROUND(Y13*(1+E$5),0))</f>
        <v/>
      </c>
      <c r="F14">
        <f>MIN(F$6,ROUND(Z13*(1+F$5),0))</f>
        <v/>
      </c>
      <c r="G14">
        <f>MIN(G$6,ROUND(AA13*(1+G$5),0))</f>
        <v/>
      </c>
      <c r="H14">
        <f>MIN(H$6,ROUND(AB13*(1+H$5),0))</f>
        <v/>
      </c>
      <c r="I14">
        <f>MIN(I$6,ROUND(AC13*(1+I$5),0))</f>
        <v/>
      </c>
      <c r="J14">
        <f>MIN(J$6,ROUND(AD13*(1+J$5),0))</f>
        <v/>
      </c>
      <c r="K14">
        <f>MIN(K$6,ROUND(AE13*(1+K$5),0))</f>
        <v/>
      </c>
      <c r="L14">
        <f>MIN(L$6,ROUND(AF13*(1+L$5),0))</f>
        <v/>
      </c>
      <c r="M14">
        <f>MAX(0,MIN(ROUND(W13*(1+C$5),0)-C14,$AJ14-0))</f>
        <v/>
      </c>
      <c r="N14">
        <f>MAX(0,MIN(ROUND(X13*(1+D$5),0)-D14,$AJ14-SUM($M14:M14)))</f>
        <v/>
      </c>
      <c r="O14">
        <f>MAX(0,MIN(ROUND(Y13*(1+E$5),0)-E14,$AJ14-SUM($M14:N14)))</f>
        <v/>
      </c>
      <c r="P14">
        <f>MAX(0,MIN(ROUND(Z13*(1+F$5),0)-F14,$AJ14-SUM($M14:O14)))</f>
        <v/>
      </c>
      <c r="Q14">
        <f>MAX(0,MIN(ROUND(AA13*(1+G$5),0)-G14,$AJ14-SUM($M14:P14)))</f>
        <v/>
      </c>
      <c r="R14">
        <f>MAX(0,MIN(ROUND(AB13*(1+H$5),0)-H14,$AJ14-SUM($M14:Q14)))</f>
        <v/>
      </c>
      <c r="S14">
        <f>MAX(0,MIN(ROUND(AC13*(1+I$5),0)-I14,$AJ14-SUM($M14:R14)))</f>
        <v/>
      </c>
      <c r="T14">
        <f>MAX(0,MIN(ROUND(AD13*(1+J$5),0)-J14,$AJ14-SUM($M14:S14)))</f>
        <v/>
      </c>
      <c r="U14">
        <f>MAX(0,MIN(ROUND(AE13*(1+K$5),0)-K14,$AJ14-SUM($M14:T14)))</f>
        <v/>
      </c>
      <c r="V14">
        <f>MAX(0,MIN(ROUND(AF13*(1+L$5),0)-L14,$AJ14-SUM($M14:U14)))</f>
        <v/>
      </c>
      <c r="W14">
        <f>MAX(0,ROUND(W13*(1+C$5),0)-C14-M14)</f>
        <v/>
      </c>
      <c r="X14">
        <f>MAX(0,ROUND(X13*(1+D$5),0)-D14-N14)</f>
        <v/>
      </c>
      <c r="Y14">
        <f>MAX(0,ROUND(Y13*(1+E$5),0)-E14-O14)</f>
        <v/>
      </c>
      <c r="Z14">
        <f>MAX(0,ROUND(Z13*(1+F$5),0)-F14-P14)</f>
        <v/>
      </c>
      <c r="AA14">
        <f>MAX(0,ROUND(AA13*(1+G$5),0)-G14-Q14)</f>
        <v/>
      </c>
      <c r="AB14">
        <f>MAX(0,ROUND(AB13*(1+H$5),0)-H14-R14)</f>
        <v/>
      </c>
      <c r="AC14">
        <f>MAX(0,ROUND(AC13*(1+I$5),0)-I14-S14)</f>
        <v/>
      </c>
      <c r="AD14">
        <f>MAX(0,ROUND(AD13*(1+J$5),0)-J14-T14)</f>
        <v/>
      </c>
      <c r="AE14">
        <f>MAX(0,ROUND(AE13*(1+K$5),0)-K14-U14)</f>
        <v/>
      </c>
      <c r="AF14">
        <f>MAX(0,ROUND(AF13*(1+L$5),0)-L14-V14)</f>
        <v/>
      </c>
      <c r="AG14">
        <f>AH14-(AI13-AI14)</f>
        <v/>
      </c>
      <c r="AH14">
        <f>SUM(C14:V14)</f>
        <v/>
      </c>
      <c r="AI14">
        <f>SUM(W14:AF14)</f>
        <v/>
      </c>
      <c r="AJ14">
        <f>MAX(0,PresTot-SUM(C14:L14))</f>
        <v/>
      </c>
      <c r="AK14">
        <f>IF(AI13&lt;=0,0,11-SUMPRODUCT(MAX((W13:AF13&gt;0)*(11-(COLUMN(W13:AF13)-COLUMN($V13))))))</f>
        <v/>
      </c>
    </row>
    <row r="15">
      <c r="A15" t="n">
        <v>5</v>
      </c>
      <c r="B15">
        <f>DATE(YEAR(InicioEf),MONTH(InicioEf)+A15-1,1)</f>
        <v/>
      </c>
      <c r="C15">
        <f>MIN(C$6,ROUND(W14*(1+C$5),0))</f>
        <v/>
      </c>
      <c r="D15">
        <f>MIN(D$6,ROUND(X14*(1+D$5),0))</f>
        <v/>
      </c>
      <c r="E15">
        <f>MIN(E$6,ROUND(Y14*(1+E$5),0))</f>
        <v/>
      </c>
      <c r="F15">
        <f>MIN(F$6,ROUND(Z14*(1+F$5),0))</f>
        <v/>
      </c>
      <c r="G15">
        <f>MIN(G$6,ROUND(AA14*(1+G$5),0))</f>
        <v/>
      </c>
      <c r="H15">
        <f>MIN(H$6,ROUND(AB14*(1+H$5),0))</f>
        <v/>
      </c>
      <c r="I15">
        <f>MIN(I$6,ROUND(AC14*(1+I$5),0))</f>
        <v/>
      </c>
      <c r="J15">
        <f>MIN(J$6,ROUND(AD14*(1+J$5),0))</f>
        <v/>
      </c>
      <c r="K15">
        <f>MIN(K$6,ROUND(AE14*(1+K$5),0))</f>
        <v/>
      </c>
      <c r="L15">
        <f>MIN(L$6,ROUND(AF14*(1+L$5),0))</f>
        <v/>
      </c>
      <c r="M15">
        <f>MAX(0,MIN(ROUND(W14*(1+C$5),0)-C15,$AJ15-0))</f>
        <v/>
      </c>
      <c r="N15">
        <f>MAX(0,MIN(ROUND(X14*(1+D$5),0)-D15,$AJ15-SUM($M15:M15)))</f>
        <v/>
      </c>
      <c r="O15">
        <f>MAX(0,MIN(ROUND(Y14*(1+E$5),0)-E15,$AJ15-SUM($M15:N15)))</f>
        <v/>
      </c>
      <c r="P15">
        <f>MAX(0,MIN(ROUND(Z14*(1+F$5),0)-F15,$AJ15-SUM($M15:O15)))</f>
        <v/>
      </c>
      <c r="Q15">
        <f>MAX(0,MIN(ROUND(AA14*(1+G$5),0)-G15,$AJ15-SUM($M15:P15)))</f>
        <v/>
      </c>
      <c r="R15">
        <f>MAX(0,MIN(ROUND(AB14*(1+H$5),0)-H15,$AJ15-SUM($M15:Q15)))</f>
        <v/>
      </c>
      <c r="S15">
        <f>MAX(0,MIN(ROUND(AC14*(1+I$5),0)-I15,$AJ15-SUM($M15:R15)))</f>
        <v/>
      </c>
      <c r="T15">
        <f>MAX(0,MIN(ROUND(AD14*(1+J$5),0)-J15,$AJ15-SUM($M15:S15)))</f>
        <v/>
      </c>
      <c r="U15">
        <f>MAX(0,MIN(ROUND(AE14*(1+K$5),0)-K15,$AJ15-SUM($M15:T15)))</f>
        <v/>
      </c>
      <c r="V15">
        <f>MAX(0,MIN(ROUND(AF14*(1+L$5),0)-L15,$AJ15-SUM($M15:U15)))</f>
        <v/>
      </c>
      <c r="W15">
        <f>MAX(0,ROUND(W14*(1+C$5),0)-C15-M15)</f>
        <v/>
      </c>
      <c r="X15">
        <f>MAX(0,ROUND(X14*(1+D$5),0)-D15-N15)</f>
        <v/>
      </c>
      <c r="Y15">
        <f>MAX(0,ROUND(Y14*(1+E$5),0)-E15-O15)</f>
        <v/>
      </c>
      <c r="Z15">
        <f>MAX(0,ROUND(Z14*(1+F$5),0)-F15-P15)</f>
        <v/>
      </c>
      <c r="AA15">
        <f>MAX(0,ROUND(AA14*(1+G$5),0)-G15-Q15)</f>
        <v/>
      </c>
      <c r="AB15">
        <f>MAX(0,ROUND(AB14*(1+H$5),0)-H15-R15)</f>
        <v/>
      </c>
      <c r="AC15">
        <f>MAX(0,ROUND(AC14*(1+I$5),0)-I15-S15)</f>
        <v/>
      </c>
      <c r="AD15">
        <f>MAX(0,ROUND(AD14*(1+J$5),0)-J15-T15)</f>
        <v/>
      </c>
      <c r="AE15">
        <f>MAX(0,ROUND(AE14*(1+K$5),0)-K15-U15)</f>
        <v/>
      </c>
      <c r="AF15">
        <f>MAX(0,ROUND(AF14*(1+L$5),0)-L15-V15)</f>
        <v/>
      </c>
      <c r="AG15">
        <f>AH15-(AI14-AI15)</f>
        <v/>
      </c>
      <c r="AH15">
        <f>SUM(C15:V15)</f>
        <v/>
      </c>
      <c r="AI15">
        <f>SUM(W15:AF15)</f>
        <v/>
      </c>
      <c r="AJ15">
        <f>MAX(0,PresTot-SUM(C15:L15))</f>
        <v/>
      </c>
      <c r="AK15">
        <f>IF(AI14&lt;=0,0,11-SUMPRODUCT(MAX((W14:AF14&gt;0)*(11-(COLUMN(W14:AF14)-COLUMN($V14))))))</f>
        <v/>
      </c>
    </row>
    <row r="16">
      <c r="A16" t="n">
        <v>6</v>
      </c>
      <c r="B16">
        <f>DATE(YEAR(InicioEf),MONTH(InicioEf)+A16-1,1)</f>
        <v/>
      </c>
      <c r="C16">
        <f>MIN(C$6,ROUND(W15*(1+C$5),0))</f>
        <v/>
      </c>
      <c r="D16">
        <f>MIN(D$6,ROUND(X15*(1+D$5),0))</f>
        <v/>
      </c>
      <c r="E16">
        <f>MIN(E$6,ROUND(Y15*(1+E$5),0))</f>
        <v/>
      </c>
      <c r="F16">
        <f>MIN(F$6,ROUND(Z15*(1+F$5),0))</f>
        <v/>
      </c>
      <c r="G16">
        <f>MIN(G$6,ROUND(AA15*(1+G$5),0))</f>
        <v/>
      </c>
      <c r="H16">
        <f>MIN(H$6,ROUND(AB15*(1+H$5),0))</f>
        <v/>
      </c>
      <c r="I16">
        <f>MIN(I$6,ROUND(AC15*(1+I$5),0))</f>
        <v/>
      </c>
      <c r="J16">
        <f>MIN(J$6,ROUND(AD15*(1+J$5),0))</f>
        <v/>
      </c>
      <c r="K16">
        <f>MIN(K$6,ROUND(AE15*(1+K$5),0))</f>
        <v/>
      </c>
      <c r="L16">
        <f>MIN(L$6,ROUND(AF15*(1+L$5),0))</f>
        <v/>
      </c>
      <c r="M16">
        <f>MAX(0,MIN(ROUND(W15*(1+C$5),0)-C16,$AJ16-0))</f>
        <v/>
      </c>
      <c r="N16">
        <f>MAX(0,MIN(ROUND(X15*(1+D$5),0)-D16,$AJ16-SUM($M16:M16)))</f>
        <v/>
      </c>
      <c r="O16">
        <f>MAX(0,MIN(ROUND(Y15*(1+E$5),0)-E16,$AJ16-SUM($M16:N16)))</f>
        <v/>
      </c>
      <c r="P16">
        <f>MAX(0,MIN(ROUND(Z15*(1+F$5),0)-F16,$AJ16-SUM($M16:O16)))</f>
        <v/>
      </c>
      <c r="Q16">
        <f>MAX(0,MIN(ROUND(AA15*(1+G$5),0)-G16,$AJ16-SUM($M16:P16)))</f>
        <v/>
      </c>
      <c r="R16">
        <f>MAX(0,MIN(ROUND(AB15*(1+H$5),0)-H16,$AJ16-SUM($M16:Q16)))</f>
        <v/>
      </c>
      <c r="S16">
        <f>MAX(0,MIN(ROUND(AC15*(1+I$5),0)-I16,$AJ16-SUM($M16:R16)))</f>
        <v/>
      </c>
      <c r="T16">
        <f>MAX(0,MIN(ROUND(AD15*(1+J$5),0)-J16,$AJ16-SUM($M16:S16)))</f>
        <v/>
      </c>
      <c r="U16">
        <f>MAX(0,MIN(ROUND(AE15*(1+K$5),0)-K16,$AJ16-SUM($M16:T16)))</f>
        <v/>
      </c>
      <c r="V16">
        <f>MAX(0,MIN(ROUND(AF15*(1+L$5),0)-L16,$AJ16-SUM($M16:U16)))</f>
        <v/>
      </c>
      <c r="W16">
        <f>MAX(0,ROUND(W15*(1+C$5),0)-C16-M16)</f>
        <v/>
      </c>
      <c r="X16">
        <f>MAX(0,ROUND(X15*(1+D$5),0)-D16-N16)</f>
        <v/>
      </c>
      <c r="Y16">
        <f>MAX(0,ROUND(Y15*(1+E$5),0)-E16-O16)</f>
        <v/>
      </c>
      <c r="Z16">
        <f>MAX(0,ROUND(Z15*(1+F$5),0)-F16-P16)</f>
        <v/>
      </c>
      <c r="AA16">
        <f>MAX(0,ROUND(AA15*(1+G$5),0)-G16-Q16)</f>
        <v/>
      </c>
      <c r="AB16">
        <f>MAX(0,ROUND(AB15*(1+H$5),0)-H16-R16)</f>
        <v/>
      </c>
      <c r="AC16">
        <f>MAX(0,ROUND(AC15*(1+I$5),0)-I16-S16)</f>
        <v/>
      </c>
      <c r="AD16">
        <f>MAX(0,ROUND(AD15*(1+J$5),0)-J16-T16)</f>
        <v/>
      </c>
      <c r="AE16">
        <f>MAX(0,ROUND(AE15*(1+K$5),0)-K16-U16)</f>
        <v/>
      </c>
      <c r="AF16">
        <f>MAX(0,ROUND(AF15*(1+L$5),0)-L16-V16)</f>
        <v/>
      </c>
      <c r="AG16">
        <f>AH16-(AI15-AI16)</f>
        <v/>
      </c>
      <c r="AH16">
        <f>SUM(C16:V16)</f>
        <v/>
      </c>
      <c r="AI16">
        <f>SUM(W16:AF16)</f>
        <v/>
      </c>
      <c r="AJ16">
        <f>MAX(0,PresTot-SUM(C16:L16))</f>
        <v/>
      </c>
      <c r="AK16">
        <f>IF(AI15&lt;=0,0,11-SUMPRODUCT(MAX((W15:AF15&gt;0)*(11-(COLUMN(W15:AF15)-COLUMN($V15))))))</f>
        <v/>
      </c>
    </row>
    <row r="17">
      <c r="A17" t="n">
        <v>7</v>
      </c>
      <c r="B17">
        <f>DATE(YEAR(InicioEf),MONTH(InicioEf)+A17-1,1)</f>
        <v/>
      </c>
      <c r="C17">
        <f>MIN(C$6,ROUND(W16*(1+C$5),0))</f>
        <v/>
      </c>
      <c r="D17">
        <f>MIN(D$6,ROUND(X16*(1+D$5),0))</f>
        <v/>
      </c>
      <c r="E17">
        <f>MIN(E$6,ROUND(Y16*(1+E$5),0))</f>
        <v/>
      </c>
      <c r="F17">
        <f>MIN(F$6,ROUND(Z16*(1+F$5),0))</f>
        <v/>
      </c>
      <c r="G17">
        <f>MIN(G$6,ROUND(AA16*(1+G$5),0))</f>
        <v/>
      </c>
      <c r="H17">
        <f>MIN(H$6,ROUND(AB16*(1+H$5),0))</f>
        <v/>
      </c>
      <c r="I17">
        <f>MIN(I$6,ROUND(AC16*(1+I$5),0))</f>
        <v/>
      </c>
      <c r="J17">
        <f>MIN(J$6,ROUND(AD16*(1+J$5),0))</f>
        <v/>
      </c>
      <c r="K17">
        <f>MIN(K$6,ROUND(AE16*(1+K$5),0))</f>
        <v/>
      </c>
      <c r="L17">
        <f>MIN(L$6,ROUND(AF16*(1+L$5),0))</f>
        <v/>
      </c>
      <c r="M17">
        <f>MAX(0,MIN(ROUND(W16*(1+C$5),0)-C17,$AJ17-0))</f>
        <v/>
      </c>
      <c r="N17">
        <f>MAX(0,MIN(ROUND(X16*(1+D$5),0)-D17,$AJ17-SUM($M17:M17)))</f>
        <v/>
      </c>
      <c r="O17">
        <f>MAX(0,MIN(ROUND(Y16*(1+E$5),0)-E17,$AJ17-SUM($M17:N17)))</f>
        <v/>
      </c>
      <c r="P17">
        <f>MAX(0,MIN(ROUND(Z16*(1+F$5),0)-F17,$AJ17-SUM($M17:O17)))</f>
        <v/>
      </c>
      <c r="Q17">
        <f>MAX(0,MIN(ROUND(AA16*(1+G$5),0)-G17,$AJ17-SUM($M17:P17)))</f>
        <v/>
      </c>
      <c r="R17">
        <f>MAX(0,MIN(ROUND(AB16*(1+H$5),0)-H17,$AJ17-SUM($M17:Q17)))</f>
        <v/>
      </c>
      <c r="S17">
        <f>MAX(0,MIN(ROUND(AC16*(1+I$5),0)-I17,$AJ17-SUM($M17:R17)))</f>
        <v/>
      </c>
      <c r="T17">
        <f>MAX(0,MIN(ROUND(AD16*(1+J$5),0)-J17,$AJ17-SUM($M17:S17)))</f>
        <v/>
      </c>
      <c r="U17">
        <f>MAX(0,MIN(ROUND(AE16*(1+K$5),0)-K17,$AJ17-SUM($M17:T17)))</f>
        <v/>
      </c>
      <c r="V17">
        <f>MAX(0,MIN(ROUND(AF16*(1+L$5),0)-L17,$AJ17-SUM($M17:U17)))</f>
        <v/>
      </c>
      <c r="W17">
        <f>MAX(0,ROUND(W16*(1+C$5),0)-C17-M17)</f>
        <v/>
      </c>
      <c r="X17">
        <f>MAX(0,ROUND(X16*(1+D$5),0)-D17-N17)</f>
        <v/>
      </c>
      <c r="Y17">
        <f>MAX(0,ROUND(Y16*(1+E$5),0)-E17-O17)</f>
        <v/>
      </c>
      <c r="Z17">
        <f>MAX(0,ROUND(Z16*(1+F$5),0)-F17-P17)</f>
        <v/>
      </c>
      <c r="AA17">
        <f>MAX(0,ROUND(AA16*(1+G$5),0)-G17-Q17)</f>
        <v/>
      </c>
      <c r="AB17">
        <f>MAX(0,ROUND(AB16*(1+H$5),0)-H17-R17)</f>
        <v/>
      </c>
      <c r="AC17">
        <f>MAX(0,ROUND(AC16*(1+I$5),0)-I17-S17)</f>
        <v/>
      </c>
      <c r="AD17">
        <f>MAX(0,ROUND(AD16*(1+J$5),0)-J17-T17)</f>
        <v/>
      </c>
      <c r="AE17">
        <f>MAX(0,ROUND(AE16*(1+K$5),0)-K17-U17)</f>
        <v/>
      </c>
      <c r="AF17">
        <f>MAX(0,ROUND(AF16*(1+L$5),0)-L17-V17)</f>
        <v/>
      </c>
      <c r="AG17">
        <f>AH17-(AI16-AI17)</f>
        <v/>
      </c>
      <c r="AH17">
        <f>SUM(C17:V17)</f>
        <v/>
      </c>
      <c r="AI17">
        <f>SUM(W17:AF17)</f>
        <v/>
      </c>
      <c r="AJ17">
        <f>MAX(0,PresTot-SUM(C17:L17))</f>
        <v/>
      </c>
      <c r="AK17">
        <f>IF(AI16&lt;=0,0,11-SUMPRODUCT(MAX((W16:AF16&gt;0)*(11-(COLUMN(W16:AF16)-COLUMN($V16))))))</f>
        <v/>
      </c>
    </row>
    <row r="18">
      <c r="A18" t="n">
        <v>8</v>
      </c>
      <c r="B18">
        <f>DATE(YEAR(InicioEf),MONTH(InicioEf)+A18-1,1)</f>
        <v/>
      </c>
      <c r="C18">
        <f>MIN(C$6,ROUND(W17*(1+C$5),0))</f>
        <v/>
      </c>
      <c r="D18">
        <f>MIN(D$6,ROUND(X17*(1+D$5),0))</f>
        <v/>
      </c>
      <c r="E18">
        <f>MIN(E$6,ROUND(Y17*(1+E$5),0))</f>
        <v/>
      </c>
      <c r="F18">
        <f>MIN(F$6,ROUND(Z17*(1+F$5),0))</f>
        <v/>
      </c>
      <c r="G18">
        <f>MIN(G$6,ROUND(AA17*(1+G$5),0))</f>
        <v/>
      </c>
      <c r="H18">
        <f>MIN(H$6,ROUND(AB17*(1+H$5),0))</f>
        <v/>
      </c>
      <c r="I18">
        <f>MIN(I$6,ROUND(AC17*(1+I$5),0))</f>
        <v/>
      </c>
      <c r="J18">
        <f>MIN(J$6,ROUND(AD17*(1+J$5),0))</f>
        <v/>
      </c>
      <c r="K18">
        <f>MIN(K$6,ROUND(AE17*(1+K$5),0))</f>
        <v/>
      </c>
      <c r="L18">
        <f>MIN(L$6,ROUND(AF17*(1+L$5),0))</f>
        <v/>
      </c>
      <c r="M18">
        <f>MAX(0,MIN(ROUND(W17*(1+C$5),0)-C18,$AJ18-0))</f>
        <v/>
      </c>
      <c r="N18">
        <f>MAX(0,MIN(ROUND(X17*(1+D$5),0)-D18,$AJ18-SUM($M18:M18)))</f>
        <v/>
      </c>
      <c r="O18">
        <f>MAX(0,MIN(ROUND(Y17*(1+E$5),0)-E18,$AJ18-SUM($M18:N18)))</f>
        <v/>
      </c>
      <c r="P18">
        <f>MAX(0,MIN(ROUND(Z17*(1+F$5),0)-F18,$AJ18-SUM($M18:O18)))</f>
        <v/>
      </c>
      <c r="Q18">
        <f>MAX(0,MIN(ROUND(AA17*(1+G$5),0)-G18,$AJ18-SUM($M18:P18)))</f>
        <v/>
      </c>
      <c r="R18">
        <f>MAX(0,MIN(ROUND(AB17*(1+H$5),0)-H18,$AJ18-SUM($M18:Q18)))</f>
        <v/>
      </c>
      <c r="S18">
        <f>MAX(0,MIN(ROUND(AC17*(1+I$5),0)-I18,$AJ18-SUM($M18:R18)))</f>
        <v/>
      </c>
      <c r="T18">
        <f>MAX(0,MIN(ROUND(AD17*(1+J$5),0)-J18,$AJ18-SUM($M18:S18)))</f>
        <v/>
      </c>
      <c r="U18">
        <f>MAX(0,MIN(ROUND(AE17*(1+K$5),0)-K18,$AJ18-SUM($M18:T18)))</f>
        <v/>
      </c>
      <c r="V18">
        <f>MAX(0,MIN(ROUND(AF17*(1+L$5),0)-L18,$AJ18-SUM($M18:U18)))</f>
        <v/>
      </c>
      <c r="W18">
        <f>MAX(0,ROUND(W17*(1+C$5),0)-C18-M18)</f>
        <v/>
      </c>
      <c r="X18">
        <f>MAX(0,ROUND(X17*(1+D$5),0)-D18-N18)</f>
        <v/>
      </c>
      <c r="Y18">
        <f>MAX(0,ROUND(Y17*(1+E$5),0)-E18-O18)</f>
        <v/>
      </c>
      <c r="Z18">
        <f>MAX(0,ROUND(Z17*(1+F$5),0)-F18-P18)</f>
        <v/>
      </c>
      <c r="AA18">
        <f>MAX(0,ROUND(AA17*(1+G$5),0)-G18-Q18)</f>
        <v/>
      </c>
      <c r="AB18">
        <f>MAX(0,ROUND(AB17*(1+H$5),0)-H18-R18)</f>
        <v/>
      </c>
      <c r="AC18">
        <f>MAX(0,ROUND(AC17*(1+I$5),0)-I18-S18)</f>
        <v/>
      </c>
      <c r="AD18">
        <f>MAX(0,ROUND(AD17*(1+J$5),0)-J18-T18)</f>
        <v/>
      </c>
      <c r="AE18">
        <f>MAX(0,ROUND(AE17*(1+K$5),0)-K18-U18)</f>
        <v/>
      </c>
      <c r="AF18">
        <f>MAX(0,ROUND(AF17*(1+L$5),0)-L18-V18)</f>
        <v/>
      </c>
      <c r="AG18">
        <f>AH18-(AI17-AI18)</f>
        <v/>
      </c>
      <c r="AH18">
        <f>SUM(C18:V18)</f>
        <v/>
      </c>
      <c r="AI18">
        <f>SUM(W18:AF18)</f>
        <v/>
      </c>
      <c r="AJ18">
        <f>MAX(0,PresTot-SUM(C18:L18))</f>
        <v/>
      </c>
      <c r="AK18">
        <f>IF(AI17&lt;=0,0,11-SUMPRODUCT(MAX((W17:AF17&gt;0)*(11-(COLUMN(W17:AF17)-COLUMN($V17))))))</f>
        <v/>
      </c>
    </row>
    <row r="19">
      <c r="A19" t="n">
        <v>9</v>
      </c>
      <c r="B19">
        <f>DATE(YEAR(InicioEf),MONTH(InicioEf)+A19-1,1)</f>
        <v/>
      </c>
      <c r="C19">
        <f>MIN(C$6,ROUND(W18*(1+C$5),0))</f>
        <v/>
      </c>
      <c r="D19">
        <f>MIN(D$6,ROUND(X18*(1+D$5),0))</f>
        <v/>
      </c>
      <c r="E19">
        <f>MIN(E$6,ROUND(Y18*(1+E$5),0))</f>
        <v/>
      </c>
      <c r="F19">
        <f>MIN(F$6,ROUND(Z18*(1+F$5),0))</f>
        <v/>
      </c>
      <c r="G19">
        <f>MIN(G$6,ROUND(AA18*(1+G$5),0))</f>
        <v/>
      </c>
      <c r="H19">
        <f>MIN(H$6,ROUND(AB18*(1+H$5),0))</f>
        <v/>
      </c>
      <c r="I19">
        <f>MIN(I$6,ROUND(AC18*(1+I$5),0))</f>
        <v/>
      </c>
      <c r="J19">
        <f>MIN(J$6,ROUND(AD18*(1+J$5),0))</f>
        <v/>
      </c>
      <c r="K19">
        <f>MIN(K$6,ROUND(AE18*(1+K$5),0))</f>
        <v/>
      </c>
      <c r="L19">
        <f>MIN(L$6,ROUND(AF18*(1+L$5),0))</f>
        <v/>
      </c>
      <c r="M19">
        <f>MAX(0,MIN(ROUND(W18*(1+C$5),0)-C19,$AJ19-0))</f>
        <v/>
      </c>
      <c r="N19">
        <f>MAX(0,MIN(ROUND(X18*(1+D$5),0)-D19,$AJ19-SUM($M19:M19)))</f>
        <v/>
      </c>
      <c r="O19">
        <f>MAX(0,MIN(ROUND(Y18*(1+E$5),0)-E19,$AJ19-SUM($M19:N19)))</f>
        <v/>
      </c>
      <c r="P19">
        <f>MAX(0,MIN(ROUND(Z18*(1+F$5),0)-F19,$AJ19-SUM($M19:O19)))</f>
        <v/>
      </c>
      <c r="Q19">
        <f>MAX(0,MIN(ROUND(AA18*(1+G$5),0)-G19,$AJ19-SUM($M19:P19)))</f>
        <v/>
      </c>
      <c r="R19">
        <f>MAX(0,MIN(ROUND(AB18*(1+H$5),0)-H19,$AJ19-SUM($M19:Q19)))</f>
        <v/>
      </c>
      <c r="S19">
        <f>MAX(0,MIN(ROUND(AC18*(1+I$5),0)-I19,$AJ19-SUM($M19:R19)))</f>
        <v/>
      </c>
      <c r="T19">
        <f>MAX(0,MIN(ROUND(AD18*(1+J$5),0)-J19,$AJ19-SUM($M19:S19)))</f>
        <v/>
      </c>
      <c r="U19">
        <f>MAX(0,MIN(ROUND(AE18*(1+K$5),0)-K19,$AJ19-SUM($M19:T19)))</f>
        <v/>
      </c>
      <c r="V19">
        <f>MAX(0,MIN(ROUND(AF18*(1+L$5),0)-L19,$AJ19-SUM($M19:U19)))</f>
        <v/>
      </c>
      <c r="W19">
        <f>MAX(0,ROUND(W18*(1+C$5),0)-C19-M19)</f>
        <v/>
      </c>
      <c r="X19">
        <f>MAX(0,ROUND(X18*(1+D$5),0)-D19-N19)</f>
        <v/>
      </c>
      <c r="Y19">
        <f>MAX(0,ROUND(Y18*(1+E$5),0)-E19-O19)</f>
        <v/>
      </c>
      <c r="Z19">
        <f>MAX(0,ROUND(Z18*(1+F$5),0)-F19-P19)</f>
        <v/>
      </c>
      <c r="AA19">
        <f>MAX(0,ROUND(AA18*(1+G$5),0)-G19-Q19)</f>
        <v/>
      </c>
      <c r="AB19">
        <f>MAX(0,ROUND(AB18*(1+H$5),0)-H19-R19)</f>
        <v/>
      </c>
      <c r="AC19">
        <f>MAX(0,ROUND(AC18*(1+I$5),0)-I19-S19)</f>
        <v/>
      </c>
      <c r="AD19">
        <f>MAX(0,ROUND(AD18*(1+J$5),0)-J19-T19)</f>
        <v/>
      </c>
      <c r="AE19">
        <f>MAX(0,ROUND(AE18*(1+K$5),0)-K19-U19)</f>
        <v/>
      </c>
      <c r="AF19">
        <f>MAX(0,ROUND(AF18*(1+L$5),0)-L19-V19)</f>
        <v/>
      </c>
      <c r="AG19">
        <f>AH19-(AI18-AI19)</f>
        <v/>
      </c>
      <c r="AH19">
        <f>SUM(C19:V19)</f>
        <v/>
      </c>
      <c r="AI19">
        <f>SUM(W19:AF19)</f>
        <v/>
      </c>
      <c r="AJ19">
        <f>MAX(0,PresTot-SUM(C19:L19))</f>
        <v/>
      </c>
      <c r="AK19">
        <f>IF(AI18&lt;=0,0,11-SUMPRODUCT(MAX((W18:AF18&gt;0)*(11-(COLUMN(W18:AF18)-COLUMN($V18))))))</f>
        <v/>
      </c>
    </row>
    <row r="20">
      <c r="A20" t="n">
        <v>10</v>
      </c>
      <c r="B20">
        <f>DATE(YEAR(InicioEf),MONTH(InicioEf)+A20-1,1)</f>
        <v/>
      </c>
      <c r="C20">
        <f>MIN(C$6,ROUND(W19*(1+C$5),0))</f>
        <v/>
      </c>
      <c r="D20">
        <f>MIN(D$6,ROUND(X19*(1+D$5),0))</f>
        <v/>
      </c>
      <c r="E20">
        <f>MIN(E$6,ROUND(Y19*(1+E$5),0))</f>
        <v/>
      </c>
      <c r="F20">
        <f>MIN(F$6,ROUND(Z19*(1+F$5),0))</f>
        <v/>
      </c>
      <c r="G20">
        <f>MIN(G$6,ROUND(AA19*(1+G$5),0))</f>
        <v/>
      </c>
      <c r="H20">
        <f>MIN(H$6,ROUND(AB19*(1+H$5),0))</f>
        <v/>
      </c>
      <c r="I20">
        <f>MIN(I$6,ROUND(AC19*(1+I$5),0))</f>
        <v/>
      </c>
      <c r="J20">
        <f>MIN(J$6,ROUND(AD19*(1+J$5),0))</f>
        <v/>
      </c>
      <c r="K20">
        <f>MIN(K$6,ROUND(AE19*(1+K$5),0))</f>
        <v/>
      </c>
      <c r="L20">
        <f>MIN(L$6,ROUND(AF19*(1+L$5),0))</f>
        <v/>
      </c>
      <c r="M20">
        <f>MAX(0,MIN(ROUND(W19*(1+C$5),0)-C20,$AJ20-0))</f>
        <v/>
      </c>
      <c r="N20">
        <f>MAX(0,MIN(ROUND(X19*(1+D$5),0)-D20,$AJ20-SUM($M20:M20)))</f>
        <v/>
      </c>
      <c r="O20">
        <f>MAX(0,MIN(ROUND(Y19*(1+E$5),0)-E20,$AJ20-SUM($M20:N20)))</f>
        <v/>
      </c>
      <c r="P20">
        <f>MAX(0,MIN(ROUND(Z19*(1+F$5),0)-F20,$AJ20-SUM($M20:O20)))</f>
        <v/>
      </c>
      <c r="Q20">
        <f>MAX(0,MIN(ROUND(AA19*(1+G$5),0)-G20,$AJ20-SUM($M20:P20)))</f>
        <v/>
      </c>
      <c r="R20">
        <f>MAX(0,MIN(ROUND(AB19*(1+H$5),0)-H20,$AJ20-SUM($M20:Q20)))</f>
        <v/>
      </c>
      <c r="S20">
        <f>MAX(0,MIN(ROUND(AC19*(1+I$5),0)-I20,$AJ20-SUM($M20:R20)))</f>
        <v/>
      </c>
      <c r="T20">
        <f>MAX(0,MIN(ROUND(AD19*(1+J$5),0)-J20,$AJ20-SUM($M20:S20)))</f>
        <v/>
      </c>
      <c r="U20">
        <f>MAX(0,MIN(ROUND(AE19*(1+K$5),0)-K20,$AJ20-SUM($M20:T20)))</f>
        <v/>
      </c>
      <c r="V20">
        <f>MAX(0,MIN(ROUND(AF19*(1+L$5),0)-L20,$AJ20-SUM($M20:U20)))</f>
        <v/>
      </c>
      <c r="W20">
        <f>MAX(0,ROUND(W19*(1+C$5),0)-C20-M20)</f>
        <v/>
      </c>
      <c r="X20">
        <f>MAX(0,ROUND(X19*(1+D$5),0)-D20-N20)</f>
        <v/>
      </c>
      <c r="Y20">
        <f>MAX(0,ROUND(Y19*(1+E$5),0)-E20-O20)</f>
        <v/>
      </c>
      <c r="Z20">
        <f>MAX(0,ROUND(Z19*(1+F$5),0)-F20-P20)</f>
        <v/>
      </c>
      <c r="AA20">
        <f>MAX(0,ROUND(AA19*(1+G$5),0)-G20-Q20)</f>
        <v/>
      </c>
      <c r="AB20">
        <f>MAX(0,ROUND(AB19*(1+H$5),0)-H20-R20)</f>
        <v/>
      </c>
      <c r="AC20">
        <f>MAX(0,ROUND(AC19*(1+I$5),0)-I20-S20)</f>
        <v/>
      </c>
      <c r="AD20">
        <f>MAX(0,ROUND(AD19*(1+J$5),0)-J20-T20)</f>
        <v/>
      </c>
      <c r="AE20">
        <f>MAX(0,ROUND(AE19*(1+K$5),0)-K20-U20)</f>
        <v/>
      </c>
      <c r="AF20">
        <f>MAX(0,ROUND(AF19*(1+L$5),0)-L20-V20)</f>
        <v/>
      </c>
      <c r="AG20">
        <f>AH20-(AI19-AI20)</f>
        <v/>
      </c>
      <c r="AH20">
        <f>SUM(C20:V20)</f>
        <v/>
      </c>
      <c r="AI20">
        <f>SUM(W20:AF20)</f>
        <v/>
      </c>
      <c r="AJ20">
        <f>MAX(0,PresTot-SUM(C20:L20))</f>
        <v/>
      </c>
      <c r="AK20">
        <f>IF(AI19&lt;=0,0,11-SUMPRODUCT(MAX((W19:AF19&gt;0)*(11-(COLUMN(W19:AF19)-COLUMN($V19))))))</f>
        <v/>
      </c>
    </row>
    <row r="21">
      <c r="A21" t="n">
        <v>11</v>
      </c>
      <c r="B21">
        <f>DATE(YEAR(InicioEf),MONTH(InicioEf)+A21-1,1)</f>
        <v/>
      </c>
      <c r="C21">
        <f>MIN(C$6,ROUND(W20*(1+C$5),0))</f>
        <v/>
      </c>
      <c r="D21">
        <f>MIN(D$6,ROUND(X20*(1+D$5),0))</f>
        <v/>
      </c>
      <c r="E21">
        <f>MIN(E$6,ROUND(Y20*(1+E$5),0))</f>
        <v/>
      </c>
      <c r="F21">
        <f>MIN(F$6,ROUND(Z20*(1+F$5),0))</f>
        <v/>
      </c>
      <c r="G21">
        <f>MIN(G$6,ROUND(AA20*(1+G$5),0))</f>
        <v/>
      </c>
      <c r="H21">
        <f>MIN(H$6,ROUND(AB20*(1+H$5),0))</f>
        <v/>
      </c>
      <c r="I21">
        <f>MIN(I$6,ROUND(AC20*(1+I$5),0))</f>
        <v/>
      </c>
      <c r="J21">
        <f>MIN(J$6,ROUND(AD20*(1+J$5),0))</f>
        <v/>
      </c>
      <c r="K21">
        <f>MIN(K$6,ROUND(AE20*(1+K$5),0))</f>
        <v/>
      </c>
      <c r="L21">
        <f>MIN(L$6,ROUND(AF20*(1+L$5),0))</f>
        <v/>
      </c>
      <c r="M21">
        <f>MAX(0,MIN(ROUND(W20*(1+C$5),0)-C21,$AJ21-0))</f>
        <v/>
      </c>
      <c r="N21">
        <f>MAX(0,MIN(ROUND(X20*(1+D$5),0)-D21,$AJ21-SUM($M21:M21)))</f>
        <v/>
      </c>
      <c r="O21">
        <f>MAX(0,MIN(ROUND(Y20*(1+E$5),0)-E21,$AJ21-SUM($M21:N21)))</f>
        <v/>
      </c>
      <c r="P21">
        <f>MAX(0,MIN(ROUND(Z20*(1+F$5),0)-F21,$AJ21-SUM($M21:O21)))</f>
        <v/>
      </c>
      <c r="Q21">
        <f>MAX(0,MIN(ROUND(AA20*(1+G$5),0)-G21,$AJ21-SUM($M21:P21)))</f>
        <v/>
      </c>
      <c r="R21">
        <f>MAX(0,MIN(ROUND(AB20*(1+H$5),0)-H21,$AJ21-SUM($M21:Q21)))</f>
        <v/>
      </c>
      <c r="S21">
        <f>MAX(0,MIN(ROUND(AC20*(1+I$5),0)-I21,$AJ21-SUM($M21:R21)))</f>
        <v/>
      </c>
      <c r="T21">
        <f>MAX(0,MIN(ROUND(AD20*(1+J$5),0)-J21,$AJ21-SUM($M21:S21)))</f>
        <v/>
      </c>
      <c r="U21">
        <f>MAX(0,MIN(ROUND(AE20*(1+K$5),0)-K21,$AJ21-SUM($M21:T21)))</f>
        <v/>
      </c>
      <c r="V21">
        <f>MAX(0,MIN(ROUND(AF20*(1+L$5),0)-L21,$AJ21-SUM($M21:U21)))</f>
        <v/>
      </c>
      <c r="W21">
        <f>MAX(0,ROUND(W20*(1+C$5),0)-C21-M21)</f>
        <v/>
      </c>
      <c r="X21">
        <f>MAX(0,ROUND(X20*(1+D$5),0)-D21-N21)</f>
        <v/>
      </c>
      <c r="Y21">
        <f>MAX(0,ROUND(Y20*(1+E$5),0)-E21-O21)</f>
        <v/>
      </c>
      <c r="Z21">
        <f>MAX(0,ROUND(Z20*(1+F$5),0)-F21-P21)</f>
        <v/>
      </c>
      <c r="AA21">
        <f>MAX(0,ROUND(AA20*(1+G$5),0)-G21-Q21)</f>
        <v/>
      </c>
      <c r="AB21">
        <f>MAX(0,ROUND(AB20*(1+H$5),0)-H21-R21)</f>
        <v/>
      </c>
      <c r="AC21">
        <f>MAX(0,ROUND(AC20*(1+I$5),0)-I21-S21)</f>
        <v/>
      </c>
      <c r="AD21">
        <f>MAX(0,ROUND(AD20*(1+J$5),0)-J21-T21)</f>
        <v/>
      </c>
      <c r="AE21">
        <f>MAX(0,ROUND(AE20*(1+K$5),0)-K21-U21)</f>
        <v/>
      </c>
      <c r="AF21">
        <f>MAX(0,ROUND(AF20*(1+L$5),0)-L21-V21)</f>
        <v/>
      </c>
      <c r="AG21">
        <f>AH21-(AI20-AI21)</f>
        <v/>
      </c>
      <c r="AH21">
        <f>SUM(C21:V21)</f>
        <v/>
      </c>
      <c r="AI21">
        <f>SUM(W21:AF21)</f>
        <v/>
      </c>
      <c r="AJ21">
        <f>MAX(0,PresTot-SUM(C21:L21))</f>
        <v/>
      </c>
      <c r="AK21">
        <f>IF(AI20&lt;=0,0,11-SUMPRODUCT(MAX((W20:AF20&gt;0)*(11-(COLUMN(W20:AF20)-COLUMN($V20))))))</f>
        <v/>
      </c>
    </row>
    <row r="22">
      <c r="A22" t="n">
        <v>12</v>
      </c>
      <c r="B22">
        <f>DATE(YEAR(InicioEf),MONTH(InicioEf)+A22-1,1)</f>
        <v/>
      </c>
      <c r="C22">
        <f>MIN(C$6,ROUND(W21*(1+C$5),0))</f>
        <v/>
      </c>
      <c r="D22">
        <f>MIN(D$6,ROUND(X21*(1+D$5),0))</f>
        <v/>
      </c>
      <c r="E22">
        <f>MIN(E$6,ROUND(Y21*(1+E$5),0))</f>
        <v/>
      </c>
      <c r="F22">
        <f>MIN(F$6,ROUND(Z21*(1+F$5),0))</f>
        <v/>
      </c>
      <c r="G22">
        <f>MIN(G$6,ROUND(AA21*(1+G$5),0))</f>
        <v/>
      </c>
      <c r="H22">
        <f>MIN(H$6,ROUND(AB21*(1+H$5),0))</f>
        <v/>
      </c>
      <c r="I22">
        <f>MIN(I$6,ROUND(AC21*(1+I$5),0))</f>
        <v/>
      </c>
      <c r="J22">
        <f>MIN(J$6,ROUND(AD21*(1+J$5),0))</f>
        <v/>
      </c>
      <c r="K22">
        <f>MIN(K$6,ROUND(AE21*(1+K$5),0))</f>
        <v/>
      </c>
      <c r="L22">
        <f>MIN(L$6,ROUND(AF21*(1+L$5),0))</f>
        <v/>
      </c>
      <c r="M22">
        <f>MAX(0,MIN(ROUND(W21*(1+C$5),0)-C22,$AJ22-0))</f>
        <v/>
      </c>
      <c r="N22">
        <f>MAX(0,MIN(ROUND(X21*(1+D$5),0)-D22,$AJ22-SUM($M22:M22)))</f>
        <v/>
      </c>
      <c r="O22">
        <f>MAX(0,MIN(ROUND(Y21*(1+E$5),0)-E22,$AJ22-SUM($M22:N22)))</f>
        <v/>
      </c>
      <c r="P22">
        <f>MAX(0,MIN(ROUND(Z21*(1+F$5),0)-F22,$AJ22-SUM($M22:O22)))</f>
        <v/>
      </c>
      <c r="Q22">
        <f>MAX(0,MIN(ROUND(AA21*(1+G$5),0)-G22,$AJ22-SUM($M22:P22)))</f>
        <v/>
      </c>
      <c r="R22">
        <f>MAX(0,MIN(ROUND(AB21*(1+H$5),0)-H22,$AJ22-SUM($M22:Q22)))</f>
        <v/>
      </c>
      <c r="S22">
        <f>MAX(0,MIN(ROUND(AC21*(1+I$5),0)-I22,$AJ22-SUM($M22:R22)))</f>
        <v/>
      </c>
      <c r="T22">
        <f>MAX(0,MIN(ROUND(AD21*(1+J$5),0)-J22,$AJ22-SUM($M22:S22)))</f>
        <v/>
      </c>
      <c r="U22">
        <f>MAX(0,MIN(ROUND(AE21*(1+K$5),0)-K22,$AJ22-SUM($M22:T22)))</f>
        <v/>
      </c>
      <c r="V22">
        <f>MAX(0,MIN(ROUND(AF21*(1+L$5),0)-L22,$AJ22-SUM($M22:U22)))</f>
        <v/>
      </c>
      <c r="W22">
        <f>MAX(0,ROUND(W21*(1+C$5),0)-C22-M22)</f>
        <v/>
      </c>
      <c r="X22">
        <f>MAX(0,ROUND(X21*(1+D$5),0)-D22-N22)</f>
        <v/>
      </c>
      <c r="Y22">
        <f>MAX(0,ROUND(Y21*(1+E$5),0)-E22-O22)</f>
        <v/>
      </c>
      <c r="Z22">
        <f>MAX(0,ROUND(Z21*(1+F$5),0)-F22-P22)</f>
        <v/>
      </c>
      <c r="AA22">
        <f>MAX(0,ROUND(AA21*(1+G$5),0)-G22-Q22)</f>
        <v/>
      </c>
      <c r="AB22">
        <f>MAX(0,ROUND(AB21*(1+H$5),0)-H22-R22)</f>
        <v/>
      </c>
      <c r="AC22">
        <f>MAX(0,ROUND(AC21*(1+I$5),0)-I22-S22)</f>
        <v/>
      </c>
      <c r="AD22">
        <f>MAX(0,ROUND(AD21*(1+J$5),0)-J22-T22)</f>
        <v/>
      </c>
      <c r="AE22">
        <f>MAX(0,ROUND(AE21*(1+K$5),0)-K22-U22)</f>
        <v/>
      </c>
      <c r="AF22">
        <f>MAX(0,ROUND(AF21*(1+L$5),0)-L22-V22)</f>
        <v/>
      </c>
      <c r="AG22">
        <f>AH22-(AI21-AI22)</f>
        <v/>
      </c>
      <c r="AH22">
        <f>SUM(C22:V22)</f>
        <v/>
      </c>
      <c r="AI22">
        <f>SUM(W22:AF22)</f>
        <v/>
      </c>
      <c r="AJ22">
        <f>MAX(0,PresTot-SUM(C22:L22))</f>
        <v/>
      </c>
      <c r="AK22">
        <f>IF(AI21&lt;=0,0,11-SUMPRODUCT(MAX((W21:AF21&gt;0)*(11-(COLUMN(W21:AF21)-COLUMN($V21))))))</f>
        <v/>
      </c>
    </row>
    <row r="23">
      <c r="A23" t="n">
        <v>13</v>
      </c>
      <c r="B23">
        <f>DATE(YEAR(InicioEf),MONTH(InicioEf)+A23-1,1)</f>
        <v/>
      </c>
      <c r="C23">
        <f>MIN(C$6,ROUND(W22*(1+C$5),0))</f>
        <v/>
      </c>
      <c r="D23">
        <f>MIN(D$6,ROUND(X22*(1+D$5),0))</f>
        <v/>
      </c>
      <c r="E23">
        <f>MIN(E$6,ROUND(Y22*(1+E$5),0))</f>
        <v/>
      </c>
      <c r="F23">
        <f>MIN(F$6,ROUND(Z22*(1+F$5),0))</f>
        <v/>
      </c>
      <c r="G23">
        <f>MIN(G$6,ROUND(AA22*(1+G$5),0))</f>
        <v/>
      </c>
      <c r="H23">
        <f>MIN(H$6,ROUND(AB22*(1+H$5),0))</f>
        <v/>
      </c>
      <c r="I23">
        <f>MIN(I$6,ROUND(AC22*(1+I$5),0))</f>
        <v/>
      </c>
      <c r="J23">
        <f>MIN(J$6,ROUND(AD22*(1+J$5),0))</f>
        <v/>
      </c>
      <c r="K23">
        <f>MIN(K$6,ROUND(AE22*(1+K$5),0))</f>
        <v/>
      </c>
      <c r="L23">
        <f>MIN(L$6,ROUND(AF22*(1+L$5),0))</f>
        <v/>
      </c>
      <c r="M23">
        <f>MAX(0,MIN(ROUND(W22*(1+C$5),0)-C23,$AJ23-0))</f>
        <v/>
      </c>
      <c r="N23">
        <f>MAX(0,MIN(ROUND(X22*(1+D$5),0)-D23,$AJ23-SUM($M23:M23)))</f>
        <v/>
      </c>
      <c r="O23">
        <f>MAX(0,MIN(ROUND(Y22*(1+E$5),0)-E23,$AJ23-SUM($M23:N23)))</f>
        <v/>
      </c>
      <c r="P23">
        <f>MAX(0,MIN(ROUND(Z22*(1+F$5),0)-F23,$AJ23-SUM($M23:O23)))</f>
        <v/>
      </c>
      <c r="Q23">
        <f>MAX(0,MIN(ROUND(AA22*(1+G$5),0)-G23,$AJ23-SUM($M23:P23)))</f>
        <v/>
      </c>
      <c r="R23">
        <f>MAX(0,MIN(ROUND(AB22*(1+H$5),0)-H23,$AJ23-SUM($M23:Q23)))</f>
        <v/>
      </c>
      <c r="S23">
        <f>MAX(0,MIN(ROUND(AC22*(1+I$5),0)-I23,$AJ23-SUM($M23:R23)))</f>
        <v/>
      </c>
      <c r="T23">
        <f>MAX(0,MIN(ROUND(AD22*(1+J$5),0)-J23,$AJ23-SUM($M23:S23)))</f>
        <v/>
      </c>
      <c r="U23">
        <f>MAX(0,MIN(ROUND(AE22*(1+K$5),0)-K23,$AJ23-SUM($M23:T23)))</f>
        <v/>
      </c>
      <c r="V23">
        <f>MAX(0,MIN(ROUND(AF22*(1+L$5),0)-L23,$AJ23-SUM($M23:U23)))</f>
        <v/>
      </c>
      <c r="W23">
        <f>MAX(0,ROUND(W22*(1+C$5),0)-C23-M23)</f>
        <v/>
      </c>
      <c r="X23">
        <f>MAX(0,ROUND(X22*(1+D$5),0)-D23-N23)</f>
        <v/>
      </c>
      <c r="Y23">
        <f>MAX(0,ROUND(Y22*(1+E$5),0)-E23-O23)</f>
        <v/>
      </c>
      <c r="Z23">
        <f>MAX(0,ROUND(Z22*(1+F$5),0)-F23-P23)</f>
        <v/>
      </c>
      <c r="AA23">
        <f>MAX(0,ROUND(AA22*(1+G$5),0)-G23-Q23)</f>
        <v/>
      </c>
      <c r="AB23">
        <f>MAX(0,ROUND(AB22*(1+H$5),0)-H23-R23)</f>
        <v/>
      </c>
      <c r="AC23">
        <f>MAX(0,ROUND(AC22*(1+I$5),0)-I23-S23)</f>
        <v/>
      </c>
      <c r="AD23">
        <f>MAX(0,ROUND(AD22*(1+J$5),0)-J23-T23)</f>
        <v/>
      </c>
      <c r="AE23">
        <f>MAX(0,ROUND(AE22*(1+K$5),0)-K23-U23)</f>
        <v/>
      </c>
      <c r="AF23">
        <f>MAX(0,ROUND(AF22*(1+L$5),0)-L23-V23)</f>
        <v/>
      </c>
      <c r="AG23">
        <f>AH23-(AI22-AI23)</f>
        <v/>
      </c>
      <c r="AH23">
        <f>SUM(C23:V23)</f>
        <v/>
      </c>
      <c r="AI23">
        <f>SUM(W23:AF23)</f>
        <v/>
      </c>
      <c r="AJ23">
        <f>MAX(0,PresTot-SUM(C23:L23))</f>
        <v/>
      </c>
      <c r="AK23">
        <f>IF(AI22&lt;=0,0,11-SUMPRODUCT(MAX((W22:AF22&gt;0)*(11-(COLUMN(W22:AF22)-COLUMN($V22))))))</f>
        <v/>
      </c>
    </row>
    <row r="24">
      <c r="A24" t="n">
        <v>14</v>
      </c>
      <c r="B24">
        <f>DATE(YEAR(InicioEf),MONTH(InicioEf)+A24-1,1)</f>
        <v/>
      </c>
      <c r="C24">
        <f>MIN(C$6,ROUND(W23*(1+C$5),0))</f>
        <v/>
      </c>
      <c r="D24">
        <f>MIN(D$6,ROUND(X23*(1+D$5),0))</f>
        <v/>
      </c>
      <c r="E24">
        <f>MIN(E$6,ROUND(Y23*(1+E$5),0))</f>
        <v/>
      </c>
      <c r="F24">
        <f>MIN(F$6,ROUND(Z23*(1+F$5),0))</f>
        <v/>
      </c>
      <c r="G24">
        <f>MIN(G$6,ROUND(AA23*(1+G$5),0))</f>
        <v/>
      </c>
      <c r="H24">
        <f>MIN(H$6,ROUND(AB23*(1+H$5),0))</f>
        <v/>
      </c>
      <c r="I24">
        <f>MIN(I$6,ROUND(AC23*(1+I$5),0))</f>
        <v/>
      </c>
      <c r="J24">
        <f>MIN(J$6,ROUND(AD23*(1+J$5),0))</f>
        <v/>
      </c>
      <c r="K24">
        <f>MIN(K$6,ROUND(AE23*(1+K$5),0))</f>
        <v/>
      </c>
      <c r="L24">
        <f>MIN(L$6,ROUND(AF23*(1+L$5),0))</f>
        <v/>
      </c>
      <c r="M24">
        <f>MAX(0,MIN(ROUND(W23*(1+C$5),0)-C24,$AJ24-0))</f>
        <v/>
      </c>
      <c r="N24">
        <f>MAX(0,MIN(ROUND(X23*(1+D$5),0)-D24,$AJ24-SUM($M24:M24)))</f>
        <v/>
      </c>
      <c r="O24">
        <f>MAX(0,MIN(ROUND(Y23*(1+E$5),0)-E24,$AJ24-SUM($M24:N24)))</f>
        <v/>
      </c>
      <c r="P24">
        <f>MAX(0,MIN(ROUND(Z23*(1+F$5),0)-F24,$AJ24-SUM($M24:O24)))</f>
        <v/>
      </c>
      <c r="Q24">
        <f>MAX(0,MIN(ROUND(AA23*(1+G$5),0)-G24,$AJ24-SUM($M24:P24)))</f>
        <v/>
      </c>
      <c r="R24">
        <f>MAX(0,MIN(ROUND(AB23*(1+H$5),0)-H24,$AJ24-SUM($M24:Q24)))</f>
        <v/>
      </c>
      <c r="S24">
        <f>MAX(0,MIN(ROUND(AC23*(1+I$5),0)-I24,$AJ24-SUM($M24:R24)))</f>
        <v/>
      </c>
      <c r="T24">
        <f>MAX(0,MIN(ROUND(AD23*(1+J$5),0)-J24,$AJ24-SUM($M24:S24)))</f>
        <v/>
      </c>
      <c r="U24">
        <f>MAX(0,MIN(ROUND(AE23*(1+K$5),0)-K24,$AJ24-SUM($M24:T24)))</f>
        <v/>
      </c>
      <c r="V24">
        <f>MAX(0,MIN(ROUND(AF23*(1+L$5),0)-L24,$AJ24-SUM($M24:U24)))</f>
        <v/>
      </c>
      <c r="W24">
        <f>MAX(0,ROUND(W23*(1+C$5),0)-C24-M24)</f>
        <v/>
      </c>
      <c r="X24">
        <f>MAX(0,ROUND(X23*(1+D$5),0)-D24-N24)</f>
        <v/>
      </c>
      <c r="Y24">
        <f>MAX(0,ROUND(Y23*(1+E$5),0)-E24-O24)</f>
        <v/>
      </c>
      <c r="Z24">
        <f>MAX(0,ROUND(Z23*(1+F$5),0)-F24-P24)</f>
        <v/>
      </c>
      <c r="AA24">
        <f>MAX(0,ROUND(AA23*(1+G$5),0)-G24-Q24)</f>
        <v/>
      </c>
      <c r="AB24">
        <f>MAX(0,ROUND(AB23*(1+H$5),0)-H24-R24)</f>
        <v/>
      </c>
      <c r="AC24">
        <f>MAX(0,ROUND(AC23*(1+I$5),0)-I24-S24)</f>
        <v/>
      </c>
      <c r="AD24">
        <f>MAX(0,ROUND(AD23*(1+J$5),0)-J24-T24)</f>
        <v/>
      </c>
      <c r="AE24">
        <f>MAX(0,ROUND(AE23*(1+K$5),0)-K24-U24)</f>
        <v/>
      </c>
      <c r="AF24">
        <f>MAX(0,ROUND(AF23*(1+L$5),0)-L24-V24)</f>
        <v/>
      </c>
      <c r="AG24">
        <f>AH24-(AI23-AI24)</f>
        <v/>
      </c>
      <c r="AH24">
        <f>SUM(C24:V24)</f>
        <v/>
      </c>
      <c r="AI24">
        <f>SUM(W24:AF24)</f>
        <v/>
      </c>
      <c r="AJ24">
        <f>MAX(0,PresTot-SUM(C24:L24))</f>
        <v/>
      </c>
      <c r="AK24">
        <f>IF(AI23&lt;=0,0,11-SUMPRODUCT(MAX((W23:AF23&gt;0)*(11-(COLUMN(W23:AF23)-COLUMN($V23))))))</f>
        <v/>
      </c>
    </row>
    <row r="25">
      <c r="A25" t="n">
        <v>15</v>
      </c>
      <c r="B25">
        <f>DATE(YEAR(InicioEf),MONTH(InicioEf)+A25-1,1)</f>
        <v/>
      </c>
      <c r="C25">
        <f>MIN(C$6,ROUND(W24*(1+C$5),0))</f>
        <v/>
      </c>
      <c r="D25">
        <f>MIN(D$6,ROUND(X24*(1+D$5),0))</f>
        <v/>
      </c>
      <c r="E25">
        <f>MIN(E$6,ROUND(Y24*(1+E$5),0))</f>
        <v/>
      </c>
      <c r="F25">
        <f>MIN(F$6,ROUND(Z24*(1+F$5),0))</f>
        <v/>
      </c>
      <c r="G25">
        <f>MIN(G$6,ROUND(AA24*(1+G$5),0))</f>
        <v/>
      </c>
      <c r="H25">
        <f>MIN(H$6,ROUND(AB24*(1+H$5),0))</f>
        <v/>
      </c>
      <c r="I25">
        <f>MIN(I$6,ROUND(AC24*(1+I$5),0))</f>
        <v/>
      </c>
      <c r="J25">
        <f>MIN(J$6,ROUND(AD24*(1+J$5),0))</f>
        <v/>
      </c>
      <c r="K25">
        <f>MIN(K$6,ROUND(AE24*(1+K$5),0))</f>
        <v/>
      </c>
      <c r="L25">
        <f>MIN(L$6,ROUND(AF24*(1+L$5),0))</f>
        <v/>
      </c>
      <c r="M25">
        <f>MAX(0,MIN(ROUND(W24*(1+C$5),0)-C25,$AJ25-0))</f>
        <v/>
      </c>
      <c r="N25">
        <f>MAX(0,MIN(ROUND(X24*(1+D$5),0)-D25,$AJ25-SUM($M25:M25)))</f>
        <v/>
      </c>
      <c r="O25">
        <f>MAX(0,MIN(ROUND(Y24*(1+E$5),0)-E25,$AJ25-SUM($M25:N25)))</f>
        <v/>
      </c>
      <c r="P25">
        <f>MAX(0,MIN(ROUND(Z24*(1+F$5),0)-F25,$AJ25-SUM($M25:O25)))</f>
        <v/>
      </c>
      <c r="Q25">
        <f>MAX(0,MIN(ROUND(AA24*(1+G$5),0)-G25,$AJ25-SUM($M25:P25)))</f>
        <v/>
      </c>
      <c r="R25">
        <f>MAX(0,MIN(ROUND(AB24*(1+H$5),0)-H25,$AJ25-SUM($M25:Q25)))</f>
        <v/>
      </c>
      <c r="S25">
        <f>MAX(0,MIN(ROUND(AC24*(1+I$5),0)-I25,$AJ25-SUM($M25:R25)))</f>
        <v/>
      </c>
      <c r="T25">
        <f>MAX(0,MIN(ROUND(AD24*(1+J$5),0)-J25,$AJ25-SUM($M25:S25)))</f>
        <v/>
      </c>
      <c r="U25">
        <f>MAX(0,MIN(ROUND(AE24*(1+K$5),0)-K25,$AJ25-SUM($M25:T25)))</f>
        <v/>
      </c>
      <c r="V25">
        <f>MAX(0,MIN(ROUND(AF24*(1+L$5),0)-L25,$AJ25-SUM($M25:U25)))</f>
        <v/>
      </c>
      <c r="W25">
        <f>MAX(0,ROUND(W24*(1+C$5),0)-C25-M25)</f>
        <v/>
      </c>
      <c r="X25">
        <f>MAX(0,ROUND(X24*(1+D$5),0)-D25-N25)</f>
        <v/>
      </c>
      <c r="Y25">
        <f>MAX(0,ROUND(Y24*(1+E$5),0)-E25-O25)</f>
        <v/>
      </c>
      <c r="Z25">
        <f>MAX(0,ROUND(Z24*(1+F$5),0)-F25-P25)</f>
        <v/>
      </c>
      <c r="AA25">
        <f>MAX(0,ROUND(AA24*(1+G$5),0)-G25-Q25)</f>
        <v/>
      </c>
      <c r="AB25">
        <f>MAX(0,ROUND(AB24*(1+H$5),0)-H25-R25)</f>
        <v/>
      </c>
      <c r="AC25">
        <f>MAX(0,ROUND(AC24*(1+I$5),0)-I25-S25)</f>
        <v/>
      </c>
      <c r="AD25">
        <f>MAX(0,ROUND(AD24*(1+J$5),0)-J25-T25)</f>
        <v/>
      </c>
      <c r="AE25">
        <f>MAX(0,ROUND(AE24*(1+K$5),0)-K25-U25)</f>
        <v/>
      </c>
      <c r="AF25">
        <f>MAX(0,ROUND(AF24*(1+L$5),0)-L25-V25)</f>
        <v/>
      </c>
      <c r="AG25">
        <f>AH25-(AI24-AI25)</f>
        <v/>
      </c>
      <c r="AH25">
        <f>SUM(C25:V25)</f>
        <v/>
      </c>
      <c r="AI25">
        <f>SUM(W25:AF25)</f>
        <v/>
      </c>
      <c r="AJ25">
        <f>MAX(0,PresTot-SUM(C25:L25))</f>
        <v/>
      </c>
      <c r="AK25">
        <f>IF(AI24&lt;=0,0,11-SUMPRODUCT(MAX((W24:AF24&gt;0)*(11-(COLUMN(W24:AF24)-COLUMN($V24))))))</f>
        <v/>
      </c>
    </row>
    <row r="26">
      <c r="A26" t="n">
        <v>16</v>
      </c>
      <c r="B26">
        <f>DATE(YEAR(InicioEf),MONTH(InicioEf)+A26-1,1)</f>
        <v/>
      </c>
      <c r="C26">
        <f>MIN(C$6,ROUND(W25*(1+C$5),0))</f>
        <v/>
      </c>
      <c r="D26">
        <f>MIN(D$6,ROUND(X25*(1+D$5),0))</f>
        <v/>
      </c>
      <c r="E26">
        <f>MIN(E$6,ROUND(Y25*(1+E$5),0))</f>
        <v/>
      </c>
      <c r="F26">
        <f>MIN(F$6,ROUND(Z25*(1+F$5),0))</f>
        <v/>
      </c>
      <c r="G26">
        <f>MIN(G$6,ROUND(AA25*(1+G$5),0))</f>
        <v/>
      </c>
      <c r="H26">
        <f>MIN(H$6,ROUND(AB25*(1+H$5),0))</f>
        <v/>
      </c>
      <c r="I26">
        <f>MIN(I$6,ROUND(AC25*(1+I$5),0))</f>
        <v/>
      </c>
      <c r="J26">
        <f>MIN(J$6,ROUND(AD25*(1+J$5),0))</f>
        <v/>
      </c>
      <c r="K26">
        <f>MIN(K$6,ROUND(AE25*(1+K$5),0))</f>
        <v/>
      </c>
      <c r="L26">
        <f>MIN(L$6,ROUND(AF25*(1+L$5),0))</f>
        <v/>
      </c>
      <c r="M26">
        <f>MAX(0,MIN(ROUND(W25*(1+C$5),0)-C26,$AJ26-0))</f>
        <v/>
      </c>
      <c r="N26">
        <f>MAX(0,MIN(ROUND(X25*(1+D$5),0)-D26,$AJ26-SUM($M26:M26)))</f>
        <v/>
      </c>
      <c r="O26">
        <f>MAX(0,MIN(ROUND(Y25*(1+E$5),0)-E26,$AJ26-SUM($M26:N26)))</f>
        <v/>
      </c>
      <c r="P26">
        <f>MAX(0,MIN(ROUND(Z25*(1+F$5),0)-F26,$AJ26-SUM($M26:O26)))</f>
        <v/>
      </c>
      <c r="Q26">
        <f>MAX(0,MIN(ROUND(AA25*(1+G$5),0)-G26,$AJ26-SUM($M26:P26)))</f>
        <v/>
      </c>
      <c r="R26">
        <f>MAX(0,MIN(ROUND(AB25*(1+H$5),0)-H26,$AJ26-SUM($M26:Q26)))</f>
        <v/>
      </c>
      <c r="S26">
        <f>MAX(0,MIN(ROUND(AC25*(1+I$5),0)-I26,$AJ26-SUM($M26:R26)))</f>
        <v/>
      </c>
      <c r="T26">
        <f>MAX(0,MIN(ROUND(AD25*(1+J$5),0)-J26,$AJ26-SUM($M26:S26)))</f>
        <v/>
      </c>
      <c r="U26">
        <f>MAX(0,MIN(ROUND(AE25*(1+K$5),0)-K26,$AJ26-SUM($M26:T26)))</f>
        <v/>
      </c>
      <c r="V26">
        <f>MAX(0,MIN(ROUND(AF25*(1+L$5),0)-L26,$AJ26-SUM($M26:U26)))</f>
        <v/>
      </c>
      <c r="W26">
        <f>MAX(0,ROUND(W25*(1+C$5),0)-C26-M26)</f>
        <v/>
      </c>
      <c r="X26">
        <f>MAX(0,ROUND(X25*(1+D$5),0)-D26-N26)</f>
        <v/>
      </c>
      <c r="Y26">
        <f>MAX(0,ROUND(Y25*(1+E$5),0)-E26-O26)</f>
        <v/>
      </c>
      <c r="Z26">
        <f>MAX(0,ROUND(Z25*(1+F$5),0)-F26-P26)</f>
        <v/>
      </c>
      <c r="AA26">
        <f>MAX(0,ROUND(AA25*(1+G$5),0)-G26-Q26)</f>
        <v/>
      </c>
      <c r="AB26">
        <f>MAX(0,ROUND(AB25*(1+H$5),0)-H26-R26)</f>
        <v/>
      </c>
      <c r="AC26">
        <f>MAX(0,ROUND(AC25*(1+I$5),0)-I26-S26)</f>
        <v/>
      </c>
      <c r="AD26">
        <f>MAX(0,ROUND(AD25*(1+J$5),0)-J26-T26)</f>
        <v/>
      </c>
      <c r="AE26">
        <f>MAX(0,ROUND(AE25*(1+K$5),0)-K26-U26)</f>
        <v/>
      </c>
      <c r="AF26">
        <f>MAX(0,ROUND(AF25*(1+L$5),0)-L26-V26)</f>
        <v/>
      </c>
      <c r="AG26">
        <f>AH26-(AI25-AI26)</f>
        <v/>
      </c>
      <c r="AH26">
        <f>SUM(C26:V26)</f>
        <v/>
      </c>
      <c r="AI26">
        <f>SUM(W26:AF26)</f>
        <v/>
      </c>
      <c r="AJ26">
        <f>MAX(0,PresTot-SUM(C26:L26))</f>
        <v/>
      </c>
      <c r="AK26">
        <f>IF(AI25&lt;=0,0,11-SUMPRODUCT(MAX((W25:AF25&gt;0)*(11-(COLUMN(W25:AF25)-COLUMN($V25))))))</f>
        <v/>
      </c>
    </row>
    <row r="27">
      <c r="A27" t="n">
        <v>17</v>
      </c>
      <c r="B27">
        <f>DATE(YEAR(InicioEf),MONTH(InicioEf)+A27-1,1)</f>
        <v/>
      </c>
      <c r="C27">
        <f>MIN(C$6,ROUND(W26*(1+C$5),0))</f>
        <v/>
      </c>
      <c r="D27">
        <f>MIN(D$6,ROUND(X26*(1+D$5),0))</f>
        <v/>
      </c>
      <c r="E27">
        <f>MIN(E$6,ROUND(Y26*(1+E$5),0))</f>
        <v/>
      </c>
      <c r="F27">
        <f>MIN(F$6,ROUND(Z26*(1+F$5),0))</f>
        <v/>
      </c>
      <c r="G27">
        <f>MIN(G$6,ROUND(AA26*(1+G$5),0))</f>
        <v/>
      </c>
      <c r="H27">
        <f>MIN(H$6,ROUND(AB26*(1+H$5),0))</f>
        <v/>
      </c>
      <c r="I27">
        <f>MIN(I$6,ROUND(AC26*(1+I$5),0))</f>
        <v/>
      </c>
      <c r="J27">
        <f>MIN(J$6,ROUND(AD26*(1+J$5),0))</f>
        <v/>
      </c>
      <c r="K27">
        <f>MIN(K$6,ROUND(AE26*(1+K$5),0))</f>
        <v/>
      </c>
      <c r="L27">
        <f>MIN(L$6,ROUND(AF26*(1+L$5),0))</f>
        <v/>
      </c>
      <c r="M27">
        <f>MAX(0,MIN(ROUND(W26*(1+C$5),0)-C27,$AJ27-0))</f>
        <v/>
      </c>
      <c r="N27">
        <f>MAX(0,MIN(ROUND(X26*(1+D$5),0)-D27,$AJ27-SUM($M27:M27)))</f>
        <v/>
      </c>
      <c r="O27">
        <f>MAX(0,MIN(ROUND(Y26*(1+E$5),0)-E27,$AJ27-SUM($M27:N27)))</f>
        <v/>
      </c>
      <c r="P27">
        <f>MAX(0,MIN(ROUND(Z26*(1+F$5),0)-F27,$AJ27-SUM($M27:O27)))</f>
        <v/>
      </c>
      <c r="Q27">
        <f>MAX(0,MIN(ROUND(AA26*(1+G$5),0)-G27,$AJ27-SUM($M27:P27)))</f>
        <v/>
      </c>
      <c r="R27">
        <f>MAX(0,MIN(ROUND(AB26*(1+H$5),0)-H27,$AJ27-SUM($M27:Q27)))</f>
        <v/>
      </c>
      <c r="S27">
        <f>MAX(0,MIN(ROUND(AC26*(1+I$5),0)-I27,$AJ27-SUM($M27:R27)))</f>
        <v/>
      </c>
      <c r="T27">
        <f>MAX(0,MIN(ROUND(AD26*(1+J$5),0)-J27,$AJ27-SUM($M27:S27)))</f>
        <v/>
      </c>
      <c r="U27">
        <f>MAX(0,MIN(ROUND(AE26*(1+K$5),0)-K27,$AJ27-SUM($M27:T27)))</f>
        <v/>
      </c>
      <c r="V27">
        <f>MAX(0,MIN(ROUND(AF26*(1+L$5),0)-L27,$AJ27-SUM($M27:U27)))</f>
        <v/>
      </c>
      <c r="W27">
        <f>MAX(0,ROUND(W26*(1+C$5),0)-C27-M27)</f>
        <v/>
      </c>
      <c r="X27">
        <f>MAX(0,ROUND(X26*(1+D$5),0)-D27-N27)</f>
        <v/>
      </c>
      <c r="Y27">
        <f>MAX(0,ROUND(Y26*(1+E$5),0)-E27-O27)</f>
        <v/>
      </c>
      <c r="Z27">
        <f>MAX(0,ROUND(Z26*(1+F$5),0)-F27-P27)</f>
        <v/>
      </c>
      <c r="AA27">
        <f>MAX(0,ROUND(AA26*(1+G$5),0)-G27-Q27)</f>
        <v/>
      </c>
      <c r="AB27">
        <f>MAX(0,ROUND(AB26*(1+H$5),0)-H27-R27)</f>
        <v/>
      </c>
      <c r="AC27">
        <f>MAX(0,ROUND(AC26*(1+I$5),0)-I27-S27)</f>
        <v/>
      </c>
      <c r="AD27">
        <f>MAX(0,ROUND(AD26*(1+J$5),0)-J27-T27)</f>
        <v/>
      </c>
      <c r="AE27">
        <f>MAX(0,ROUND(AE26*(1+K$5),0)-K27-U27)</f>
        <v/>
      </c>
      <c r="AF27">
        <f>MAX(0,ROUND(AF26*(1+L$5),0)-L27-V27)</f>
        <v/>
      </c>
      <c r="AG27">
        <f>AH27-(AI26-AI27)</f>
        <v/>
      </c>
      <c r="AH27">
        <f>SUM(C27:V27)</f>
        <v/>
      </c>
      <c r="AI27">
        <f>SUM(W27:AF27)</f>
        <v/>
      </c>
      <c r="AJ27">
        <f>MAX(0,PresTot-SUM(C27:L27))</f>
        <v/>
      </c>
      <c r="AK27">
        <f>IF(AI26&lt;=0,0,11-SUMPRODUCT(MAX((W26:AF26&gt;0)*(11-(COLUMN(W26:AF26)-COLUMN($V26))))))</f>
        <v/>
      </c>
    </row>
    <row r="28">
      <c r="A28" t="n">
        <v>18</v>
      </c>
      <c r="B28">
        <f>DATE(YEAR(InicioEf),MONTH(InicioEf)+A28-1,1)</f>
        <v/>
      </c>
      <c r="C28">
        <f>MIN(C$6,ROUND(W27*(1+C$5),0))</f>
        <v/>
      </c>
      <c r="D28">
        <f>MIN(D$6,ROUND(X27*(1+D$5),0))</f>
        <v/>
      </c>
      <c r="E28">
        <f>MIN(E$6,ROUND(Y27*(1+E$5),0))</f>
        <v/>
      </c>
      <c r="F28">
        <f>MIN(F$6,ROUND(Z27*(1+F$5),0))</f>
        <v/>
      </c>
      <c r="G28">
        <f>MIN(G$6,ROUND(AA27*(1+G$5),0))</f>
        <v/>
      </c>
      <c r="H28">
        <f>MIN(H$6,ROUND(AB27*(1+H$5),0))</f>
        <v/>
      </c>
      <c r="I28">
        <f>MIN(I$6,ROUND(AC27*(1+I$5),0))</f>
        <v/>
      </c>
      <c r="J28">
        <f>MIN(J$6,ROUND(AD27*(1+J$5),0))</f>
        <v/>
      </c>
      <c r="K28">
        <f>MIN(K$6,ROUND(AE27*(1+K$5),0))</f>
        <v/>
      </c>
      <c r="L28">
        <f>MIN(L$6,ROUND(AF27*(1+L$5),0))</f>
        <v/>
      </c>
      <c r="M28">
        <f>MAX(0,MIN(ROUND(W27*(1+C$5),0)-C28,$AJ28-0))</f>
        <v/>
      </c>
      <c r="N28">
        <f>MAX(0,MIN(ROUND(X27*(1+D$5),0)-D28,$AJ28-SUM($M28:M28)))</f>
        <v/>
      </c>
      <c r="O28">
        <f>MAX(0,MIN(ROUND(Y27*(1+E$5),0)-E28,$AJ28-SUM($M28:N28)))</f>
        <v/>
      </c>
      <c r="P28">
        <f>MAX(0,MIN(ROUND(Z27*(1+F$5),0)-F28,$AJ28-SUM($M28:O28)))</f>
        <v/>
      </c>
      <c r="Q28">
        <f>MAX(0,MIN(ROUND(AA27*(1+G$5),0)-G28,$AJ28-SUM($M28:P28)))</f>
        <v/>
      </c>
      <c r="R28">
        <f>MAX(0,MIN(ROUND(AB27*(1+H$5),0)-H28,$AJ28-SUM($M28:Q28)))</f>
        <v/>
      </c>
      <c r="S28">
        <f>MAX(0,MIN(ROUND(AC27*(1+I$5),0)-I28,$AJ28-SUM($M28:R28)))</f>
        <v/>
      </c>
      <c r="T28">
        <f>MAX(0,MIN(ROUND(AD27*(1+J$5),0)-J28,$AJ28-SUM($M28:S28)))</f>
        <v/>
      </c>
      <c r="U28">
        <f>MAX(0,MIN(ROUND(AE27*(1+K$5),0)-K28,$AJ28-SUM($M28:T28)))</f>
        <v/>
      </c>
      <c r="V28">
        <f>MAX(0,MIN(ROUND(AF27*(1+L$5),0)-L28,$AJ28-SUM($M28:U28)))</f>
        <v/>
      </c>
      <c r="W28">
        <f>MAX(0,ROUND(W27*(1+C$5),0)-C28-M28)</f>
        <v/>
      </c>
      <c r="X28">
        <f>MAX(0,ROUND(X27*(1+D$5),0)-D28-N28)</f>
        <v/>
      </c>
      <c r="Y28">
        <f>MAX(0,ROUND(Y27*(1+E$5),0)-E28-O28)</f>
        <v/>
      </c>
      <c r="Z28">
        <f>MAX(0,ROUND(Z27*(1+F$5),0)-F28-P28)</f>
        <v/>
      </c>
      <c r="AA28">
        <f>MAX(0,ROUND(AA27*(1+G$5),0)-G28-Q28)</f>
        <v/>
      </c>
      <c r="AB28">
        <f>MAX(0,ROUND(AB27*(1+H$5),0)-H28-R28)</f>
        <v/>
      </c>
      <c r="AC28">
        <f>MAX(0,ROUND(AC27*(1+I$5),0)-I28-S28)</f>
        <v/>
      </c>
      <c r="AD28">
        <f>MAX(0,ROUND(AD27*(1+J$5),0)-J28-T28)</f>
        <v/>
      </c>
      <c r="AE28">
        <f>MAX(0,ROUND(AE27*(1+K$5),0)-K28-U28)</f>
        <v/>
      </c>
      <c r="AF28">
        <f>MAX(0,ROUND(AF27*(1+L$5),0)-L28-V28)</f>
        <v/>
      </c>
      <c r="AG28">
        <f>AH28-(AI27-AI28)</f>
        <v/>
      </c>
      <c r="AH28">
        <f>SUM(C28:V28)</f>
        <v/>
      </c>
      <c r="AI28">
        <f>SUM(W28:AF28)</f>
        <v/>
      </c>
      <c r="AJ28">
        <f>MAX(0,PresTot-SUM(C28:L28))</f>
        <v/>
      </c>
      <c r="AK28">
        <f>IF(AI27&lt;=0,0,11-SUMPRODUCT(MAX((W27:AF27&gt;0)*(11-(COLUMN(W27:AF27)-COLUMN($V27))))))</f>
        <v/>
      </c>
    </row>
    <row r="29">
      <c r="A29" t="n">
        <v>19</v>
      </c>
      <c r="B29">
        <f>DATE(YEAR(InicioEf),MONTH(InicioEf)+A29-1,1)</f>
        <v/>
      </c>
      <c r="C29">
        <f>MIN(C$6,ROUND(W28*(1+C$5),0))</f>
        <v/>
      </c>
      <c r="D29">
        <f>MIN(D$6,ROUND(X28*(1+D$5),0))</f>
        <v/>
      </c>
      <c r="E29">
        <f>MIN(E$6,ROUND(Y28*(1+E$5),0))</f>
        <v/>
      </c>
      <c r="F29">
        <f>MIN(F$6,ROUND(Z28*(1+F$5),0))</f>
        <v/>
      </c>
      <c r="G29">
        <f>MIN(G$6,ROUND(AA28*(1+G$5),0))</f>
        <v/>
      </c>
      <c r="H29">
        <f>MIN(H$6,ROUND(AB28*(1+H$5),0))</f>
        <v/>
      </c>
      <c r="I29">
        <f>MIN(I$6,ROUND(AC28*(1+I$5),0))</f>
        <v/>
      </c>
      <c r="J29">
        <f>MIN(J$6,ROUND(AD28*(1+J$5),0))</f>
        <v/>
      </c>
      <c r="K29">
        <f>MIN(K$6,ROUND(AE28*(1+K$5),0))</f>
        <v/>
      </c>
      <c r="L29">
        <f>MIN(L$6,ROUND(AF28*(1+L$5),0))</f>
        <v/>
      </c>
      <c r="M29">
        <f>MAX(0,MIN(ROUND(W28*(1+C$5),0)-C29,$AJ29-0))</f>
        <v/>
      </c>
      <c r="N29">
        <f>MAX(0,MIN(ROUND(X28*(1+D$5),0)-D29,$AJ29-SUM($M29:M29)))</f>
        <v/>
      </c>
      <c r="O29">
        <f>MAX(0,MIN(ROUND(Y28*(1+E$5),0)-E29,$AJ29-SUM($M29:N29)))</f>
        <v/>
      </c>
      <c r="P29">
        <f>MAX(0,MIN(ROUND(Z28*(1+F$5),0)-F29,$AJ29-SUM($M29:O29)))</f>
        <v/>
      </c>
      <c r="Q29">
        <f>MAX(0,MIN(ROUND(AA28*(1+G$5),0)-G29,$AJ29-SUM($M29:P29)))</f>
        <v/>
      </c>
      <c r="R29">
        <f>MAX(0,MIN(ROUND(AB28*(1+H$5),0)-H29,$AJ29-SUM($M29:Q29)))</f>
        <v/>
      </c>
      <c r="S29">
        <f>MAX(0,MIN(ROUND(AC28*(1+I$5),0)-I29,$AJ29-SUM($M29:R29)))</f>
        <v/>
      </c>
      <c r="T29">
        <f>MAX(0,MIN(ROUND(AD28*(1+J$5),0)-J29,$AJ29-SUM($M29:S29)))</f>
        <v/>
      </c>
      <c r="U29">
        <f>MAX(0,MIN(ROUND(AE28*(1+K$5),0)-K29,$AJ29-SUM($M29:T29)))</f>
        <v/>
      </c>
      <c r="V29">
        <f>MAX(0,MIN(ROUND(AF28*(1+L$5),0)-L29,$AJ29-SUM($M29:U29)))</f>
        <v/>
      </c>
      <c r="W29">
        <f>MAX(0,ROUND(W28*(1+C$5),0)-C29-M29)</f>
        <v/>
      </c>
      <c r="X29">
        <f>MAX(0,ROUND(X28*(1+D$5),0)-D29-N29)</f>
        <v/>
      </c>
      <c r="Y29">
        <f>MAX(0,ROUND(Y28*(1+E$5),0)-E29-O29)</f>
        <v/>
      </c>
      <c r="Z29">
        <f>MAX(0,ROUND(Z28*(1+F$5),0)-F29-P29)</f>
        <v/>
      </c>
      <c r="AA29">
        <f>MAX(0,ROUND(AA28*(1+G$5),0)-G29-Q29)</f>
        <v/>
      </c>
      <c r="AB29">
        <f>MAX(0,ROUND(AB28*(1+H$5),0)-H29-R29)</f>
        <v/>
      </c>
      <c r="AC29">
        <f>MAX(0,ROUND(AC28*(1+I$5),0)-I29-S29)</f>
        <v/>
      </c>
      <c r="AD29">
        <f>MAX(0,ROUND(AD28*(1+J$5),0)-J29-T29)</f>
        <v/>
      </c>
      <c r="AE29">
        <f>MAX(0,ROUND(AE28*(1+K$5),0)-K29-U29)</f>
        <v/>
      </c>
      <c r="AF29">
        <f>MAX(0,ROUND(AF28*(1+L$5),0)-L29-V29)</f>
        <v/>
      </c>
      <c r="AG29">
        <f>AH29-(AI28-AI29)</f>
        <v/>
      </c>
      <c r="AH29">
        <f>SUM(C29:V29)</f>
        <v/>
      </c>
      <c r="AI29">
        <f>SUM(W29:AF29)</f>
        <v/>
      </c>
      <c r="AJ29">
        <f>MAX(0,PresTot-SUM(C29:L29))</f>
        <v/>
      </c>
      <c r="AK29">
        <f>IF(AI28&lt;=0,0,11-SUMPRODUCT(MAX((W28:AF28&gt;0)*(11-(COLUMN(W28:AF28)-COLUMN($V28))))))</f>
        <v/>
      </c>
    </row>
    <row r="30">
      <c r="A30" t="n">
        <v>20</v>
      </c>
      <c r="B30">
        <f>DATE(YEAR(InicioEf),MONTH(InicioEf)+A30-1,1)</f>
        <v/>
      </c>
      <c r="C30">
        <f>MIN(C$6,ROUND(W29*(1+C$5),0))</f>
        <v/>
      </c>
      <c r="D30">
        <f>MIN(D$6,ROUND(X29*(1+D$5),0))</f>
        <v/>
      </c>
      <c r="E30">
        <f>MIN(E$6,ROUND(Y29*(1+E$5),0))</f>
        <v/>
      </c>
      <c r="F30">
        <f>MIN(F$6,ROUND(Z29*(1+F$5),0))</f>
        <v/>
      </c>
      <c r="G30">
        <f>MIN(G$6,ROUND(AA29*(1+G$5),0))</f>
        <v/>
      </c>
      <c r="H30">
        <f>MIN(H$6,ROUND(AB29*(1+H$5),0))</f>
        <v/>
      </c>
      <c r="I30">
        <f>MIN(I$6,ROUND(AC29*(1+I$5),0))</f>
        <v/>
      </c>
      <c r="J30">
        <f>MIN(J$6,ROUND(AD29*(1+J$5),0))</f>
        <v/>
      </c>
      <c r="K30">
        <f>MIN(K$6,ROUND(AE29*(1+K$5),0))</f>
        <v/>
      </c>
      <c r="L30">
        <f>MIN(L$6,ROUND(AF29*(1+L$5),0))</f>
        <v/>
      </c>
      <c r="M30">
        <f>MAX(0,MIN(ROUND(W29*(1+C$5),0)-C30,$AJ30-0))</f>
        <v/>
      </c>
      <c r="N30">
        <f>MAX(0,MIN(ROUND(X29*(1+D$5),0)-D30,$AJ30-SUM($M30:M30)))</f>
        <v/>
      </c>
      <c r="O30">
        <f>MAX(0,MIN(ROUND(Y29*(1+E$5),0)-E30,$AJ30-SUM($M30:N30)))</f>
        <v/>
      </c>
      <c r="P30">
        <f>MAX(0,MIN(ROUND(Z29*(1+F$5),0)-F30,$AJ30-SUM($M30:O30)))</f>
        <v/>
      </c>
      <c r="Q30">
        <f>MAX(0,MIN(ROUND(AA29*(1+G$5),0)-G30,$AJ30-SUM($M30:P30)))</f>
        <v/>
      </c>
      <c r="R30">
        <f>MAX(0,MIN(ROUND(AB29*(1+H$5),0)-H30,$AJ30-SUM($M30:Q30)))</f>
        <v/>
      </c>
      <c r="S30">
        <f>MAX(0,MIN(ROUND(AC29*(1+I$5),0)-I30,$AJ30-SUM($M30:R30)))</f>
        <v/>
      </c>
      <c r="T30">
        <f>MAX(0,MIN(ROUND(AD29*(1+J$5),0)-J30,$AJ30-SUM($M30:S30)))</f>
        <v/>
      </c>
      <c r="U30">
        <f>MAX(0,MIN(ROUND(AE29*(1+K$5),0)-K30,$AJ30-SUM($M30:T30)))</f>
        <v/>
      </c>
      <c r="V30">
        <f>MAX(0,MIN(ROUND(AF29*(1+L$5),0)-L30,$AJ30-SUM($M30:U30)))</f>
        <v/>
      </c>
      <c r="W30">
        <f>MAX(0,ROUND(W29*(1+C$5),0)-C30-M30)</f>
        <v/>
      </c>
      <c r="X30">
        <f>MAX(0,ROUND(X29*(1+D$5),0)-D30-N30)</f>
        <v/>
      </c>
      <c r="Y30">
        <f>MAX(0,ROUND(Y29*(1+E$5),0)-E30-O30)</f>
        <v/>
      </c>
      <c r="Z30">
        <f>MAX(0,ROUND(Z29*(1+F$5),0)-F30-P30)</f>
        <v/>
      </c>
      <c r="AA30">
        <f>MAX(0,ROUND(AA29*(1+G$5),0)-G30-Q30)</f>
        <v/>
      </c>
      <c r="AB30">
        <f>MAX(0,ROUND(AB29*(1+H$5),0)-H30-R30)</f>
        <v/>
      </c>
      <c r="AC30">
        <f>MAX(0,ROUND(AC29*(1+I$5),0)-I30-S30)</f>
        <v/>
      </c>
      <c r="AD30">
        <f>MAX(0,ROUND(AD29*(1+J$5),0)-J30-T30)</f>
        <v/>
      </c>
      <c r="AE30">
        <f>MAX(0,ROUND(AE29*(1+K$5),0)-K30-U30)</f>
        <v/>
      </c>
      <c r="AF30">
        <f>MAX(0,ROUND(AF29*(1+L$5),0)-L30-V30)</f>
        <v/>
      </c>
      <c r="AG30">
        <f>AH30-(AI29-AI30)</f>
        <v/>
      </c>
      <c r="AH30">
        <f>SUM(C30:V30)</f>
        <v/>
      </c>
      <c r="AI30">
        <f>SUM(W30:AF30)</f>
        <v/>
      </c>
      <c r="AJ30">
        <f>MAX(0,PresTot-SUM(C30:L30))</f>
        <v/>
      </c>
      <c r="AK30">
        <f>IF(AI29&lt;=0,0,11-SUMPRODUCT(MAX((W29:AF29&gt;0)*(11-(COLUMN(W29:AF29)-COLUMN($V29))))))</f>
        <v/>
      </c>
    </row>
    <row r="31">
      <c r="A31" t="n">
        <v>21</v>
      </c>
      <c r="B31">
        <f>DATE(YEAR(InicioEf),MONTH(InicioEf)+A31-1,1)</f>
        <v/>
      </c>
      <c r="C31">
        <f>MIN(C$6,ROUND(W30*(1+C$5),0))</f>
        <v/>
      </c>
      <c r="D31">
        <f>MIN(D$6,ROUND(X30*(1+D$5),0))</f>
        <v/>
      </c>
      <c r="E31">
        <f>MIN(E$6,ROUND(Y30*(1+E$5),0))</f>
        <v/>
      </c>
      <c r="F31">
        <f>MIN(F$6,ROUND(Z30*(1+F$5),0))</f>
        <v/>
      </c>
      <c r="G31">
        <f>MIN(G$6,ROUND(AA30*(1+G$5),0))</f>
        <v/>
      </c>
      <c r="H31">
        <f>MIN(H$6,ROUND(AB30*(1+H$5),0))</f>
        <v/>
      </c>
      <c r="I31">
        <f>MIN(I$6,ROUND(AC30*(1+I$5),0))</f>
        <v/>
      </c>
      <c r="J31">
        <f>MIN(J$6,ROUND(AD30*(1+J$5),0))</f>
        <v/>
      </c>
      <c r="K31">
        <f>MIN(K$6,ROUND(AE30*(1+K$5),0))</f>
        <v/>
      </c>
      <c r="L31">
        <f>MIN(L$6,ROUND(AF30*(1+L$5),0))</f>
        <v/>
      </c>
      <c r="M31">
        <f>MAX(0,MIN(ROUND(W30*(1+C$5),0)-C31,$AJ31-0))</f>
        <v/>
      </c>
      <c r="N31">
        <f>MAX(0,MIN(ROUND(X30*(1+D$5),0)-D31,$AJ31-SUM($M31:M31)))</f>
        <v/>
      </c>
      <c r="O31">
        <f>MAX(0,MIN(ROUND(Y30*(1+E$5),0)-E31,$AJ31-SUM($M31:N31)))</f>
        <v/>
      </c>
      <c r="P31">
        <f>MAX(0,MIN(ROUND(Z30*(1+F$5),0)-F31,$AJ31-SUM($M31:O31)))</f>
        <v/>
      </c>
      <c r="Q31">
        <f>MAX(0,MIN(ROUND(AA30*(1+G$5),0)-G31,$AJ31-SUM($M31:P31)))</f>
        <v/>
      </c>
      <c r="R31">
        <f>MAX(0,MIN(ROUND(AB30*(1+H$5),0)-H31,$AJ31-SUM($M31:Q31)))</f>
        <v/>
      </c>
      <c r="S31">
        <f>MAX(0,MIN(ROUND(AC30*(1+I$5),0)-I31,$AJ31-SUM($M31:R31)))</f>
        <v/>
      </c>
      <c r="T31">
        <f>MAX(0,MIN(ROUND(AD30*(1+J$5),0)-J31,$AJ31-SUM($M31:S31)))</f>
        <v/>
      </c>
      <c r="U31">
        <f>MAX(0,MIN(ROUND(AE30*(1+K$5),0)-K31,$AJ31-SUM($M31:T31)))</f>
        <v/>
      </c>
      <c r="V31">
        <f>MAX(0,MIN(ROUND(AF30*(1+L$5),0)-L31,$AJ31-SUM($M31:U31)))</f>
        <v/>
      </c>
      <c r="W31">
        <f>MAX(0,ROUND(W30*(1+C$5),0)-C31-M31)</f>
        <v/>
      </c>
      <c r="X31">
        <f>MAX(0,ROUND(X30*(1+D$5),0)-D31-N31)</f>
        <v/>
      </c>
      <c r="Y31">
        <f>MAX(0,ROUND(Y30*(1+E$5),0)-E31-O31)</f>
        <v/>
      </c>
      <c r="Z31">
        <f>MAX(0,ROUND(Z30*(1+F$5),0)-F31-P31)</f>
        <v/>
      </c>
      <c r="AA31">
        <f>MAX(0,ROUND(AA30*(1+G$5),0)-G31-Q31)</f>
        <v/>
      </c>
      <c r="AB31">
        <f>MAX(0,ROUND(AB30*(1+H$5),0)-H31-R31)</f>
        <v/>
      </c>
      <c r="AC31">
        <f>MAX(0,ROUND(AC30*(1+I$5),0)-I31-S31)</f>
        <v/>
      </c>
      <c r="AD31">
        <f>MAX(0,ROUND(AD30*(1+J$5),0)-J31-T31)</f>
        <v/>
      </c>
      <c r="AE31">
        <f>MAX(0,ROUND(AE30*(1+K$5),0)-K31-U31)</f>
        <v/>
      </c>
      <c r="AF31">
        <f>MAX(0,ROUND(AF30*(1+L$5),0)-L31-V31)</f>
        <v/>
      </c>
      <c r="AG31">
        <f>AH31-(AI30-AI31)</f>
        <v/>
      </c>
      <c r="AH31">
        <f>SUM(C31:V31)</f>
        <v/>
      </c>
      <c r="AI31">
        <f>SUM(W31:AF31)</f>
        <v/>
      </c>
      <c r="AJ31">
        <f>MAX(0,PresTot-SUM(C31:L31))</f>
        <v/>
      </c>
      <c r="AK31">
        <f>IF(AI30&lt;=0,0,11-SUMPRODUCT(MAX((W30:AF30&gt;0)*(11-(COLUMN(W30:AF30)-COLUMN($V30))))))</f>
        <v/>
      </c>
    </row>
    <row r="32">
      <c r="A32" t="n">
        <v>22</v>
      </c>
      <c r="B32">
        <f>DATE(YEAR(InicioEf),MONTH(InicioEf)+A32-1,1)</f>
        <v/>
      </c>
      <c r="C32">
        <f>MIN(C$6,ROUND(W31*(1+C$5),0))</f>
        <v/>
      </c>
      <c r="D32">
        <f>MIN(D$6,ROUND(X31*(1+D$5),0))</f>
        <v/>
      </c>
      <c r="E32">
        <f>MIN(E$6,ROUND(Y31*(1+E$5),0))</f>
        <v/>
      </c>
      <c r="F32">
        <f>MIN(F$6,ROUND(Z31*(1+F$5),0))</f>
        <v/>
      </c>
      <c r="G32">
        <f>MIN(G$6,ROUND(AA31*(1+G$5),0))</f>
        <v/>
      </c>
      <c r="H32">
        <f>MIN(H$6,ROUND(AB31*(1+H$5),0))</f>
        <v/>
      </c>
      <c r="I32">
        <f>MIN(I$6,ROUND(AC31*(1+I$5),0))</f>
        <v/>
      </c>
      <c r="J32">
        <f>MIN(J$6,ROUND(AD31*(1+J$5),0))</f>
        <v/>
      </c>
      <c r="K32">
        <f>MIN(K$6,ROUND(AE31*(1+K$5),0))</f>
        <v/>
      </c>
      <c r="L32">
        <f>MIN(L$6,ROUND(AF31*(1+L$5),0))</f>
        <v/>
      </c>
      <c r="M32">
        <f>MAX(0,MIN(ROUND(W31*(1+C$5),0)-C32,$AJ32-0))</f>
        <v/>
      </c>
      <c r="N32">
        <f>MAX(0,MIN(ROUND(X31*(1+D$5),0)-D32,$AJ32-SUM($M32:M32)))</f>
        <v/>
      </c>
      <c r="O32">
        <f>MAX(0,MIN(ROUND(Y31*(1+E$5),0)-E32,$AJ32-SUM($M32:N32)))</f>
        <v/>
      </c>
      <c r="P32">
        <f>MAX(0,MIN(ROUND(Z31*(1+F$5),0)-F32,$AJ32-SUM($M32:O32)))</f>
        <v/>
      </c>
      <c r="Q32">
        <f>MAX(0,MIN(ROUND(AA31*(1+G$5),0)-G32,$AJ32-SUM($M32:P32)))</f>
        <v/>
      </c>
      <c r="R32">
        <f>MAX(0,MIN(ROUND(AB31*(1+H$5),0)-H32,$AJ32-SUM($M32:Q32)))</f>
        <v/>
      </c>
      <c r="S32">
        <f>MAX(0,MIN(ROUND(AC31*(1+I$5),0)-I32,$AJ32-SUM($M32:R32)))</f>
        <v/>
      </c>
      <c r="T32">
        <f>MAX(0,MIN(ROUND(AD31*(1+J$5),0)-J32,$AJ32-SUM($M32:S32)))</f>
        <v/>
      </c>
      <c r="U32">
        <f>MAX(0,MIN(ROUND(AE31*(1+K$5),0)-K32,$AJ32-SUM($M32:T32)))</f>
        <v/>
      </c>
      <c r="V32">
        <f>MAX(0,MIN(ROUND(AF31*(1+L$5),0)-L32,$AJ32-SUM($M32:U32)))</f>
        <v/>
      </c>
      <c r="W32">
        <f>MAX(0,ROUND(W31*(1+C$5),0)-C32-M32)</f>
        <v/>
      </c>
      <c r="X32">
        <f>MAX(0,ROUND(X31*(1+D$5),0)-D32-N32)</f>
        <v/>
      </c>
      <c r="Y32">
        <f>MAX(0,ROUND(Y31*(1+E$5),0)-E32-O32)</f>
        <v/>
      </c>
      <c r="Z32">
        <f>MAX(0,ROUND(Z31*(1+F$5),0)-F32-P32)</f>
        <v/>
      </c>
      <c r="AA32">
        <f>MAX(0,ROUND(AA31*(1+G$5),0)-G32-Q32)</f>
        <v/>
      </c>
      <c r="AB32">
        <f>MAX(0,ROUND(AB31*(1+H$5),0)-H32-R32)</f>
        <v/>
      </c>
      <c r="AC32">
        <f>MAX(0,ROUND(AC31*(1+I$5),0)-I32-S32)</f>
        <v/>
      </c>
      <c r="AD32">
        <f>MAX(0,ROUND(AD31*(1+J$5),0)-J32-T32)</f>
        <v/>
      </c>
      <c r="AE32">
        <f>MAX(0,ROUND(AE31*(1+K$5),0)-K32-U32)</f>
        <v/>
      </c>
      <c r="AF32">
        <f>MAX(0,ROUND(AF31*(1+L$5),0)-L32-V32)</f>
        <v/>
      </c>
      <c r="AG32">
        <f>AH32-(AI31-AI32)</f>
        <v/>
      </c>
      <c r="AH32">
        <f>SUM(C32:V32)</f>
        <v/>
      </c>
      <c r="AI32">
        <f>SUM(W32:AF32)</f>
        <v/>
      </c>
      <c r="AJ32">
        <f>MAX(0,PresTot-SUM(C32:L32))</f>
        <v/>
      </c>
      <c r="AK32">
        <f>IF(AI31&lt;=0,0,11-SUMPRODUCT(MAX((W31:AF31&gt;0)*(11-(COLUMN(W31:AF31)-COLUMN($V31))))))</f>
        <v/>
      </c>
    </row>
    <row r="33">
      <c r="A33" t="n">
        <v>23</v>
      </c>
      <c r="B33">
        <f>DATE(YEAR(InicioEf),MONTH(InicioEf)+A33-1,1)</f>
        <v/>
      </c>
      <c r="C33">
        <f>MIN(C$6,ROUND(W32*(1+C$5),0))</f>
        <v/>
      </c>
      <c r="D33">
        <f>MIN(D$6,ROUND(X32*(1+D$5),0))</f>
        <v/>
      </c>
      <c r="E33">
        <f>MIN(E$6,ROUND(Y32*(1+E$5),0))</f>
        <v/>
      </c>
      <c r="F33">
        <f>MIN(F$6,ROUND(Z32*(1+F$5),0))</f>
        <v/>
      </c>
      <c r="G33">
        <f>MIN(G$6,ROUND(AA32*(1+G$5),0))</f>
        <v/>
      </c>
      <c r="H33">
        <f>MIN(H$6,ROUND(AB32*(1+H$5),0))</f>
        <v/>
      </c>
      <c r="I33">
        <f>MIN(I$6,ROUND(AC32*(1+I$5),0))</f>
        <v/>
      </c>
      <c r="J33">
        <f>MIN(J$6,ROUND(AD32*(1+J$5),0))</f>
        <v/>
      </c>
      <c r="K33">
        <f>MIN(K$6,ROUND(AE32*(1+K$5),0))</f>
        <v/>
      </c>
      <c r="L33">
        <f>MIN(L$6,ROUND(AF32*(1+L$5),0))</f>
        <v/>
      </c>
      <c r="M33">
        <f>MAX(0,MIN(ROUND(W32*(1+C$5),0)-C33,$AJ33-0))</f>
        <v/>
      </c>
      <c r="N33">
        <f>MAX(0,MIN(ROUND(X32*(1+D$5),0)-D33,$AJ33-SUM($M33:M33)))</f>
        <v/>
      </c>
      <c r="O33">
        <f>MAX(0,MIN(ROUND(Y32*(1+E$5),0)-E33,$AJ33-SUM($M33:N33)))</f>
        <v/>
      </c>
      <c r="P33">
        <f>MAX(0,MIN(ROUND(Z32*(1+F$5),0)-F33,$AJ33-SUM($M33:O33)))</f>
        <v/>
      </c>
      <c r="Q33">
        <f>MAX(0,MIN(ROUND(AA32*(1+G$5),0)-G33,$AJ33-SUM($M33:P33)))</f>
        <v/>
      </c>
      <c r="R33">
        <f>MAX(0,MIN(ROUND(AB32*(1+H$5),0)-H33,$AJ33-SUM($M33:Q33)))</f>
        <v/>
      </c>
      <c r="S33">
        <f>MAX(0,MIN(ROUND(AC32*(1+I$5),0)-I33,$AJ33-SUM($M33:R33)))</f>
        <v/>
      </c>
      <c r="T33">
        <f>MAX(0,MIN(ROUND(AD32*(1+J$5),0)-J33,$AJ33-SUM($M33:S33)))</f>
        <v/>
      </c>
      <c r="U33">
        <f>MAX(0,MIN(ROUND(AE32*(1+K$5),0)-K33,$AJ33-SUM($M33:T33)))</f>
        <v/>
      </c>
      <c r="V33">
        <f>MAX(0,MIN(ROUND(AF32*(1+L$5),0)-L33,$AJ33-SUM($M33:U33)))</f>
        <v/>
      </c>
      <c r="W33">
        <f>MAX(0,ROUND(W32*(1+C$5),0)-C33-M33)</f>
        <v/>
      </c>
      <c r="X33">
        <f>MAX(0,ROUND(X32*(1+D$5),0)-D33-N33)</f>
        <v/>
      </c>
      <c r="Y33">
        <f>MAX(0,ROUND(Y32*(1+E$5),0)-E33-O33)</f>
        <v/>
      </c>
      <c r="Z33">
        <f>MAX(0,ROUND(Z32*(1+F$5),0)-F33-P33)</f>
        <v/>
      </c>
      <c r="AA33">
        <f>MAX(0,ROUND(AA32*(1+G$5),0)-G33-Q33)</f>
        <v/>
      </c>
      <c r="AB33">
        <f>MAX(0,ROUND(AB32*(1+H$5),0)-H33-R33)</f>
        <v/>
      </c>
      <c r="AC33">
        <f>MAX(0,ROUND(AC32*(1+I$5),0)-I33-S33)</f>
        <v/>
      </c>
      <c r="AD33">
        <f>MAX(0,ROUND(AD32*(1+J$5),0)-J33-T33)</f>
        <v/>
      </c>
      <c r="AE33">
        <f>MAX(0,ROUND(AE32*(1+K$5),0)-K33-U33)</f>
        <v/>
      </c>
      <c r="AF33">
        <f>MAX(0,ROUND(AF32*(1+L$5),0)-L33-V33)</f>
        <v/>
      </c>
      <c r="AG33">
        <f>AH33-(AI32-AI33)</f>
        <v/>
      </c>
      <c r="AH33">
        <f>SUM(C33:V33)</f>
        <v/>
      </c>
      <c r="AI33">
        <f>SUM(W33:AF33)</f>
        <v/>
      </c>
      <c r="AJ33">
        <f>MAX(0,PresTot-SUM(C33:L33))</f>
        <v/>
      </c>
      <c r="AK33">
        <f>IF(AI32&lt;=0,0,11-SUMPRODUCT(MAX((W32:AF32&gt;0)*(11-(COLUMN(W32:AF32)-COLUMN($V32))))))</f>
        <v/>
      </c>
    </row>
    <row r="34">
      <c r="A34" t="n">
        <v>24</v>
      </c>
      <c r="B34">
        <f>DATE(YEAR(InicioEf),MONTH(InicioEf)+A34-1,1)</f>
        <v/>
      </c>
      <c r="C34">
        <f>MIN(C$6,ROUND(W33*(1+C$5),0))</f>
        <v/>
      </c>
      <c r="D34">
        <f>MIN(D$6,ROUND(X33*(1+D$5),0))</f>
        <v/>
      </c>
      <c r="E34">
        <f>MIN(E$6,ROUND(Y33*(1+E$5),0))</f>
        <v/>
      </c>
      <c r="F34">
        <f>MIN(F$6,ROUND(Z33*(1+F$5),0))</f>
        <v/>
      </c>
      <c r="G34">
        <f>MIN(G$6,ROUND(AA33*(1+G$5),0))</f>
        <v/>
      </c>
      <c r="H34">
        <f>MIN(H$6,ROUND(AB33*(1+H$5),0))</f>
        <v/>
      </c>
      <c r="I34">
        <f>MIN(I$6,ROUND(AC33*(1+I$5),0))</f>
        <v/>
      </c>
      <c r="J34">
        <f>MIN(J$6,ROUND(AD33*(1+J$5),0))</f>
        <v/>
      </c>
      <c r="K34">
        <f>MIN(K$6,ROUND(AE33*(1+K$5),0))</f>
        <v/>
      </c>
      <c r="L34">
        <f>MIN(L$6,ROUND(AF33*(1+L$5),0))</f>
        <v/>
      </c>
      <c r="M34">
        <f>MAX(0,MIN(ROUND(W33*(1+C$5),0)-C34,$AJ34-0))</f>
        <v/>
      </c>
      <c r="N34">
        <f>MAX(0,MIN(ROUND(X33*(1+D$5),0)-D34,$AJ34-SUM($M34:M34)))</f>
        <v/>
      </c>
      <c r="O34">
        <f>MAX(0,MIN(ROUND(Y33*(1+E$5),0)-E34,$AJ34-SUM($M34:N34)))</f>
        <v/>
      </c>
      <c r="P34">
        <f>MAX(0,MIN(ROUND(Z33*(1+F$5),0)-F34,$AJ34-SUM($M34:O34)))</f>
        <v/>
      </c>
      <c r="Q34">
        <f>MAX(0,MIN(ROUND(AA33*(1+G$5),0)-G34,$AJ34-SUM($M34:P34)))</f>
        <v/>
      </c>
      <c r="R34">
        <f>MAX(0,MIN(ROUND(AB33*(1+H$5),0)-H34,$AJ34-SUM($M34:Q34)))</f>
        <v/>
      </c>
      <c r="S34">
        <f>MAX(0,MIN(ROUND(AC33*(1+I$5),0)-I34,$AJ34-SUM($M34:R34)))</f>
        <v/>
      </c>
      <c r="T34">
        <f>MAX(0,MIN(ROUND(AD33*(1+J$5),0)-J34,$AJ34-SUM($M34:S34)))</f>
        <v/>
      </c>
      <c r="U34">
        <f>MAX(0,MIN(ROUND(AE33*(1+K$5),0)-K34,$AJ34-SUM($M34:T34)))</f>
        <v/>
      </c>
      <c r="V34">
        <f>MAX(0,MIN(ROUND(AF33*(1+L$5),0)-L34,$AJ34-SUM($M34:U34)))</f>
        <v/>
      </c>
      <c r="W34">
        <f>MAX(0,ROUND(W33*(1+C$5),0)-C34-M34)</f>
        <v/>
      </c>
      <c r="X34">
        <f>MAX(0,ROUND(X33*(1+D$5),0)-D34-N34)</f>
        <v/>
      </c>
      <c r="Y34">
        <f>MAX(0,ROUND(Y33*(1+E$5),0)-E34-O34)</f>
        <v/>
      </c>
      <c r="Z34">
        <f>MAX(0,ROUND(Z33*(1+F$5),0)-F34-P34)</f>
        <v/>
      </c>
      <c r="AA34">
        <f>MAX(0,ROUND(AA33*(1+G$5),0)-G34-Q34)</f>
        <v/>
      </c>
      <c r="AB34">
        <f>MAX(0,ROUND(AB33*(1+H$5),0)-H34-R34)</f>
        <v/>
      </c>
      <c r="AC34">
        <f>MAX(0,ROUND(AC33*(1+I$5),0)-I34-S34)</f>
        <v/>
      </c>
      <c r="AD34">
        <f>MAX(0,ROUND(AD33*(1+J$5),0)-J34-T34)</f>
        <v/>
      </c>
      <c r="AE34">
        <f>MAX(0,ROUND(AE33*(1+K$5),0)-K34-U34)</f>
        <v/>
      </c>
      <c r="AF34">
        <f>MAX(0,ROUND(AF33*(1+L$5),0)-L34-V34)</f>
        <v/>
      </c>
      <c r="AG34">
        <f>AH34-(AI33-AI34)</f>
        <v/>
      </c>
      <c r="AH34">
        <f>SUM(C34:V34)</f>
        <v/>
      </c>
      <c r="AI34">
        <f>SUM(W34:AF34)</f>
        <v/>
      </c>
      <c r="AJ34">
        <f>MAX(0,PresTot-SUM(C34:L34))</f>
        <v/>
      </c>
      <c r="AK34">
        <f>IF(AI33&lt;=0,0,11-SUMPRODUCT(MAX((W33:AF33&gt;0)*(11-(COLUMN(W33:AF33)-COLUMN($V33))))))</f>
        <v/>
      </c>
    </row>
    <row r="35">
      <c r="A35" t="n">
        <v>25</v>
      </c>
      <c r="B35">
        <f>DATE(YEAR(InicioEf),MONTH(InicioEf)+A35-1,1)</f>
        <v/>
      </c>
      <c r="C35">
        <f>MIN(C$6,ROUND(W34*(1+C$5),0))</f>
        <v/>
      </c>
      <c r="D35">
        <f>MIN(D$6,ROUND(X34*(1+D$5),0))</f>
        <v/>
      </c>
      <c r="E35">
        <f>MIN(E$6,ROUND(Y34*(1+E$5),0))</f>
        <v/>
      </c>
      <c r="F35">
        <f>MIN(F$6,ROUND(Z34*(1+F$5),0))</f>
        <v/>
      </c>
      <c r="G35">
        <f>MIN(G$6,ROUND(AA34*(1+G$5),0))</f>
        <v/>
      </c>
      <c r="H35">
        <f>MIN(H$6,ROUND(AB34*(1+H$5),0))</f>
        <v/>
      </c>
      <c r="I35">
        <f>MIN(I$6,ROUND(AC34*(1+I$5),0))</f>
        <v/>
      </c>
      <c r="J35">
        <f>MIN(J$6,ROUND(AD34*(1+J$5),0))</f>
        <v/>
      </c>
      <c r="K35">
        <f>MIN(K$6,ROUND(AE34*(1+K$5),0))</f>
        <v/>
      </c>
      <c r="L35">
        <f>MIN(L$6,ROUND(AF34*(1+L$5),0))</f>
        <v/>
      </c>
      <c r="M35">
        <f>MAX(0,MIN(ROUND(W34*(1+C$5),0)-C35,$AJ35-0))</f>
        <v/>
      </c>
      <c r="N35">
        <f>MAX(0,MIN(ROUND(X34*(1+D$5),0)-D35,$AJ35-SUM($M35:M35)))</f>
        <v/>
      </c>
      <c r="O35">
        <f>MAX(0,MIN(ROUND(Y34*(1+E$5),0)-E35,$AJ35-SUM($M35:N35)))</f>
        <v/>
      </c>
      <c r="P35">
        <f>MAX(0,MIN(ROUND(Z34*(1+F$5),0)-F35,$AJ35-SUM($M35:O35)))</f>
        <v/>
      </c>
      <c r="Q35">
        <f>MAX(0,MIN(ROUND(AA34*(1+G$5),0)-G35,$AJ35-SUM($M35:P35)))</f>
        <v/>
      </c>
      <c r="R35">
        <f>MAX(0,MIN(ROUND(AB34*(1+H$5),0)-H35,$AJ35-SUM($M35:Q35)))</f>
        <v/>
      </c>
      <c r="S35">
        <f>MAX(0,MIN(ROUND(AC34*(1+I$5),0)-I35,$AJ35-SUM($M35:R35)))</f>
        <v/>
      </c>
      <c r="T35">
        <f>MAX(0,MIN(ROUND(AD34*(1+J$5),0)-J35,$AJ35-SUM($M35:S35)))</f>
        <v/>
      </c>
      <c r="U35">
        <f>MAX(0,MIN(ROUND(AE34*(1+K$5),0)-K35,$AJ35-SUM($M35:T35)))</f>
        <v/>
      </c>
      <c r="V35">
        <f>MAX(0,MIN(ROUND(AF34*(1+L$5),0)-L35,$AJ35-SUM($M35:U35)))</f>
        <v/>
      </c>
      <c r="W35">
        <f>MAX(0,ROUND(W34*(1+C$5),0)-C35-M35)</f>
        <v/>
      </c>
      <c r="X35">
        <f>MAX(0,ROUND(X34*(1+D$5),0)-D35-N35)</f>
        <v/>
      </c>
      <c r="Y35">
        <f>MAX(0,ROUND(Y34*(1+E$5),0)-E35-O35)</f>
        <v/>
      </c>
      <c r="Z35">
        <f>MAX(0,ROUND(Z34*(1+F$5),0)-F35-P35)</f>
        <v/>
      </c>
      <c r="AA35">
        <f>MAX(0,ROUND(AA34*(1+G$5),0)-G35-Q35)</f>
        <v/>
      </c>
      <c r="AB35">
        <f>MAX(0,ROUND(AB34*(1+H$5),0)-H35-R35)</f>
        <v/>
      </c>
      <c r="AC35">
        <f>MAX(0,ROUND(AC34*(1+I$5),0)-I35-S35)</f>
        <v/>
      </c>
      <c r="AD35">
        <f>MAX(0,ROUND(AD34*(1+J$5),0)-J35-T35)</f>
        <v/>
      </c>
      <c r="AE35">
        <f>MAX(0,ROUND(AE34*(1+K$5),0)-K35-U35)</f>
        <v/>
      </c>
      <c r="AF35">
        <f>MAX(0,ROUND(AF34*(1+L$5),0)-L35-V35)</f>
        <v/>
      </c>
      <c r="AG35">
        <f>AH35-(AI34-AI35)</f>
        <v/>
      </c>
      <c r="AH35">
        <f>SUM(C35:V35)</f>
        <v/>
      </c>
      <c r="AI35">
        <f>SUM(W35:AF35)</f>
        <v/>
      </c>
      <c r="AJ35">
        <f>MAX(0,PresTot-SUM(C35:L35))</f>
        <v/>
      </c>
      <c r="AK35">
        <f>IF(AI34&lt;=0,0,11-SUMPRODUCT(MAX((W34:AF34&gt;0)*(11-(COLUMN(W34:AF34)-COLUMN($V34))))))</f>
        <v/>
      </c>
    </row>
    <row r="36">
      <c r="A36" t="n">
        <v>26</v>
      </c>
      <c r="B36">
        <f>DATE(YEAR(InicioEf),MONTH(InicioEf)+A36-1,1)</f>
        <v/>
      </c>
      <c r="C36">
        <f>MIN(C$6,ROUND(W35*(1+C$5),0))</f>
        <v/>
      </c>
      <c r="D36">
        <f>MIN(D$6,ROUND(X35*(1+D$5),0))</f>
        <v/>
      </c>
      <c r="E36">
        <f>MIN(E$6,ROUND(Y35*(1+E$5),0))</f>
        <v/>
      </c>
      <c r="F36">
        <f>MIN(F$6,ROUND(Z35*(1+F$5),0))</f>
        <v/>
      </c>
      <c r="G36">
        <f>MIN(G$6,ROUND(AA35*(1+G$5),0))</f>
        <v/>
      </c>
      <c r="H36">
        <f>MIN(H$6,ROUND(AB35*(1+H$5),0))</f>
        <v/>
      </c>
      <c r="I36">
        <f>MIN(I$6,ROUND(AC35*(1+I$5),0))</f>
        <v/>
      </c>
      <c r="J36">
        <f>MIN(J$6,ROUND(AD35*(1+J$5),0))</f>
        <v/>
      </c>
      <c r="K36">
        <f>MIN(K$6,ROUND(AE35*(1+K$5),0))</f>
        <v/>
      </c>
      <c r="L36">
        <f>MIN(L$6,ROUND(AF35*(1+L$5),0))</f>
        <v/>
      </c>
      <c r="M36">
        <f>MAX(0,MIN(ROUND(W35*(1+C$5),0)-C36,$AJ36-0))</f>
        <v/>
      </c>
      <c r="N36">
        <f>MAX(0,MIN(ROUND(X35*(1+D$5),0)-D36,$AJ36-SUM($M36:M36)))</f>
        <v/>
      </c>
      <c r="O36">
        <f>MAX(0,MIN(ROUND(Y35*(1+E$5),0)-E36,$AJ36-SUM($M36:N36)))</f>
        <v/>
      </c>
      <c r="P36">
        <f>MAX(0,MIN(ROUND(Z35*(1+F$5),0)-F36,$AJ36-SUM($M36:O36)))</f>
        <v/>
      </c>
      <c r="Q36">
        <f>MAX(0,MIN(ROUND(AA35*(1+G$5),0)-G36,$AJ36-SUM($M36:P36)))</f>
        <v/>
      </c>
      <c r="R36">
        <f>MAX(0,MIN(ROUND(AB35*(1+H$5),0)-H36,$AJ36-SUM($M36:Q36)))</f>
        <v/>
      </c>
      <c r="S36">
        <f>MAX(0,MIN(ROUND(AC35*(1+I$5),0)-I36,$AJ36-SUM($M36:R36)))</f>
        <v/>
      </c>
      <c r="T36">
        <f>MAX(0,MIN(ROUND(AD35*(1+J$5),0)-J36,$AJ36-SUM($M36:S36)))</f>
        <v/>
      </c>
      <c r="U36">
        <f>MAX(0,MIN(ROUND(AE35*(1+K$5),0)-K36,$AJ36-SUM($M36:T36)))</f>
        <v/>
      </c>
      <c r="V36">
        <f>MAX(0,MIN(ROUND(AF35*(1+L$5),0)-L36,$AJ36-SUM($M36:U36)))</f>
        <v/>
      </c>
      <c r="W36">
        <f>MAX(0,ROUND(W35*(1+C$5),0)-C36-M36)</f>
        <v/>
      </c>
      <c r="X36">
        <f>MAX(0,ROUND(X35*(1+D$5),0)-D36-N36)</f>
        <v/>
      </c>
      <c r="Y36">
        <f>MAX(0,ROUND(Y35*(1+E$5),0)-E36-O36)</f>
        <v/>
      </c>
      <c r="Z36">
        <f>MAX(0,ROUND(Z35*(1+F$5),0)-F36-P36)</f>
        <v/>
      </c>
      <c r="AA36">
        <f>MAX(0,ROUND(AA35*(1+G$5),0)-G36-Q36)</f>
        <v/>
      </c>
      <c r="AB36">
        <f>MAX(0,ROUND(AB35*(1+H$5),0)-H36-R36)</f>
        <v/>
      </c>
      <c r="AC36">
        <f>MAX(0,ROUND(AC35*(1+I$5),0)-I36-S36)</f>
        <v/>
      </c>
      <c r="AD36">
        <f>MAX(0,ROUND(AD35*(1+J$5),0)-J36-T36)</f>
        <v/>
      </c>
      <c r="AE36">
        <f>MAX(0,ROUND(AE35*(1+K$5),0)-K36-U36)</f>
        <v/>
      </c>
      <c r="AF36">
        <f>MAX(0,ROUND(AF35*(1+L$5),0)-L36-V36)</f>
        <v/>
      </c>
      <c r="AG36">
        <f>AH36-(AI35-AI36)</f>
        <v/>
      </c>
      <c r="AH36">
        <f>SUM(C36:V36)</f>
        <v/>
      </c>
      <c r="AI36">
        <f>SUM(W36:AF36)</f>
        <v/>
      </c>
      <c r="AJ36">
        <f>MAX(0,PresTot-SUM(C36:L36))</f>
        <v/>
      </c>
      <c r="AK36">
        <f>IF(AI35&lt;=0,0,11-SUMPRODUCT(MAX((W35:AF35&gt;0)*(11-(COLUMN(W35:AF35)-COLUMN($V35))))))</f>
        <v/>
      </c>
    </row>
    <row r="37">
      <c r="A37" t="n">
        <v>27</v>
      </c>
      <c r="B37">
        <f>DATE(YEAR(InicioEf),MONTH(InicioEf)+A37-1,1)</f>
        <v/>
      </c>
      <c r="C37">
        <f>MIN(C$6,ROUND(W36*(1+C$5),0))</f>
        <v/>
      </c>
      <c r="D37">
        <f>MIN(D$6,ROUND(X36*(1+D$5),0))</f>
        <v/>
      </c>
      <c r="E37">
        <f>MIN(E$6,ROUND(Y36*(1+E$5),0))</f>
        <v/>
      </c>
      <c r="F37">
        <f>MIN(F$6,ROUND(Z36*(1+F$5),0))</f>
        <v/>
      </c>
      <c r="G37">
        <f>MIN(G$6,ROUND(AA36*(1+G$5),0))</f>
        <v/>
      </c>
      <c r="H37">
        <f>MIN(H$6,ROUND(AB36*(1+H$5),0))</f>
        <v/>
      </c>
      <c r="I37">
        <f>MIN(I$6,ROUND(AC36*(1+I$5),0))</f>
        <v/>
      </c>
      <c r="J37">
        <f>MIN(J$6,ROUND(AD36*(1+J$5),0))</f>
        <v/>
      </c>
      <c r="K37">
        <f>MIN(K$6,ROUND(AE36*(1+K$5),0))</f>
        <v/>
      </c>
      <c r="L37">
        <f>MIN(L$6,ROUND(AF36*(1+L$5),0))</f>
        <v/>
      </c>
      <c r="M37">
        <f>MAX(0,MIN(ROUND(W36*(1+C$5),0)-C37,$AJ37-0))</f>
        <v/>
      </c>
      <c r="N37">
        <f>MAX(0,MIN(ROUND(X36*(1+D$5),0)-D37,$AJ37-SUM($M37:M37)))</f>
        <v/>
      </c>
      <c r="O37">
        <f>MAX(0,MIN(ROUND(Y36*(1+E$5),0)-E37,$AJ37-SUM($M37:N37)))</f>
        <v/>
      </c>
      <c r="P37">
        <f>MAX(0,MIN(ROUND(Z36*(1+F$5),0)-F37,$AJ37-SUM($M37:O37)))</f>
        <v/>
      </c>
      <c r="Q37">
        <f>MAX(0,MIN(ROUND(AA36*(1+G$5),0)-G37,$AJ37-SUM($M37:P37)))</f>
        <v/>
      </c>
      <c r="R37">
        <f>MAX(0,MIN(ROUND(AB36*(1+H$5),0)-H37,$AJ37-SUM($M37:Q37)))</f>
        <v/>
      </c>
      <c r="S37">
        <f>MAX(0,MIN(ROUND(AC36*(1+I$5),0)-I37,$AJ37-SUM($M37:R37)))</f>
        <v/>
      </c>
      <c r="T37">
        <f>MAX(0,MIN(ROUND(AD36*(1+J$5),0)-J37,$AJ37-SUM($M37:S37)))</f>
        <v/>
      </c>
      <c r="U37">
        <f>MAX(0,MIN(ROUND(AE36*(1+K$5),0)-K37,$AJ37-SUM($M37:T37)))</f>
        <v/>
      </c>
      <c r="V37">
        <f>MAX(0,MIN(ROUND(AF36*(1+L$5),0)-L37,$AJ37-SUM($M37:U37)))</f>
        <v/>
      </c>
      <c r="W37">
        <f>MAX(0,ROUND(W36*(1+C$5),0)-C37-M37)</f>
        <v/>
      </c>
      <c r="X37">
        <f>MAX(0,ROUND(X36*(1+D$5),0)-D37-N37)</f>
        <v/>
      </c>
      <c r="Y37">
        <f>MAX(0,ROUND(Y36*(1+E$5),0)-E37-O37)</f>
        <v/>
      </c>
      <c r="Z37">
        <f>MAX(0,ROUND(Z36*(1+F$5),0)-F37-P37)</f>
        <v/>
      </c>
      <c r="AA37">
        <f>MAX(0,ROUND(AA36*(1+G$5),0)-G37-Q37)</f>
        <v/>
      </c>
      <c r="AB37">
        <f>MAX(0,ROUND(AB36*(1+H$5),0)-H37-R37)</f>
        <v/>
      </c>
      <c r="AC37">
        <f>MAX(0,ROUND(AC36*(1+I$5),0)-I37-S37)</f>
        <v/>
      </c>
      <c r="AD37">
        <f>MAX(0,ROUND(AD36*(1+J$5),0)-J37-T37)</f>
        <v/>
      </c>
      <c r="AE37">
        <f>MAX(0,ROUND(AE36*(1+K$5),0)-K37-U37)</f>
        <v/>
      </c>
      <c r="AF37">
        <f>MAX(0,ROUND(AF36*(1+L$5),0)-L37-V37)</f>
        <v/>
      </c>
      <c r="AG37">
        <f>AH37-(AI36-AI37)</f>
        <v/>
      </c>
      <c r="AH37">
        <f>SUM(C37:V37)</f>
        <v/>
      </c>
      <c r="AI37">
        <f>SUM(W37:AF37)</f>
        <v/>
      </c>
      <c r="AJ37">
        <f>MAX(0,PresTot-SUM(C37:L37))</f>
        <v/>
      </c>
      <c r="AK37">
        <f>IF(AI36&lt;=0,0,11-SUMPRODUCT(MAX((W36:AF36&gt;0)*(11-(COLUMN(W36:AF36)-COLUMN($V36))))))</f>
        <v/>
      </c>
    </row>
    <row r="38">
      <c r="A38" t="n">
        <v>28</v>
      </c>
      <c r="B38">
        <f>DATE(YEAR(InicioEf),MONTH(InicioEf)+A38-1,1)</f>
        <v/>
      </c>
      <c r="C38">
        <f>MIN(C$6,ROUND(W37*(1+C$5),0))</f>
        <v/>
      </c>
      <c r="D38">
        <f>MIN(D$6,ROUND(X37*(1+D$5),0))</f>
        <v/>
      </c>
      <c r="E38">
        <f>MIN(E$6,ROUND(Y37*(1+E$5),0))</f>
        <v/>
      </c>
      <c r="F38">
        <f>MIN(F$6,ROUND(Z37*(1+F$5),0))</f>
        <v/>
      </c>
      <c r="G38">
        <f>MIN(G$6,ROUND(AA37*(1+G$5),0))</f>
        <v/>
      </c>
      <c r="H38">
        <f>MIN(H$6,ROUND(AB37*(1+H$5),0))</f>
        <v/>
      </c>
      <c r="I38">
        <f>MIN(I$6,ROUND(AC37*(1+I$5),0))</f>
        <v/>
      </c>
      <c r="J38">
        <f>MIN(J$6,ROUND(AD37*(1+J$5),0))</f>
        <v/>
      </c>
      <c r="K38">
        <f>MIN(K$6,ROUND(AE37*(1+K$5),0))</f>
        <v/>
      </c>
      <c r="L38">
        <f>MIN(L$6,ROUND(AF37*(1+L$5),0))</f>
        <v/>
      </c>
      <c r="M38">
        <f>MAX(0,MIN(ROUND(W37*(1+C$5),0)-C38,$AJ38-0))</f>
        <v/>
      </c>
      <c r="N38">
        <f>MAX(0,MIN(ROUND(X37*(1+D$5),0)-D38,$AJ38-SUM($M38:M38)))</f>
        <v/>
      </c>
      <c r="O38">
        <f>MAX(0,MIN(ROUND(Y37*(1+E$5),0)-E38,$AJ38-SUM($M38:N38)))</f>
        <v/>
      </c>
      <c r="P38">
        <f>MAX(0,MIN(ROUND(Z37*(1+F$5),0)-F38,$AJ38-SUM($M38:O38)))</f>
        <v/>
      </c>
      <c r="Q38">
        <f>MAX(0,MIN(ROUND(AA37*(1+G$5),0)-G38,$AJ38-SUM($M38:P38)))</f>
        <v/>
      </c>
      <c r="R38">
        <f>MAX(0,MIN(ROUND(AB37*(1+H$5),0)-H38,$AJ38-SUM($M38:Q38)))</f>
        <v/>
      </c>
      <c r="S38">
        <f>MAX(0,MIN(ROUND(AC37*(1+I$5),0)-I38,$AJ38-SUM($M38:R38)))</f>
        <v/>
      </c>
      <c r="T38">
        <f>MAX(0,MIN(ROUND(AD37*(1+J$5),0)-J38,$AJ38-SUM($M38:S38)))</f>
        <v/>
      </c>
      <c r="U38">
        <f>MAX(0,MIN(ROUND(AE37*(1+K$5),0)-K38,$AJ38-SUM($M38:T38)))</f>
        <v/>
      </c>
      <c r="V38">
        <f>MAX(0,MIN(ROUND(AF37*(1+L$5),0)-L38,$AJ38-SUM($M38:U38)))</f>
        <v/>
      </c>
      <c r="W38">
        <f>MAX(0,ROUND(W37*(1+C$5),0)-C38-M38)</f>
        <v/>
      </c>
      <c r="X38">
        <f>MAX(0,ROUND(X37*(1+D$5),0)-D38-N38)</f>
        <v/>
      </c>
      <c r="Y38">
        <f>MAX(0,ROUND(Y37*(1+E$5),0)-E38-O38)</f>
        <v/>
      </c>
      <c r="Z38">
        <f>MAX(0,ROUND(Z37*(1+F$5),0)-F38-P38)</f>
        <v/>
      </c>
      <c r="AA38">
        <f>MAX(0,ROUND(AA37*(1+G$5),0)-G38-Q38)</f>
        <v/>
      </c>
      <c r="AB38">
        <f>MAX(0,ROUND(AB37*(1+H$5),0)-H38-R38)</f>
        <v/>
      </c>
      <c r="AC38">
        <f>MAX(0,ROUND(AC37*(1+I$5),0)-I38-S38)</f>
        <v/>
      </c>
      <c r="AD38">
        <f>MAX(0,ROUND(AD37*(1+J$5),0)-J38-T38)</f>
        <v/>
      </c>
      <c r="AE38">
        <f>MAX(0,ROUND(AE37*(1+K$5),0)-K38-U38)</f>
        <v/>
      </c>
      <c r="AF38">
        <f>MAX(0,ROUND(AF37*(1+L$5),0)-L38-V38)</f>
        <v/>
      </c>
      <c r="AG38">
        <f>AH38-(AI37-AI38)</f>
        <v/>
      </c>
      <c r="AH38">
        <f>SUM(C38:V38)</f>
        <v/>
      </c>
      <c r="AI38">
        <f>SUM(W38:AF38)</f>
        <v/>
      </c>
      <c r="AJ38">
        <f>MAX(0,PresTot-SUM(C38:L38))</f>
        <v/>
      </c>
      <c r="AK38">
        <f>IF(AI37&lt;=0,0,11-SUMPRODUCT(MAX((W37:AF37&gt;0)*(11-(COLUMN(W37:AF37)-COLUMN($V37))))))</f>
        <v/>
      </c>
    </row>
    <row r="39">
      <c r="A39" t="n">
        <v>29</v>
      </c>
      <c r="B39">
        <f>DATE(YEAR(InicioEf),MONTH(InicioEf)+A39-1,1)</f>
        <v/>
      </c>
      <c r="C39">
        <f>MIN(C$6,ROUND(W38*(1+C$5),0))</f>
        <v/>
      </c>
      <c r="D39">
        <f>MIN(D$6,ROUND(X38*(1+D$5),0))</f>
        <v/>
      </c>
      <c r="E39">
        <f>MIN(E$6,ROUND(Y38*(1+E$5),0))</f>
        <v/>
      </c>
      <c r="F39">
        <f>MIN(F$6,ROUND(Z38*(1+F$5),0))</f>
        <v/>
      </c>
      <c r="G39">
        <f>MIN(G$6,ROUND(AA38*(1+G$5),0))</f>
        <v/>
      </c>
      <c r="H39">
        <f>MIN(H$6,ROUND(AB38*(1+H$5),0))</f>
        <v/>
      </c>
      <c r="I39">
        <f>MIN(I$6,ROUND(AC38*(1+I$5),0))</f>
        <v/>
      </c>
      <c r="J39">
        <f>MIN(J$6,ROUND(AD38*(1+J$5),0))</f>
        <v/>
      </c>
      <c r="K39">
        <f>MIN(K$6,ROUND(AE38*(1+K$5),0))</f>
        <v/>
      </c>
      <c r="L39">
        <f>MIN(L$6,ROUND(AF38*(1+L$5),0))</f>
        <v/>
      </c>
      <c r="M39">
        <f>MAX(0,MIN(ROUND(W38*(1+C$5),0)-C39,$AJ39-0))</f>
        <v/>
      </c>
      <c r="N39">
        <f>MAX(0,MIN(ROUND(X38*(1+D$5),0)-D39,$AJ39-SUM($M39:M39)))</f>
        <v/>
      </c>
      <c r="O39">
        <f>MAX(0,MIN(ROUND(Y38*(1+E$5),0)-E39,$AJ39-SUM($M39:N39)))</f>
        <v/>
      </c>
      <c r="P39">
        <f>MAX(0,MIN(ROUND(Z38*(1+F$5),0)-F39,$AJ39-SUM($M39:O39)))</f>
        <v/>
      </c>
      <c r="Q39">
        <f>MAX(0,MIN(ROUND(AA38*(1+G$5),0)-G39,$AJ39-SUM($M39:P39)))</f>
        <v/>
      </c>
      <c r="R39">
        <f>MAX(0,MIN(ROUND(AB38*(1+H$5),0)-H39,$AJ39-SUM($M39:Q39)))</f>
        <v/>
      </c>
      <c r="S39">
        <f>MAX(0,MIN(ROUND(AC38*(1+I$5),0)-I39,$AJ39-SUM($M39:R39)))</f>
        <v/>
      </c>
      <c r="T39">
        <f>MAX(0,MIN(ROUND(AD38*(1+J$5),0)-J39,$AJ39-SUM($M39:S39)))</f>
        <v/>
      </c>
      <c r="U39">
        <f>MAX(0,MIN(ROUND(AE38*(1+K$5),0)-K39,$AJ39-SUM($M39:T39)))</f>
        <v/>
      </c>
      <c r="V39">
        <f>MAX(0,MIN(ROUND(AF38*(1+L$5),0)-L39,$AJ39-SUM($M39:U39)))</f>
        <v/>
      </c>
      <c r="W39">
        <f>MAX(0,ROUND(W38*(1+C$5),0)-C39-M39)</f>
        <v/>
      </c>
      <c r="X39">
        <f>MAX(0,ROUND(X38*(1+D$5),0)-D39-N39)</f>
        <v/>
      </c>
      <c r="Y39">
        <f>MAX(0,ROUND(Y38*(1+E$5),0)-E39-O39)</f>
        <v/>
      </c>
      <c r="Z39">
        <f>MAX(0,ROUND(Z38*(1+F$5),0)-F39-P39)</f>
        <v/>
      </c>
      <c r="AA39">
        <f>MAX(0,ROUND(AA38*(1+G$5),0)-G39-Q39)</f>
        <v/>
      </c>
      <c r="AB39">
        <f>MAX(0,ROUND(AB38*(1+H$5),0)-H39-R39)</f>
        <v/>
      </c>
      <c r="AC39">
        <f>MAX(0,ROUND(AC38*(1+I$5),0)-I39-S39)</f>
        <v/>
      </c>
      <c r="AD39">
        <f>MAX(0,ROUND(AD38*(1+J$5),0)-J39-T39)</f>
        <v/>
      </c>
      <c r="AE39">
        <f>MAX(0,ROUND(AE38*(1+K$5),0)-K39-U39)</f>
        <v/>
      </c>
      <c r="AF39">
        <f>MAX(0,ROUND(AF38*(1+L$5),0)-L39-V39)</f>
        <v/>
      </c>
      <c r="AG39">
        <f>AH39-(AI38-AI39)</f>
        <v/>
      </c>
      <c r="AH39">
        <f>SUM(C39:V39)</f>
        <v/>
      </c>
      <c r="AI39">
        <f>SUM(W39:AF39)</f>
        <v/>
      </c>
      <c r="AJ39">
        <f>MAX(0,PresTot-SUM(C39:L39))</f>
        <v/>
      </c>
      <c r="AK39">
        <f>IF(AI38&lt;=0,0,11-SUMPRODUCT(MAX((W38:AF38&gt;0)*(11-(COLUMN(W38:AF38)-COLUMN($V38))))))</f>
        <v/>
      </c>
    </row>
    <row r="40">
      <c r="A40" t="n">
        <v>30</v>
      </c>
      <c r="B40">
        <f>DATE(YEAR(InicioEf),MONTH(InicioEf)+A40-1,1)</f>
        <v/>
      </c>
      <c r="C40">
        <f>MIN(C$6,ROUND(W39*(1+C$5),0))</f>
        <v/>
      </c>
      <c r="D40">
        <f>MIN(D$6,ROUND(X39*(1+D$5),0))</f>
        <v/>
      </c>
      <c r="E40">
        <f>MIN(E$6,ROUND(Y39*(1+E$5),0))</f>
        <v/>
      </c>
      <c r="F40">
        <f>MIN(F$6,ROUND(Z39*(1+F$5),0))</f>
        <v/>
      </c>
      <c r="G40">
        <f>MIN(G$6,ROUND(AA39*(1+G$5),0))</f>
        <v/>
      </c>
      <c r="H40">
        <f>MIN(H$6,ROUND(AB39*(1+H$5),0))</f>
        <v/>
      </c>
      <c r="I40">
        <f>MIN(I$6,ROUND(AC39*(1+I$5),0))</f>
        <v/>
      </c>
      <c r="J40">
        <f>MIN(J$6,ROUND(AD39*(1+J$5),0))</f>
        <v/>
      </c>
      <c r="K40">
        <f>MIN(K$6,ROUND(AE39*(1+K$5),0))</f>
        <v/>
      </c>
      <c r="L40">
        <f>MIN(L$6,ROUND(AF39*(1+L$5),0))</f>
        <v/>
      </c>
      <c r="M40">
        <f>MAX(0,MIN(ROUND(W39*(1+C$5),0)-C40,$AJ40-0))</f>
        <v/>
      </c>
      <c r="N40">
        <f>MAX(0,MIN(ROUND(X39*(1+D$5),0)-D40,$AJ40-SUM($M40:M40)))</f>
        <v/>
      </c>
      <c r="O40">
        <f>MAX(0,MIN(ROUND(Y39*(1+E$5),0)-E40,$AJ40-SUM($M40:N40)))</f>
        <v/>
      </c>
      <c r="P40">
        <f>MAX(0,MIN(ROUND(Z39*(1+F$5),0)-F40,$AJ40-SUM($M40:O40)))</f>
        <v/>
      </c>
      <c r="Q40">
        <f>MAX(0,MIN(ROUND(AA39*(1+G$5),0)-G40,$AJ40-SUM($M40:P40)))</f>
        <v/>
      </c>
      <c r="R40">
        <f>MAX(0,MIN(ROUND(AB39*(1+H$5),0)-H40,$AJ40-SUM($M40:Q40)))</f>
        <v/>
      </c>
      <c r="S40">
        <f>MAX(0,MIN(ROUND(AC39*(1+I$5),0)-I40,$AJ40-SUM($M40:R40)))</f>
        <v/>
      </c>
      <c r="T40">
        <f>MAX(0,MIN(ROUND(AD39*(1+J$5),0)-J40,$AJ40-SUM($M40:S40)))</f>
        <v/>
      </c>
      <c r="U40">
        <f>MAX(0,MIN(ROUND(AE39*(1+K$5),0)-K40,$AJ40-SUM($M40:T40)))</f>
        <v/>
      </c>
      <c r="V40">
        <f>MAX(0,MIN(ROUND(AF39*(1+L$5),0)-L40,$AJ40-SUM($M40:U40)))</f>
        <v/>
      </c>
      <c r="W40">
        <f>MAX(0,ROUND(W39*(1+C$5),0)-C40-M40)</f>
        <v/>
      </c>
      <c r="X40">
        <f>MAX(0,ROUND(X39*(1+D$5),0)-D40-N40)</f>
        <v/>
      </c>
      <c r="Y40">
        <f>MAX(0,ROUND(Y39*(1+E$5),0)-E40-O40)</f>
        <v/>
      </c>
      <c r="Z40">
        <f>MAX(0,ROUND(Z39*(1+F$5),0)-F40-P40)</f>
        <v/>
      </c>
      <c r="AA40">
        <f>MAX(0,ROUND(AA39*(1+G$5),0)-G40-Q40)</f>
        <v/>
      </c>
      <c r="AB40">
        <f>MAX(0,ROUND(AB39*(1+H$5),0)-H40-R40)</f>
        <v/>
      </c>
      <c r="AC40">
        <f>MAX(0,ROUND(AC39*(1+I$5),0)-I40-S40)</f>
        <v/>
      </c>
      <c r="AD40">
        <f>MAX(0,ROUND(AD39*(1+J$5),0)-J40-T40)</f>
        <v/>
      </c>
      <c r="AE40">
        <f>MAX(0,ROUND(AE39*(1+K$5),0)-K40-U40)</f>
        <v/>
      </c>
      <c r="AF40">
        <f>MAX(0,ROUND(AF39*(1+L$5),0)-L40-V40)</f>
        <v/>
      </c>
      <c r="AG40">
        <f>AH40-(AI39-AI40)</f>
        <v/>
      </c>
      <c r="AH40">
        <f>SUM(C40:V40)</f>
        <v/>
      </c>
      <c r="AI40">
        <f>SUM(W40:AF40)</f>
        <v/>
      </c>
      <c r="AJ40">
        <f>MAX(0,PresTot-SUM(C40:L40))</f>
        <v/>
      </c>
      <c r="AK40">
        <f>IF(AI39&lt;=0,0,11-SUMPRODUCT(MAX((W39:AF39&gt;0)*(11-(COLUMN(W39:AF39)-COLUMN($V39))))))</f>
        <v/>
      </c>
    </row>
    <row r="41">
      <c r="A41" t="n">
        <v>31</v>
      </c>
      <c r="B41">
        <f>DATE(YEAR(InicioEf),MONTH(InicioEf)+A41-1,1)</f>
        <v/>
      </c>
      <c r="C41">
        <f>MIN(C$6,ROUND(W40*(1+C$5),0))</f>
        <v/>
      </c>
      <c r="D41">
        <f>MIN(D$6,ROUND(X40*(1+D$5),0))</f>
        <v/>
      </c>
      <c r="E41">
        <f>MIN(E$6,ROUND(Y40*(1+E$5),0))</f>
        <v/>
      </c>
      <c r="F41">
        <f>MIN(F$6,ROUND(Z40*(1+F$5),0))</f>
        <v/>
      </c>
      <c r="G41">
        <f>MIN(G$6,ROUND(AA40*(1+G$5),0))</f>
        <v/>
      </c>
      <c r="H41">
        <f>MIN(H$6,ROUND(AB40*(1+H$5),0))</f>
        <v/>
      </c>
      <c r="I41">
        <f>MIN(I$6,ROUND(AC40*(1+I$5),0))</f>
        <v/>
      </c>
      <c r="J41">
        <f>MIN(J$6,ROUND(AD40*(1+J$5),0))</f>
        <v/>
      </c>
      <c r="K41">
        <f>MIN(K$6,ROUND(AE40*(1+K$5),0))</f>
        <v/>
      </c>
      <c r="L41">
        <f>MIN(L$6,ROUND(AF40*(1+L$5),0))</f>
        <v/>
      </c>
      <c r="M41">
        <f>MAX(0,MIN(ROUND(W40*(1+C$5),0)-C41,$AJ41-0))</f>
        <v/>
      </c>
      <c r="N41">
        <f>MAX(0,MIN(ROUND(X40*(1+D$5),0)-D41,$AJ41-SUM($M41:M41)))</f>
        <v/>
      </c>
      <c r="O41">
        <f>MAX(0,MIN(ROUND(Y40*(1+E$5),0)-E41,$AJ41-SUM($M41:N41)))</f>
        <v/>
      </c>
      <c r="P41">
        <f>MAX(0,MIN(ROUND(Z40*(1+F$5),0)-F41,$AJ41-SUM($M41:O41)))</f>
        <v/>
      </c>
      <c r="Q41">
        <f>MAX(0,MIN(ROUND(AA40*(1+G$5),0)-G41,$AJ41-SUM($M41:P41)))</f>
        <v/>
      </c>
      <c r="R41">
        <f>MAX(0,MIN(ROUND(AB40*(1+H$5),0)-H41,$AJ41-SUM($M41:Q41)))</f>
        <v/>
      </c>
      <c r="S41">
        <f>MAX(0,MIN(ROUND(AC40*(1+I$5),0)-I41,$AJ41-SUM($M41:R41)))</f>
        <v/>
      </c>
      <c r="T41">
        <f>MAX(0,MIN(ROUND(AD40*(1+J$5),0)-J41,$AJ41-SUM($M41:S41)))</f>
        <v/>
      </c>
      <c r="U41">
        <f>MAX(0,MIN(ROUND(AE40*(1+K$5),0)-K41,$AJ41-SUM($M41:T41)))</f>
        <v/>
      </c>
      <c r="V41">
        <f>MAX(0,MIN(ROUND(AF40*(1+L$5),0)-L41,$AJ41-SUM($M41:U41)))</f>
        <v/>
      </c>
      <c r="W41">
        <f>MAX(0,ROUND(W40*(1+C$5),0)-C41-M41)</f>
        <v/>
      </c>
      <c r="X41">
        <f>MAX(0,ROUND(X40*(1+D$5),0)-D41-N41)</f>
        <v/>
      </c>
      <c r="Y41">
        <f>MAX(0,ROUND(Y40*(1+E$5),0)-E41-O41)</f>
        <v/>
      </c>
      <c r="Z41">
        <f>MAX(0,ROUND(Z40*(1+F$5),0)-F41-P41)</f>
        <v/>
      </c>
      <c r="AA41">
        <f>MAX(0,ROUND(AA40*(1+G$5),0)-G41-Q41)</f>
        <v/>
      </c>
      <c r="AB41">
        <f>MAX(0,ROUND(AB40*(1+H$5),0)-H41-R41)</f>
        <v/>
      </c>
      <c r="AC41">
        <f>MAX(0,ROUND(AC40*(1+I$5),0)-I41-S41)</f>
        <v/>
      </c>
      <c r="AD41">
        <f>MAX(0,ROUND(AD40*(1+J$5),0)-J41-T41)</f>
        <v/>
      </c>
      <c r="AE41">
        <f>MAX(0,ROUND(AE40*(1+K$5),0)-K41-U41)</f>
        <v/>
      </c>
      <c r="AF41">
        <f>MAX(0,ROUND(AF40*(1+L$5),0)-L41-V41)</f>
        <v/>
      </c>
      <c r="AG41">
        <f>AH41-(AI40-AI41)</f>
        <v/>
      </c>
      <c r="AH41">
        <f>SUM(C41:V41)</f>
        <v/>
      </c>
      <c r="AI41">
        <f>SUM(W41:AF41)</f>
        <v/>
      </c>
      <c r="AJ41">
        <f>MAX(0,PresTot-SUM(C41:L41))</f>
        <v/>
      </c>
      <c r="AK41">
        <f>IF(AI40&lt;=0,0,11-SUMPRODUCT(MAX((W40:AF40&gt;0)*(11-(COLUMN(W40:AF40)-COLUMN($V40))))))</f>
        <v/>
      </c>
    </row>
    <row r="42">
      <c r="A42" t="n">
        <v>32</v>
      </c>
      <c r="B42">
        <f>DATE(YEAR(InicioEf),MONTH(InicioEf)+A42-1,1)</f>
        <v/>
      </c>
      <c r="C42">
        <f>MIN(C$6,ROUND(W41*(1+C$5),0))</f>
        <v/>
      </c>
      <c r="D42">
        <f>MIN(D$6,ROUND(X41*(1+D$5),0))</f>
        <v/>
      </c>
      <c r="E42">
        <f>MIN(E$6,ROUND(Y41*(1+E$5),0))</f>
        <v/>
      </c>
      <c r="F42">
        <f>MIN(F$6,ROUND(Z41*(1+F$5),0))</f>
        <v/>
      </c>
      <c r="G42">
        <f>MIN(G$6,ROUND(AA41*(1+G$5),0))</f>
        <v/>
      </c>
      <c r="H42">
        <f>MIN(H$6,ROUND(AB41*(1+H$5),0))</f>
        <v/>
      </c>
      <c r="I42">
        <f>MIN(I$6,ROUND(AC41*(1+I$5),0))</f>
        <v/>
      </c>
      <c r="J42">
        <f>MIN(J$6,ROUND(AD41*(1+J$5),0))</f>
        <v/>
      </c>
      <c r="K42">
        <f>MIN(K$6,ROUND(AE41*(1+K$5),0))</f>
        <v/>
      </c>
      <c r="L42">
        <f>MIN(L$6,ROUND(AF41*(1+L$5),0))</f>
        <v/>
      </c>
      <c r="M42">
        <f>MAX(0,MIN(ROUND(W41*(1+C$5),0)-C42,$AJ42-0))</f>
        <v/>
      </c>
      <c r="N42">
        <f>MAX(0,MIN(ROUND(X41*(1+D$5),0)-D42,$AJ42-SUM($M42:M42)))</f>
        <v/>
      </c>
      <c r="O42">
        <f>MAX(0,MIN(ROUND(Y41*(1+E$5),0)-E42,$AJ42-SUM($M42:N42)))</f>
        <v/>
      </c>
      <c r="P42">
        <f>MAX(0,MIN(ROUND(Z41*(1+F$5),0)-F42,$AJ42-SUM($M42:O42)))</f>
        <v/>
      </c>
      <c r="Q42">
        <f>MAX(0,MIN(ROUND(AA41*(1+G$5),0)-G42,$AJ42-SUM($M42:P42)))</f>
        <v/>
      </c>
      <c r="R42">
        <f>MAX(0,MIN(ROUND(AB41*(1+H$5),0)-H42,$AJ42-SUM($M42:Q42)))</f>
        <v/>
      </c>
      <c r="S42">
        <f>MAX(0,MIN(ROUND(AC41*(1+I$5),0)-I42,$AJ42-SUM($M42:R42)))</f>
        <v/>
      </c>
      <c r="T42">
        <f>MAX(0,MIN(ROUND(AD41*(1+J$5),0)-J42,$AJ42-SUM($M42:S42)))</f>
        <v/>
      </c>
      <c r="U42">
        <f>MAX(0,MIN(ROUND(AE41*(1+K$5),0)-K42,$AJ42-SUM($M42:T42)))</f>
        <v/>
      </c>
      <c r="V42">
        <f>MAX(0,MIN(ROUND(AF41*(1+L$5),0)-L42,$AJ42-SUM($M42:U42)))</f>
        <v/>
      </c>
      <c r="W42">
        <f>MAX(0,ROUND(W41*(1+C$5),0)-C42-M42)</f>
        <v/>
      </c>
      <c r="X42">
        <f>MAX(0,ROUND(X41*(1+D$5),0)-D42-N42)</f>
        <v/>
      </c>
      <c r="Y42">
        <f>MAX(0,ROUND(Y41*(1+E$5),0)-E42-O42)</f>
        <v/>
      </c>
      <c r="Z42">
        <f>MAX(0,ROUND(Z41*(1+F$5),0)-F42-P42)</f>
        <v/>
      </c>
      <c r="AA42">
        <f>MAX(0,ROUND(AA41*(1+G$5),0)-G42-Q42)</f>
        <v/>
      </c>
      <c r="AB42">
        <f>MAX(0,ROUND(AB41*(1+H$5),0)-H42-R42)</f>
        <v/>
      </c>
      <c r="AC42">
        <f>MAX(0,ROUND(AC41*(1+I$5),0)-I42-S42)</f>
        <v/>
      </c>
      <c r="AD42">
        <f>MAX(0,ROUND(AD41*(1+J$5),0)-J42-T42)</f>
        <v/>
      </c>
      <c r="AE42">
        <f>MAX(0,ROUND(AE41*(1+K$5),0)-K42-U42)</f>
        <v/>
      </c>
      <c r="AF42">
        <f>MAX(0,ROUND(AF41*(1+L$5),0)-L42-V42)</f>
        <v/>
      </c>
      <c r="AG42">
        <f>AH42-(AI41-AI42)</f>
        <v/>
      </c>
      <c r="AH42">
        <f>SUM(C42:V42)</f>
        <v/>
      </c>
      <c r="AI42">
        <f>SUM(W42:AF42)</f>
        <v/>
      </c>
      <c r="AJ42">
        <f>MAX(0,PresTot-SUM(C42:L42))</f>
        <v/>
      </c>
      <c r="AK42">
        <f>IF(AI41&lt;=0,0,11-SUMPRODUCT(MAX((W41:AF41&gt;0)*(11-(COLUMN(W41:AF41)-COLUMN($V41))))))</f>
        <v/>
      </c>
    </row>
    <row r="43">
      <c r="A43" t="n">
        <v>33</v>
      </c>
      <c r="B43">
        <f>DATE(YEAR(InicioEf),MONTH(InicioEf)+A43-1,1)</f>
        <v/>
      </c>
      <c r="C43">
        <f>MIN(C$6,ROUND(W42*(1+C$5),0))</f>
        <v/>
      </c>
      <c r="D43">
        <f>MIN(D$6,ROUND(X42*(1+D$5),0))</f>
        <v/>
      </c>
      <c r="E43">
        <f>MIN(E$6,ROUND(Y42*(1+E$5),0))</f>
        <v/>
      </c>
      <c r="F43">
        <f>MIN(F$6,ROUND(Z42*(1+F$5),0))</f>
        <v/>
      </c>
      <c r="G43">
        <f>MIN(G$6,ROUND(AA42*(1+G$5),0))</f>
        <v/>
      </c>
      <c r="H43">
        <f>MIN(H$6,ROUND(AB42*(1+H$5),0))</f>
        <v/>
      </c>
      <c r="I43">
        <f>MIN(I$6,ROUND(AC42*(1+I$5),0))</f>
        <v/>
      </c>
      <c r="J43">
        <f>MIN(J$6,ROUND(AD42*(1+J$5),0))</f>
        <v/>
      </c>
      <c r="K43">
        <f>MIN(K$6,ROUND(AE42*(1+K$5),0))</f>
        <v/>
      </c>
      <c r="L43">
        <f>MIN(L$6,ROUND(AF42*(1+L$5),0))</f>
        <v/>
      </c>
      <c r="M43">
        <f>MAX(0,MIN(ROUND(W42*(1+C$5),0)-C43,$AJ43-0))</f>
        <v/>
      </c>
      <c r="N43">
        <f>MAX(0,MIN(ROUND(X42*(1+D$5),0)-D43,$AJ43-SUM($M43:M43)))</f>
        <v/>
      </c>
      <c r="O43">
        <f>MAX(0,MIN(ROUND(Y42*(1+E$5),0)-E43,$AJ43-SUM($M43:N43)))</f>
        <v/>
      </c>
      <c r="P43">
        <f>MAX(0,MIN(ROUND(Z42*(1+F$5),0)-F43,$AJ43-SUM($M43:O43)))</f>
        <v/>
      </c>
      <c r="Q43">
        <f>MAX(0,MIN(ROUND(AA42*(1+G$5),0)-G43,$AJ43-SUM($M43:P43)))</f>
        <v/>
      </c>
      <c r="R43">
        <f>MAX(0,MIN(ROUND(AB42*(1+H$5),0)-H43,$AJ43-SUM($M43:Q43)))</f>
        <v/>
      </c>
      <c r="S43">
        <f>MAX(0,MIN(ROUND(AC42*(1+I$5),0)-I43,$AJ43-SUM($M43:R43)))</f>
        <v/>
      </c>
      <c r="T43">
        <f>MAX(0,MIN(ROUND(AD42*(1+J$5),0)-J43,$AJ43-SUM($M43:S43)))</f>
        <v/>
      </c>
      <c r="U43">
        <f>MAX(0,MIN(ROUND(AE42*(1+K$5),0)-K43,$AJ43-SUM($M43:T43)))</f>
        <v/>
      </c>
      <c r="V43">
        <f>MAX(0,MIN(ROUND(AF42*(1+L$5),0)-L43,$AJ43-SUM($M43:U43)))</f>
        <v/>
      </c>
      <c r="W43">
        <f>MAX(0,ROUND(W42*(1+C$5),0)-C43-M43)</f>
        <v/>
      </c>
      <c r="X43">
        <f>MAX(0,ROUND(X42*(1+D$5),0)-D43-N43)</f>
        <v/>
      </c>
      <c r="Y43">
        <f>MAX(0,ROUND(Y42*(1+E$5),0)-E43-O43)</f>
        <v/>
      </c>
      <c r="Z43">
        <f>MAX(0,ROUND(Z42*(1+F$5),0)-F43-P43)</f>
        <v/>
      </c>
      <c r="AA43">
        <f>MAX(0,ROUND(AA42*(1+G$5),0)-G43-Q43)</f>
        <v/>
      </c>
      <c r="AB43">
        <f>MAX(0,ROUND(AB42*(1+H$5),0)-H43-R43)</f>
        <v/>
      </c>
      <c r="AC43">
        <f>MAX(0,ROUND(AC42*(1+I$5),0)-I43-S43)</f>
        <v/>
      </c>
      <c r="AD43">
        <f>MAX(0,ROUND(AD42*(1+J$5),0)-J43-T43)</f>
        <v/>
      </c>
      <c r="AE43">
        <f>MAX(0,ROUND(AE42*(1+K$5),0)-K43-U43)</f>
        <v/>
      </c>
      <c r="AF43">
        <f>MAX(0,ROUND(AF42*(1+L$5),0)-L43-V43)</f>
        <v/>
      </c>
      <c r="AG43">
        <f>AH43-(AI42-AI43)</f>
        <v/>
      </c>
      <c r="AH43">
        <f>SUM(C43:V43)</f>
        <v/>
      </c>
      <c r="AI43">
        <f>SUM(W43:AF43)</f>
        <v/>
      </c>
      <c r="AJ43">
        <f>MAX(0,PresTot-SUM(C43:L43))</f>
        <v/>
      </c>
      <c r="AK43">
        <f>IF(AI42&lt;=0,0,11-SUMPRODUCT(MAX((W42:AF42&gt;0)*(11-(COLUMN(W42:AF42)-COLUMN($V42))))))</f>
        <v/>
      </c>
    </row>
    <row r="44">
      <c r="A44" t="n">
        <v>34</v>
      </c>
      <c r="B44">
        <f>DATE(YEAR(InicioEf),MONTH(InicioEf)+A44-1,1)</f>
        <v/>
      </c>
      <c r="C44">
        <f>MIN(C$6,ROUND(W43*(1+C$5),0))</f>
        <v/>
      </c>
      <c r="D44">
        <f>MIN(D$6,ROUND(X43*(1+D$5),0))</f>
        <v/>
      </c>
      <c r="E44">
        <f>MIN(E$6,ROUND(Y43*(1+E$5),0))</f>
        <v/>
      </c>
      <c r="F44">
        <f>MIN(F$6,ROUND(Z43*(1+F$5),0))</f>
        <v/>
      </c>
      <c r="G44">
        <f>MIN(G$6,ROUND(AA43*(1+G$5),0))</f>
        <v/>
      </c>
      <c r="H44">
        <f>MIN(H$6,ROUND(AB43*(1+H$5),0))</f>
        <v/>
      </c>
      <c r="I44">
        <f>MIN(I$6,ROUND(AC43*(1+I$5),0))</f>
        <v/>
      </c>
      <c r="J44">
        <f>MIN(J$6,ROUND(AD43*(1+J$5),0))</f>
        <v/>
      </c>
      <c r="K44">
        <f>MIN(K$6,ROUND(AE43*(1+K$5),0))</f>
        <v/>
      </c>
      <c r="L44">
        <f>MIN(L$6,ROUND(AF43*(1+L$5),0))</f>
        <v/>
      </c>
      <c r="M44">
        <f>MAX(0,MIN(ROUND(W43*(1+C$5),0)-C44,$AJ44-0))</f>
        <v/>
      </c>
      <c r="N44">
        <f>MAX(0,MIN(ROUND(X43*(1+D$5),0)-D44,$AJ44-SUM($M44:M44)))</f>
        <v/>
      </c>
      <c r="O44">
        <f>MAX(0,MIN(ROUND(Y43*(1+E$5),0)-E44,$AJ44-SUM($M44:N44)))</f>
        <v/>
      </c>
      <c r="P44">
        <f>MAX(0,MIN(ROUND(Z43*(1+F$5),0)-F44,$AJ44-SUM($M44:O44)))</f>
        <v/>
      </c>
      <c r="Q44">
        <f>MAX(0,MIN(ROUND(AA43*(1+G$5),0)-G44,$AJ44-SUM($M44:P44)))</f>
        <v/>
      </c>
      <c r="R44">
        <f>MAX(0,MIN(ROUND(AB43*(1+H$5),0)-H44,$AJ44-SUM($M44:Q44)))</f>
        <v/>
      </c>
      <c r="S44">
        <f>MAX(0,MIN(ROUND(AC43*(1+I$5),0)-I44,$AJ44-SUM($M44:R44)))</f>
        <v/>
      </c>
      <c r="T44">
        <f>MAX(0,MIN(ROUND(AD43*(1+J$5),0)-J44,$AJ44-SUM($M44:S44)))</f>
        <v/>
      </c>
      <c r="U44">
        <f>MAX(0,MIN(ROUND(AE43*(1+K$5),0)-K44,$AJ44-SUM($M44:T44)))</f>
        <v/>
      </c>
      <c r="V44">
        <f>MAX(0,MIN(ROUND(AF43*(1+L$5),0)-L44,$AJ44-SUM($M44:U44)))</f>
        <v/>
      </c>
      <c r="W44">
        <f>MAX(0,ROUND(W43*(1+C$5),0)-C44-M44)</f>
        <v/>
      </c>
      <c r="X44">
        <f>MAX(0,ROUND(X43*(1+D$5),0)-D44-N44)</f>
        <v/>
      </c>
      <c r="Y44">
        <f>MAX(0,ROUND(Y43*(1+E$5),0)-E44-O44)</f>
        <v/>
      </c>
      <c r="Z44">
        <f>MAX(0,ROUND(Z43*(1+F$5),0)-F44-P44)</f>
        <v/>
      </c>
      <c r="AA44">
        <f>MAX(0,ROUND(AA43*(1+G$5),0)-G44-Q44)</f>
        <v/>
      </c>
      <c r="AB44">
        <f>MAX(0,ROUND(AB43*(1+H$5),0)-H44-R44)</f>
        <v/>
      </c>
      <c r="AC44">
        <f>MAX(0,ROUND(AC43*(1+I$5),0)-I44-S44)</f>
        <v/>
      </c>
      <c r="AD44">
        <f>MAX(0,ROUND(AD43*(1+J$5),0)-J44-T44)</f>
        <v/>
      </c>
      <c r="AE44">
        <f>MAX(0,ROUND(AE43*(1+K$5),0)-K44-U44)</f>
        <v/>
      </c>
      <c r="AF44">
        <f>MAX(0,ROUND(AF43*(1+L$5),0)-L44-V44)</f>
        <v/>
      </c>
      <c r="AG44">
        <f>AH44-(AI43-AI44)</f>
        <v/>
      </c>
      <c r="AH44">
        <f>SUM(C44:V44)</f>
        <v/>
      </c>
      <c r="AI44">
        <f>SUM(W44:AF44)</f>
        <v/>
      </c>
      <c r="AJ44">
        <f>MAX(0,PresTot-SUM(C44:L44))</f>
        <v/>
      </c>
      <c r="AK44">
        <f>IF(AI43&lt;=0,0,11-SUMPRODUCT(MAX((W43:AF43&gt;0)*(11-(COLUMN(W43:AF43)-COLUMN($V43))))))</f>
        <v/>
      </c>
    </row>
    <row r="45">
      <c r="A45" t="n">
        <v>35</v>
      </c>
      <c r="B45">
        <f>DATE(YEAR(InicioEf),MONTH(InicioEf)+A45-1,1)</f>
        <v/>
      </c>
      <c r="C45">
        <f>MIN(C$6,ROUND(W44*(1+C$5),0))</f>
        <v/>
      </c>
      <c r="D45">
        <f>MIN(D$6,ROUND(X44*(1+D$5),0))</f>
        <v/>
      </c>
      <c r="E45">
        <f>MIN(E$6,ROUND(Y44*(1+E$5),0))</f>
        <v/>
      </c>
      <c r="F45">
        <f>MIN(F$6,ROUND(Z44*(1+F$5),0))</f>
        <v/>
      </c>
      <c r="G45">
        <f>MIN(G$6,ROUND(AA44*(1+G$5),0))</f>
        <v/>
      </c>
      <c r="H45">
        <f>MIN(H$6,ROUND(AB44*(1+H$5),0))</f>
        <v/>
      </c>
      <c r="I45">
        <f>MIN(I$6,ROUND(AC44*(1+I$5),0))</f>
        <v/>
      </c>
      <c r="J45">
        <f>MIN(J$6,ROUND(AD44*(1+J$5),0))</f>
        <v/>
      </c>
      <c r="K45">
        <f>MIN(K$6,ROUND(AE44*(1+K$5),0))</f>
        <v/>
      </c>
      <c r="L45">
        <f>MIN(L$6,ROUND(AF44*(1+L$5),0))</f>
        <v/>
      </c>
      <c r="M45">
        <f>MAX(0,MIN(ROUND(W44*(1+C$5),0)-C45,$AJ45-0))</f>
        <v/>
      </c>
      <c r="N45">
        <f>MAX(0,MIN(ROUND(X44*(1+D$5),0)-D45,$AJ45-SUM($M45:M45)))</f>
        <v/>
      </c>
      <c r="O45">
        <f>MAX(0,MIN(ROUND(Y44*(1+E$5),0)-E45,$AJ45-SUM($M45:N45)))</f>
        <v/>
      </c>
      <c r="P45">
        <f>MAX(0,MIN(ROUND(Z44*(1+F$5),0)-F45,$AJ45-SUM($M45:O45)))</f>
        <v/>
      </c>
      <c r="Q45">
        <f>MAX(0,MIN(ROUND(AA44*(1+G$5),0)-G45,$AJ45-SUM($M45:P45)))</f>
        <v/>
      </c>
      <c r="R45">
        <f>MAX(0,MIN(ROUND(AB44*(1+H$5),0)-H45,$AJ45-SUM($M45:Q45)))</f>
        <v/>
      </c>
      <c r="S45">
        <f>MAX(0,MIN(ROUND(AC44*(1+I$5),0)-I45,$AJ45-SUM($M45:R45)))</f>
        <v/>
      </c>
      <c r="T45">
        <f>MAX(0,MIN(ROUND(AD44*(1+J$5),0)-J45,$AJ45-SUM($M45:S45)))</f>
        <v/>
      </c>
      <c r="U45">
        <f>MAX(0,MIN(ROUND(AE44*(1+K$5),0)-K45,$AJ45-SUM($M45:T45)))</f>
        <v/>
      </c>
      <c r="V45">
        <f>MAX(0,MIN(ROUND(AF44*(1+L$5),0)-L45,$AJ45-SUM($M45:U45)))</f>
        <v/>
      </c>
      <c r="W45">
        <f>MAX(0,ROUND(W44*(1+C$5),0)-C45-M45)</f>
        <v/>
      </c>
      <c r="X45">
        <f>MAX(0,ROUND(X44*(1+D$5),0)-D45-N45)</f>
        <v/>
      </c>
      <c r="Y45">
        <f>MAX(0,ROUND(Y44*(1+E$5),0)-E45-O45)</f>
        <v/>
      </c>
      <c r="Z45">
        <f>MAX(0,ROUND(Z44*(1+F$5),0)-F45-P45)</f>
        <v/>
      </c>
      <c r="AA45">
        <f>MAX(0,ROUND(AA44*(1+G$5),0)-G45-Q45)</f>
        <v/>
      </c>
      <c r="AB45">
        <f>MAX(0,ROUND(AB44*(1+H$5),0)-H45-R45)</f>
        <v/>
      </c>
      <c r="AC45">
        <f>MAX(0,ROUND(AC44*(1+I$5),0)-I45-S45)</f>
        <v/>
      </c>
      <c r="AD45">
        <f>MAX(0,ROUND(AD44*(1+J$5),0)-J45-T45)</f>
        <v/>
      </c>
      <c r="AE45">
        <f>MAX(0,ROUND(AE44*(1+K$5),0)-K45-U45)</f>
        <v/>
      </c>
      <c r="AF45">
        <f>MAX(0,ROUND(AF44*(1+L$5),0)-L45-V45)</f>
        <v/>
      </c>
      <c r="AG45">
        <f>AH45-(AI44-AI45)</f>
        <v/>
      </c>
      <c r="AH45">
        <f>SUM(C45:V45)</f>
        <v/>
      </c>
      <c r="AI45">
        <f>SUM(W45:AF45)</f>
        <v/>
      </c>
      <c r="AJ45">
        <f>MAX(0,PresTot-SUM(C45:L45))</f>
        <v/>
      </c>
      <c r="AK45">
        <f>IF(AI44&lt;=0,0,11-SUMPRODUCT(MAX((W44:AF44&gt;0)*(11-(COLUMN(W44:AF44)-COLUMN($V44))))))</f>
        <v/>
      </c>
    </row>
    <row r="46">
      <c r="A46" t="n">
        <v>36</v>
      </c>
      <c r="B46">
        <f>DATE(YEAR(InicioEf),MONTH(InicioEf)+A46-1,1)</f>
        <v/>
      </c>
      <c r="C46">
        <f>MIN(C$6,ROUND(W45*(1+C$5),0))</f>
        <v/>
      </c>
      <c r="D46">
        <f>MIN(D$6,ROUND(X45*(1+D$5),0))</f>
        <v/>
      </c>
      <c r="E46">
        <f>MIN(E$6,ROUND(Y45*(1+E$5),0))</f>
        <v/>
      </c>
      <c r="F46">
        <f>MIN(F$6,ROUND(Z45*(1+F$5),0))</f>
        <v/>
      </c>
      <c r="G46">
        <f>MIN(G$6,ROUND(AA45*(1+G$5),0))</f>
        <v/>
      </c>
      <c r="H46">
        <f>MIN(H$6,ROUND(AB45*(1+H$5),0))</f>
        <v/>
      </c>
      <c r="I46">
        <f>MIN(I$6,ROUND(AC45*(1+I$5),0))</f>
        <v/>
      </c>
      <c r="J46">
        <f>MIN(J$6,ROUND(AD45*(1+J$5),0))</f>
        <v/>
      </c>
      <c r="K46">
        <f>MIN(K$6,ROUND(AE45*(1+K$5),0))</f>
        <v/>
      </c>
      <c r="L46">
        <f>MIN(L$6,ROUND(AF45*(1+L$5),0))</f>
        <v/>
      </c>
      <c r="M46">
        <f>MAX(0,MIN(ROUND(W45*(1+C$5),0)-C46,$AJ46-0))</f>
        <v/>
      </c>
      <c r="N46">
        <f>MAX(0,MIN(ROUND(X45*(1+D$5),0)-D46,$AJ46-SUM($M46:M46)))</f>
        <v/>
      </c>
      <c r="O46">
        <f>MAX(0,MIN(ROUND(Y45*(1+E$5),0)-E46,$AJ46-SUM($M46:N46)))</f>
        <v/>
      </c>
      <c r="P46">
        <f>MAX(0,MIN(ROUND(Z45*(1+F$5),0)-F46,$AJ46-SUM($M46:O46)))</f>
        <v/>
      </c>
      <c r="Q46">
        <f>MAX(0,MIN(ROUND(AA45*(1+G$5),0)-G46,$AJ46-SUM($M46:P46)))</f>
        <v/>
      </c>
      <c r="R46">
        <f>MAX(0,MIN(ROUND(AB45*(1+H$5),0)-H46,$AJ46-SUM($M46:Q46)))</f>
        <v/>
      </c>
      <c r="S46">
        <f>MAX(0,MIN(ROUND(AC45*(1+I$5),0)-I46,$AJ46-SUM($M46:R46)))</f>
        <v/>
      </c>
      <c r="T46">
        <f>MAX(0,MIN(ROUND(AD45*(1+J$5),0)-J46,$AJ46-SUM($M46:S46)))</f>
        <v/>
      </c>
      <c r="U46">
        <f>MAX(0,MIN(ROUND(AE45*(1+K$5),0)-K46,$AJ46-SUM($M46:T46)))</f>
        <v/>
      </c>
      <c r="V46">
        <f>MAX(0,MIN(ROUND(AF45*(1+L$5),0)-L46,$AJ46-SUM($M46:U46)))</f>
        <v/>
      </c>
      <c r="W46">
        <f>MAX(0,ROUND(W45*(1+C$5),0)-C46-M46)</f>
        <v/>
      </c>
      <c r="X46">
        <f>MAX(0,ROUND(X45*(1+D$5),0)-D46-N46)</f>
        <v/>
      </c>
      <c r="Y46">
        <f>MAX(0,ROUND(Y45*(1+E$5),0)-E46-O46)</f>
        <v/>
      </c>
      <c r="Z46">
        <f>MAX(0,ROUND(Z45*(1+F$5),0)-F46-P46)</f>
        <v/>
      </c>
      <c r="AA46">
        <f>MAX(0,ROUND(AA45*(1+G$5),0)-G46-Q46)</f>
        <v/>
      </c>
      <c r="AB46">
        <f>MAX(0,ROUND(AB45*(1+H$5),0)-H46-R46)</f>
        <v/>
      </c>
      <c r="AC46">
        <f>MAX(0,ROUND(AC45*(1+I$5),0)-I46-S46)</f>
        <v/>
      </c>
      <c r="AD46">
        <f>MAX(0,ROUND(AD45*(1+J$5),0)-J46-T46)</f>
        <v/>
      </c>
      <c r="AE46">
        <f>MAX(0,ROUND(AE45*(1+K$5),0)-K46-U46)</f>
        <v/>
      </c>
      <c r="AF46">
        <f>MAX(0,ROUND(AF45*(1+L$5),0)-L46-V46)</f>
        <v/>
      </c>
      <c r="AG46">
        <f>AH46-(AI45-AI46)</f>
        <v/>
      </c>
      <c r="AH46">
        <f>SUM(C46:V46)</f>
        <v/>
      </c>
      <c r="AI46">
        <f>SUM(W46:AF46)</f>
        <v/>
      </c>
      <c r="AJ46">
        <f>MAX(0,PresTot-SUM(C46:L46))</f>
        <v/>
      </c>
      <c r="AK46">
        <f>IF(AI45&lt;=0,0,11-SUMPRODUCT(MAX((W45:AF45&gt;0)*(11-(COLUMN(W45:AF45)-COLUMN($V45))))))</f>
        <v/>
      </c>
    </row>
    <row r="47">
      <c r="A47" t="n">
        <v>37</v>
      </c>
      <c r="B47">
        <f>DATE(YEAR(InicioEf),MONTH(InicioEf)+A47-1,1)</f>
        <v/>
      </c>
      <c r="C47">
        <f>MIN(C$6,ROUND(W46*(1+C$5),0))</f>
        <v/>
      </c>
      <c r="D47">
        <f>MIN(D$6,ROUND(X46*(1+D$5),0))</f>
        <v/>
      </c>
      <c r="E47">
        <f>MIN(E$6,ROUND(Y46*(1+E$5),0))</f>
        <v/>
      </c>
      <c r="F47">
        <f>MIN(F$6,ROUND(Z46*(1+F$5),0))</f>
        <v/>
      </c>
      <c r="G47">
        <f>MIN(G$6,ROUND(AA46*(1+G$5),0))</f>
        <v/>
      </c>
      <c r="H47">
        <f>MIN(H$6,ROUND(AB46*(1+H$5),0))</f>
        <v/>
      </c>
      <c r="I47">
        <f>MIN(I$6,ROUND(AC46*(1+I$5),0))</f>
        <v/>
      </c>
      <c r="J47">
        <f>MIN(J$6,ROUND(AD46*(1+J$5),0))</f>
        <v/>
      </c>
      <c r="K47">
        <f>MIN(K$6,ROUND(AE46*(1+K$5),0))</f>
        <v/>
      </c>
      <c r="L47">
        <f>MIN(L$6,ROUND(AF46*(1+L$5),0))</f>
        <v/>
      </c>
      <c r="M47">
        <f>MAX(0,MIN(ROUND(W46*(1+C$5),0)-C47,$AJ47-0))</f>
        <v/>
      </c>
      <c r="N47">
        <f>MAX(0,MIN(ROUND(X46*(1+D$5),0)-D47,$AJ47-SUM($M47:M47)))</f>
        <v/>
      </c>
      <c r="O47">
        <f>MAX(0,MIN(ROUND(Y46*(1+E$5),0)-E47,$AJ47-SUM($M47:N47)))</f>
        <v/>
      </c>
      <c r="P47">
        <f>MAX(0,MIN(ROUND(Z46*(1+F$5),0)-F47,$AJ47-SUM($M47:O47)))</f>
        <v/>
      </c>
      <c r="Q47">
        <f>MAX(0,MIN(ROUND(AA46*(1+G$5),0)-G47,$AJ47-SUM($M47:P47)))</f>
        <v/>
      </c>
      <c r="R47">
        <f>MAX(0,MIN(ROUND(AB46*(1+H$5),0)-H47,$AJ47-SUM($M47:Q47)))</f>
        <v/>
      </c>
      <c r="S47">
        <f>MAX(0,MIN(ROUND(AC46*(1+I$5),0)-I47,$AJ47-SUM($M47:R47)))</f>
        <v/>
      </c>
      <c r="T47">
        <f>MAX(0,MIN(ROUND(AD46*(1+J$5),0)-J47,$AJ47-SUM($M47:S47)))</f>
        <v/>
      </c>
      <c r="U47">
        <f>MAX(0,MIN(ROUND(AE46*(1+K$5),0)-K47,$AJ47-SUM($M47:T47)))</f>
        <v/>
      </c>
      <c r="V47">
        <f>MAX(0,MIN(ROUND(AF46*(1+L$5),0)-L47,$AJ47-SUM($M47:U47)))</f>
        <v/>
      </c>
      <c r="W47">
        <f>MAX(0,ROUND(W46*(1+C$5),0)-C47-M47)</f>
        <v/>
      </c>
      <c r="X47">
        <f>MAX(0,ROUND(X46*(1+D$5),0)-D47-N47)</f>
        <v/>
      </c>
      <c r="Y47">
        <f>MAX(0,ROUND(Y46*(1+E$5),0)-E47-O47)</f>
        <v/>
      </c>
      <c r="Z47">
        <f>MAX(0,ROUND(Z46*(1+F$5),0)-F47-P47)</f>
        <v/>
      </c>
      <c r="AA47">
        <f>MAX(0,ROUND(AA46*(1+G$5),0)-G47-Q47)</f>
        <v/>
      </c>
      <c r="AB47">
        <f>MAX(0,ROUND(AB46*(1+H$5),0)-H47-R47)</f>
        <v/>
      </c>
      <c r="AC47">
        <f>MAX(0,ROUND(AC46*(1+I$5),0)-I47-S47)</f>
        <v/>
      </c>
      <c r="AD47">
        <f>MAX(0,ROUND(AD46*(1+J$5),0)-J47-T47)</f>
        <v/>
      </c>
      <c r="AE47">
        <f>MAX(0,ROUND(AE46*(1+K$5),0)-K47-U47)</f>
        <v/>
      </c>
      <c r="AF47">
        <f>MAX(0,ROUND(AF46*(1+L$5),0)-L47-V47)</f>
        <v/>
      </c>
      <c r="AG47">
        <f>AH47-(AI46-AI47)</f>
        <v/>
      </c>
      <c r="AH47">
        <f>SUM(C47:V47)</f>
        <v/>
      </c>
      <c r="AI47">
        <f>SUM(W47:AF47)</f>
        <v/>
      </c>
      <c r="AJ47">
        <f>MAX(0,PresTot-SUM(C47:L47))</f>
        <v/>
      </c>
      <c r="AK47">
        <f>IF(AI46&lt;=0,0,11-SUMPRODUCT(MAX((W46:AF46&gt;0)*(11-(COLUMN(W46:AF46)-COLUMN($V46))))))</f>
        <v/>
      </c>
    </row>
    <row r="48">
      <c r="A48" t="n">
        <v>38</v>
      </c>
      <c r="B48">
        <f>DATE(YEAR(InicioEf),MONTH(InicioEf)+A48-1,1)</f>
        <v/>
      </c>
      <c r="C48">
        <f>MIN(C$6,ROUND(W47*(1+C$5),0))</f>
        <v/>
      </c>
      <c r="D48">
        <f>MIN(D$6,ROUND(X47*(1+D$5),0))</f>
        <v/>
      </c>
      <c r="E48">
        <f>MIN(E$6,ROUND(Y47*(1+E$5),0))</f>
        <v/>
      </c>
      <c r="F48">
        <f>MIN(F$6,ROUND(Z47*(1+F$5),0))</f>
        <v/>
      </c>
      <c r="G48">
        <f>MIN(G$6,ROUND(AA47*(1+G$5),0))</f>
        <v/>
      </c>
      <c r="H48">
        <f>MIN(H$6,ROUND(AB47*(1+H$5),0))</f>
        <v/>
      </c>
      <c r="I48">
        <f>MIN(I$6,ROUND(AC47*(1+I$5),0))</f>
        <v/>
      </c>
      <c r="J48">
        <f>MIN(J$6,ROUND(AD47*(1+J$5),0))</f>
        <v/>
      </c>
      <c r="K48">
        <f>MIN(K$6,ROUND(AE47*(1+K$5),0))</f>
        <v/>
      </c>
      <c r="L48">
        <f>MIN(L$6,ROUND(AF47*(1+L$5),0))</f>
        <v/>
      </c>
      <c r="M48">
        <f>MAX(0,MIN(ROUND(W47*(1+C$5),0)-C48,$AJ48-0))</f>
        <v/>
      </c>
      <c r="N48">
        <f>MAX(0,MIN(ROUND(X47*(1+D$5),0)-D48,$AJ48-SUM($M48:M48)))</f>
        <v/>
      </c>
      <c r="O48">
        <f>MAX(0,MIN(ROUND(Y47*(1+E$5),0)-E48,$AJ48-SUM($M48:N48)))</f>
        <v/>
      </c>
      <c r="P48">
        <f>MAX(0,MIN(ROUND(Z47*(1+F$5),0)-F48,$AJ48-SUM($M48:O48)))</f>
        <v/>
      </c>
      <c r="Q48">
        <f>MAX(0,MIN(ROUND(AA47*(1+G$5),0)-G48,$AJ48-SUM($M48:P48)))</f>
        <v/>
      </c>
      <c r="R48">
        <f>MAX(0,MIN(ROUND(AB47*(1+H$5),0)-H48,$AJ48-SUM($M48:Q48)))</f>
        <v/>
      </c>
      <c r="S48">
        <f>MAX(0,MIN(ROUND(AC47*(1+I$5),0)-I48,$AJ48-SUM($M48:R48)))</f>
        <v/>
      </c>
      <c r="T48">
        <f>MAX(0,MIN(ROUND(AD47*(1+J$5),0)-J48,$AJ48-SUM($M48:S48)))</f>
        <v/>
      </c>
      <c r="U48">
        <f>MAX(0,MIN(ROUND(AE47*(1+K$5),0)-K48,$AJ48-SUM($M48:T48)))</f>
        <v/>
      </c>
      <c r="V48">
        <f>MAX(0,MIN(ROUND(AF47*(1+L$5),0)-L48,$AJ48-SUM($M48:U48)))</f>
        <v/>
      </c>
      <c r="W48">
        <f>MAX(0,ROUND(W47*(1+C$5),0)-C48-M48)</f>
        <v/>
      </c>
      <c r="X48">
        <f>MAX(0,ROUND(X47*(1+D$5),0)-D48-N48)</f>
        <v/>
      </c>
      <c r="Y48">
        <f>MAX(0,ROUND(Y47*(1+E$5),0)-E48-O48)</f>
        <v/>
      </c>
      <c r="Z48">
        <f>MAX(0,ROUND(Z47*(1+F$5),0)-F48-P48)</f>
        <v/>
      </c>
      <c r="AA48">
        <f>MAX(0,ROUND(AA47*(1+G$5),0)-G48-Q48)</f>
        <v/>
      </c>
      <c r="AB48">
        <f>MAX(0,ROUND(AB47*(1+H$5),0)-H48-R48)</f>
        <v/>
      </c>
      <c r="AC48">
        <f>MAX(0,ROUND(AC47*(1+I$5),0)-I48-S48)</f>
        <v/>
      </c>
      <c r="AD48">
        <f>MAX(0,ROUND(AD47*(1+J$5),0)-J48-T48)</f>
        <v/>
      </c>
      <c r="AE48">
        <f>MAX(0,ROUND(AE47*(1+K$5),0)-K48-U48)</f>
        <v/>
      </c>
      <c r="AF48">
        <f>MAX(0,ROUND(AF47*(1+L$5),0)-L48-V48)</f>
        <v/>
      </c>
      <c r="AG48">
        <f>AH48-(AI47-AI48)</f>
        <v/>
      </c>
      <c r="AH48">
        <f>SUM(C48:V48)</f>
        <v/>
      </c>
      <c r="AI48">
        <f>SUM(W48:AF48)</f>
        <v/>
      </c>
      <c r="AJ48">
        <f>MAX(0,PresTot-SUM(C48:L48))</f>
        <v/>
      </c>
      <c r="AK48">
        <f>IF(AI47&lt;=0,0,11-SUMPRODUCT(MAX((W47:AF47&gt;0)*(11-(COLUMN(W47:AF47)-COLUMN($V47))))))</f>
        <v/>
      </c>
    </row>
    <row r="49">
      <c r="A49" t="n">
        <v>39</v>
      </c>
      <c r="B49">
        <f>DATE(YEAR(InicioEf),MONTH(InicioEf)+A49-1,1)</f>
        <v/>
      </c>
      <c r="C49">
        <f>MIN(C$6,ROUND(W48*(1+C$5),0))</f>
        <v/>
      </c>
      <c r="D49">
        <f>MIN(D$6,ROUND(X48*(1+D$5),0))</f>
        <v/>
      </c>
      <c r="E49">
        <f>MIN(E$6,ROUND(Y48*(1+E$5),0))</f>
        <v/>
      </c>
      <c r="F49">
        <f>MIN(F$6,ROUND(Z48*(1+F$5),0))</f>
        <v/>
      </c>
      <c r="G49">
        <f>MIN(G$6,ROUND(AA48*(1+G$5),0))</f>
        <v/>
      </c>
      <c r="H49">
        <f>MIN(H$6,ROUND(AB48*(1+H$5),0))</f>
        <v/>
      </c>
      <c r="I49">
        <f>MIN(I$6,ROUND(AC48*(1+I$5),0))</f>
        <v/>
      </c>
      <c r="J49">
        <f>MIN(J$6,ROUND(AD48*(1+J$5),0))</f>
        <v/>
      </c>
      <c r="K49">
        <f>MIN(K$6,ROUND(AE48*(1+K$5),0))</f>
        <v/>
      </c>
      <c r="L49">
        <f>MIN(L$6,ROUND(AF48*(1+L$5),0))</f>
        <v/>
      </c>
      <c r="M49">
        <f>MAX(0,MIN(ROUND(W48*(1+C$5),0)-C49,$AJ49-0))</f>
        <v/>
      </c>
      <c r="N49">
        <f>MAX(0,MIN(ROUND(X48*(1+D$5),0)-D49,$AJ49-SUM($M49:M49)))</f>
        <v/>
      </c>
      <c r="O49">
        <f>MAX(0,MIN(ROUND(Y48*(1+E$5),0)-E49,$AJ49-SUM($M49:N49)))</f>
        <v/>
      </c>
      <c r="P49">
        <f>MAX(0,MIN(ROUND(Z48*(1+F$5),0)-F49,$AJ49-SUM($M49:O49)))</f>
        <v/>
      </c>
      <c r="Q49">
        <f>MAX(0,MIN(ROUND(AA48*(1+G$5),0)-G49,$AJ49-SUM($M49:P49)))</f>
        <v/>
      </c>
      <c r="R49">
        <f>MAX(0,MIN(ROUND(AB48*(1+H$5),0)-H49,$AJ49-SUM($M49:Q49)))</f>
        <v/>
      </c>
      <c r="S49">
        <f>MAX(0,MIN(ROUND(AC48*(1+I$5),0)-I49,$AJ49-SUM($M49:R49)))</f>
        <v/>
      </c>
      <c r="T49">
        <f>MAX(0,MIN(ROUND(AD48*(1+J$5),0)-J49,$AJ49-SUM($M49:S49)))</f>
        <v/>
      </c>
      <c r="U49">
        <f>MAX(0,MIN(ROUND(AE48*(1+K$5),0)-K49,$AJ49-SUM($M49:T49)))</f>
        <v/>
      </c>
      <c r="V49">
        <f>MAX(0,MIN(ROUND(AF48*(1+L$5),0)-L49,$AJ49-SUM($M49:U49)))</f>
        <v/>
      </c>
      <c r="W49">
        <f>MAX(0,ROUND(W48*(1+C$5),0)-C49-M49)</f>
        <v/>
      </c>
      <c r="X49">
        <f>MAX(0,ROUND(X48*(1+D$5),0)-D49-N49)</f>
        <v/>
      </c>
      <c r="Y49">
        <f>MAX(0,ROUND(Y48*(1+E$5),0)-E49-O49)</f>
        <v/>
      </c>
      <c r="Z49">
        <f>MAX(0,ROUND(Z48*(1+F$5),0)-F49-P49)</f>
        <v/>
      </c>
      <c r="AA49">
        <f>MAX(0,ROUND(AA48*(1+G$5),0)-G49-Q49)</f>
        <v/>
      </c>
      <c r="AB49">
        <f>MAX(0,ROUND(AB48*(1+H$5),0)-H49-R49)</f>
        <v/>
      </c>
      <c r="AC49">
        <f>MAX(0,ROUND(AC48*(1+I$5),0)-I49-S49)</f>
        <v/>
      </c>
      <c r="AD49">
        <f>MAX(0,ROUND(AD48*(1+J$5),0)-J49-T49)</f>
        <v/>
      </c>
      <c r="AE49">
        <f>MAX(0,ROUND(AE48*(1+K$5),0)-K49-U49)</f>
        <v/>
      </c>
      <c r="AF49">
        <f>MAX(0,ROUND(AF48*(1+L$5),0)-L49-V49)</f>
        <v/>
      </c>
      <c r="AG49">
        <f>AH49-(AI48-AI49)</f>
        <v/>
      </c>
      <c r="AH49">
        <f>SUM(C49:V49)</f>
        <v/>
      </c>
      <c r="AI49">
        <f>SUM(W49:AF49)</f>
        <v/>
      </c>
      <c r="AJ49">
        <f>MAX(0,PresTot-SUM(C49:L49))</f>
        <v/>
      </c>
      <c r="AK49">
        <f>IF(AI48&lt;=0,0,11-SUMPRODUCT(MAX((W48:AF48&gt;0)*(11-(COLUMN(W48:AF48)-COLUMN($V48))))))</f>
        <v/>
      </c>
    </row>
    <row r="50">
      <c r="A50" t="n">
        <v>40</v>
      </c>
      <c r="B50">
        <f>DATE(YEAR(InicioEf),MONTH(InicioEf)+A50-1,1)</f>
        <v/>
      </c>
      <c r="C50">
        <f>MIN(C$6,ROUND(W49*(1+C$5),0))</f>
        <v/>
      </c>
      <c r="D50">
        <f>MIN(D$6,ROUND(X49*(1+D$5),0))</f>
        <v/>
      </c>
      <c r="E50">
        <f>MIN(E$6,ROUND(Y49*(1+E$5),0))</f>
        <v/>
      </c>
      <c r="F50">
        <f>MIN(F$6,ROUND(Z49*(1+F$5),0))</f>
        <v/>
      </c>
      <c r="G50">
        <f>MIN(G$6,ROUND(AA49*(1+G$5),0))</f>
        <v/>
      </c>
      <c r="H50">
        <f>MIN(H$6,ROUND(AB49*(1+H$5),0))</f>
        <v/>
      </c>
      <c r="I50">
        <f>MIN(I$6,ROUND(AC49*(1+I$5),0))</f>
        <v/>
      </c>
      <c r="J50">
        <f>MIN(J$6,ROUND(AD49*(1+J$5),0))</f>
        <v/>
      </c>
      <c r="K50">
        <f>MIN(K$6,ROUND(AE49*(1+K$5),0))</f>
        <v/>
      </c>
      <c r="L50">
        <f>MIN(L$6,ROUND(AF49*(1+L$5),0))</f>
        <v/>
      </c>
      <c r="M50">
        <f>MAX(0,MIN(ROUND(W49*(1+C$5),0)-C50,$AJ50-0))</f>
        <v/>
      </c>
      <c r="N50">
        <f>MAX(0,MIN(ROUND(X49*(1+D$5),0)-D50,$AJ50-SUM($M50:M50)))</f>
        <v/>
      </c>
      <c r="O50">
        <f>MAX(0,MIN(ROUND(Y49*(1+E$5),0)-E50,$AJ50-SUM($M50:N50)))</f>
        <v/>
      </c>
      <c r="P50">
        <f>MAX(0,MIN(ROUND(Z49*(1+F$5),0)-F50,$AJ50-SUM($M50:O50)))</f>
        <v/>
      </c>
      <c r="Q50">
        <f>MAX(0,MIN(ROUND(AA49*(1+G$5),0)-G50,$AJ50-SUM($M50:P50)))</f>
        <v/>
      </c>
      <c r="R50">
        <f>MAX(0,MIN(ROUND(AB49*(1+H$5),0)-H50,$AJ50-SUM($M50:Q50)))</f>
        <v/>
      </c>
      <c r="S50">
        <f>MAX(0,MIN(ROUND(AC49*(1+I$5),0)-I50,$AJ50-SUM($M50:R50)))</f>
        <v/>
      </c>
      <c r="T50">
        <f>MAX(0,MIN(ROUND(AD49*(1+J$5),0)-J50,$AJ50-SUM($M50:S50)))</f>
        <v/>
      </c>
      <c r="U50">
        <f>MAX(0,MIN(ROUND(AE49*(1+K$5),0)-K50,$AJ50-SUM($M50:T50)))</f>
        <v/>
      </c>
      <c r="V50">
        <f>MAX(0,MIN(ROUND(AF49*(1+L$5),0)-L50,$AJ50-SUM($M50:U50)))</f>
        <v/>
      </c>
      <c r="W50">
        <f>MAX(0,ROUND(W49*(1+C$5),0)-C50-M50)</f>
        <v/>
      </c>
      <c r="X50">
        <f>MAX(0,ROUND(X49*(1+D$5),0)-D50-N50)</f>
        <v/>
      </c>
      <c r="Y50">
        <f>MAX(0,ROUND(Y49*(1+E$5),0)-E50-O50)</f>
        <v/>
      </c>
      <c r="Z50">
        <f>MAX(0,ROUND(Z49*(1+F$5),0)-F50-P50)</f>
        <v/>
      </c>
      <c r="AA50">
        <f>MAX(0,ROUND(AA49*(1+G$5),0)-G50-Q50)</f>
        <v/>
      </c>
      <c r="AB50">
        <f>MAX(0,ROUND(AB49*(1+H$5),0)-H50-R50)</f>
        <v/>
      </c>
      <c r="AC50">
        <f>MAX(0,ROUND(AC49*(1+I$5),0)-I50-S50)</f>
        <v/>
      </c>
      <c r="AD50">
        <f>MAX(0,ROUND(AD49*(1+J$5),0)-J50-T50)</f>
        <v/>
      </c>
      <c r="AE50">
        <f>MAX(0,ROUND(AE49*(1+K$5),0)-K50-U50)</f>
        <v/>
      </c>
      <c r="AF50">
        <f>MAX(0,ROUND(AF49*(1+L$5),0)-L50-V50)</f>
        <v/>
      </c>
      <c r="AG50">
        <f>AH50-(AI49-AI50)</f>
        <v/>
      </c>
      <c r="AH50">
        <f>SUM(C50:V50)</f>
        <v/>
      </c>
      <c r="AI50">
        <f>SUM(W50:AF50)</f>
        <v/>
      </c>
      <c r="AJ50">
        <f>MAX(0,PresTot-SUM(C50:L50))</f>
        <v/>
      </c>
      <c r="AK50">
        <f>IF(AI49&lt;=0,0,11-SUMPRODUCT(MAX((W49:AF49&gt;0)*(11-(COLUMN(W49:AF49)-COLUMN($V49))))))</f>
        <v/>
      </c>
    </row>
    <row r="51">
      <c r="A51" t="n">
        <v>41</v>
      </c>
      <c r="B51">
        <f>DATE(YEAR(InicioEf),MONTH(InicioEf)+A51-1,1)</f>
        <v/>
      </c>
      <c r="C51">
        <f>MIN(C$6,ROUND(W50*(1+C$5),0))</f>
        <v/>
      </c>
      <c r="D51">
        <f>MIN(D$6,ROUND(X50*(1+D$5),0))</f>
        <v/>
      </c>
      <c r="E51">
        <f>MIN(E$6,ROUND(Y50*(1+E$5),0))</f>
        <v/>
      </c>
      <c r="F51">
        <f>MIN(F$6,ROUND(Z50*(1+F$5),0))</f>
        <v/>
      </c>
      <c r="G51">
        <f>MIN(G$6,ROUND(AA50*(1+G$5),0))</f>
        <v/>
      </c>
      <c r="H51">
        <f>MIN(H$6,ROUND(AB50*(1+H$5),0))</f>
        <v/>
      </c>
      <c r="I51">
        <f>MIN(I$6,ROUND(AC50*(1+I$5),0))</f>
        <v/>
      </c>
      <c r="J51">
        <f>MIN(J$6,ROUND(AD50*(1+J$5),0))</f>
        <v/>
      </c>
      <c r="K51">
        <f>MIN(K$6,ROUND(AE50*(1+K$5),0))</f>
        <v/>
      </c>
      <c r="L51">
        <f>MIN(L$6,ROUND(AF50*(1+L$5),0))</f>
        <v/>
      </c>
      <c r="M51">
        <f>MAX(0,MIN(ROUND(W50*(1+C$5),0)-C51,$AJ51-0))</f>
        <v/>
      </c>
      <c r="N51">
        <f>MAX(0,MIN(ROUND(X50*(1+D$5),0)-D51,$AJ51-SUM($M51:M51)))</f>
        <v/>
      </c>
      <c r="O51">
        <f>MAX(0,MIN(ROUND(Y50*(1+E$5),0)-E51,$AJ51-SUM($M51:N51)))</f>
        <v/>
      </c>
      <c r="P51">
        <f>MAX(0,MIN(ROUND(Z50*(1+F$5),0)-F51,$AJ51-SUM($M51:O51)))</f>
        <v/>
      </c>
      <c r="Q51">
        <f>MAX(0,MIN(ROUND(AA50*(1+G$5),0)-G51,$AJ51-SUM($M51:P51)))</f>
        <v/>
      </c>
      <c r="R51">
        <f>MAX(0,MIN(ROUND(AB50*(1+H$5),0)-H51,$AJ51-SUM($M51:Q51)))</f>
        <v/>
      </c>
      <c r="S51">
        <f>MAX(0,MIN(ROUND(AC50*(1+I$5),0)-I51,$AJ51-SUM($M51:R51)))</f>
        <v/>
      </c>
      <c r="T51">
        <f>MAX(0,MIN(ROUND(AD50*(1+J$5),0)-J51,$AJ51-SUM($M51:S51)))</f>
        <v/>
      </c>
      <c r="U51">
        <f>MAX(0,MIN(ROUND(AE50*(1+K$5),0)-K51,$AJ51-SUM($M51:T51)))</f>
        <v/>
      </c>
      <c r="V51">
        <f>MAX(0,MIN(ROUND(AF50*(1+L$5),0)-L51,$AJ51-SUM($M51:U51)))</f>
        <v/>
      </c>
      <c r="W51">
        <f>MAX(0,ROUND(W50*(1+C$5),0)-C51-M51)</f>
        <v/>
      </c>
      <c r="X51">
        <f>MAX(0,ROUND(X50*(1+D$5),0)-D51-N51)</f>
        <v/>
      </c>
      <c r="Y51">
        <f>MAX(0,ROUND(Y50*(1+E$5),0)-E51-O51)</f>
        <v/>
      </c>
      <c r="Z51">
        <f>MAX(0,ROUND(Z50*(1+F$5),0)-F51-P51)</f>
        <v/>
      </c>
      <c r="AA51">
        <f>MAX(0,ROUND(AA50*(1+G$5),0)-G51-Q51)</f>
        <v/>
      </c>
      <c r="AB51">
        <f>MAX(0,ROUND(AB50*(1+H$5),0)-H51-R51)</f>
        <v/>
      </c>
      <c r="AC51">
        <f>MAX(0,ROUND(AC50*(1+I$5),0)-I51-S51)</f>
        <v/>
      </c>
      <c r="AD51">
        <f>MAX(0,ROUND(AD50*(1+J$5),0)-J51-T51)</f>
        <v/>
      </c>
      <c r="AE51">
        <f>MAX(0,ROUND(AE50*(1+K$5),0)-K51-U51)</f>
        <v/>
      </c>
      <c r="AF51">
        <f>MAX(0,ROUND(AF50*(1+L$5),0)-L51-V51)</f>
        <v/>
      </c>
      <c r="AG51">
        <f>AH51-(AI50-AI51)</f>
        <v/>
      </c>
      <c r="AH51">
        <f>SUM(C51:V51)</f>
        <v/>
      </c>
      <c r="AI51">
        <f>SUM(W51:AF51)</f>
        <v/>
      </c>
      <c r="AJ51">
        <f>MAX(0,PresTot-SUM(C51:L51))</f>
        <v/>
      </c>
      <c r="AK51">
        <f>IF(AI50&lt;=0,0,11-SUMPRODUCT(MAX((W50:AF50&gt;0)*(11-(COLUMN(W50:AF50)-COLUMN($V50))))))</f>
        <v/>
      </c>
    </row>
    <row r="52">
      <c r="A52" t="n">
        <v>42</v>
      </c>
      <c r="B52">
        <f>DATE(YEAR(InicioEf),MONTH(InicioEf)+A52-1,1)</f>
        <v/>
      </c>
      <c r="C52">
        <f>MIN(C$6,ROUND(W51*(1+C$5),0))</f>
        <v/>
      </c>
      <c r="D52">
        <f>MIN(D$6,ROUND(X51*(1+D$5),0))</f>
        <v/>
      </c>
      <c r="E52">
        <f>MIN(E$6,ROUND(Y51*(1+E$5),0))</f>
        <v/>
      </c>
      <c r="F52">
        <f>MIN(F$6,ROUND(Z51*(1+F$5),0))</f>
        <v/>
      </c>
      <c r="G52">
        <f>MIN(G$6,ROUND(AA51*(1+G$5),0))</f>
        <v/>
      </c>
      <c r="H52">
        <f>MIN(H$6,ROUND(AB51*(1+H$5),0))</f>
        <v/>
      </c>
      <c r="I52">
        <f>MIN(I$6,ROUND(AC51*(1+I$5),0))</f>
        <v/>
      </c>
      <c r="J52">
        <f>MIN(J$6,ROUND(AD51*(1+J$5),0))</f>
        <v/>
      </c>
      <c r="K52">
        <f>MIN(K$6,ROUND(AE51*(1+K$5),0))</f>
        <v/>
      </c>
      <c r="L52">
        <f>MIN(L$6,ROUND(AF51*(1+L$5),0))</f>
        <v/>
      </c>
      <c r="M52">
        <f>MAX(0,MIN(ROUND(W51*(1+C$5),0)-C52,$AJ52-0))</f>
        <v/>
      </c>
      <c r="N52">
        <f>MAX(0,MIN(ROUND(X51*(1+D$5),0)-D52,$AJ52-SUM($M52:M52)))</f>
        <v/>
      </c>
      <c r="O52">
        <f>MAX(0,MIN(ROUND(Y51*(1+E$5),0)-E52,$AJ52-SUM($M52:N52)))</f>
        <v/>
      </c>
      <c r="P52">
        <f>MAX(0,MIN(ROUND(Z51*(1+F$5),0)-F52,$AJ52-SUM($M52:O52)))</f>
        <v/>
      </c>
      <c r="Q52">
        <f>MAX(0,MIN(ROUND(AA51*(1+G$5),0)-G52,$AJ52-SUM($M52:P52)))</f>
        <v/>
      </c>
      <c r="R52">
        <f>MAX(0,MIN(ROUND(AB51*(1+H$5),0)-H52,$AJ52-SUM($M52:Q52)))</f>
        <v/>
      </c>
      <c r="S52">
        <f>MAX(0,MIN(ROUND(AC51*(1+I$5),0)-I52,$AJ52-SUM($M52:R52)))</f>
        <v/>
      </c>
      <c r="T52">
        <f>MAX(0,MIN(ROUND(AD51*(1+J$5),0)-J52,$AJ52-SUM($M52:S52)))</f>
        <v/>
      </c>
      <c r="U52">
        <f>MAX(0,MIN(ROUND(AE51*(1+K$5),0)-K52,$AJ52-SUM($M52:T52)))</f>
        <v/>
      </c>
      <c r="V52">
        <f>MAX(0,MIN(ROUND(AF51*(1+L$5),0)-L52,$AJ52-SUM($M52:U52)))</f>
        <v/>
      </c>
      <c r="W52">
        <f>MAX(0,ROUND(W51*(1+C$5),0)-C52-M52)</f>
        <v/>
      </c>
      <c r="X52">
        <f>MAX(0,ROUND(X51*(1+D$5),0)-D52-N52)</f>
        <v/>
      </c>
      <c r="Y52">
        <f>MAX(0,ROUND(Y51*(1+E$5),0)-E52-O52)</f>
        <v/>
      </c>
      <c r="Z52">
        <f>MAX(0,ROUND(Z51*(1+F$5),0)-F52-P52)</f>
        <v/>
      </c>
      <c r="AA52">
        <f>MAX(0,ROUND(AA51*(1+G$5),0)-G52-Q52)</f>
        <v/>
      </c>
      <c r="AB52">
        <f>MAX(0,ROUND(AB51*(1+H$5),0)-H52-R52)</f>
        <v/>
      </c>
      <c r="AC52">
        <f>MAX(0,ROUND(AC51*(1+I$5),0)-I52-S52)</f>
        <v/>
      </c>
      <c r="AD52">
        <f>MAX(0,ROUND(AD51*(1+J$5),0)-J52-T52)</f>
        <v/>
      </c>
      <c r="AE52">
        <f>MAX(0,ROUND(AE51*(1+K$5),0)-K52-U52)</f>
        <v/>
      </c>
      <c r="AF52">
        <f>MAX(0,ROUND(AF51*(1+L$5),0)-L52-V52)</f>
        <v/>
      </c>
      <c r="AG52">
        <f>AH52-(AI51-AI52)</f>
        <v/>
      </c>
      <c r="AH52">
        <f>SUM(C52:V52)</f>
        <v/>
      </c>
      <c r="AI52">
        <f>SUM(W52:AF52)</f>
        <v/>
      </c>
      <c r="AJ52">
        <f>MAX(0,PresTot-SUM(C52:L52))</f>
        <v/>
      </c>
      <c r="AK52">
        <f>IF(AI51&lt;=0,0,11-SUMPRODUCT(MAX((W51:AF51&gt;0)*(11-(COLUMN(W51:AF51)-COLUMN($V51))))))</f>
        <v/>
      </c>
    </row>
    <row r="53">
      <c r="A53" t="n">
        <v>43</v>
      </c>
      <c r="B53">
        <f>DATE(YEAR(InicioEf),MONTH(InicioEf)+A53-1,1)</f>
        <v/>
      </c>
      <c r="C53">
        <f>MIN(C$6,ROUND(W52*(1+C$5),0))</f>
        <v/>
      </c>
      <c r="D53">
        <f>MIN(D$6,ROUND(X52*(1+D$5),0))</f>
        <v/>
      </c>
      <c r="E53">
        <f>MIN(E$6,ROUND(Y52*(1+E$5),0))</f>
        <v/>
      </c>
      <c r="F53">
        <f>MIN(F$6,ROUND(Z52*(1+F$5),0))</f>
        <v/>
      </c>
      <c r="G53">
        <f>MIN(G$6,ROUND(AA52*(1+G$5),0))</f>
        <v/>
      </c>
      <c r="H53">
        <f>MIN(H$6,ROUND(AB52*(1+H$5),0))</f>
        <v/>
      </c>
      <c r="I53">
        <f>MIN(I$6,ROUND(AC52*(1+I$5),0))</f>
        <v/>
      </c>
      <c r="J53">
        <f>MIN(J$6,ROUND(AD52*(1+J$5),0))</f>
        <v/>
      </c>
      <c r="K53">
        <f>MIN(K$6,ROUND(AE52*(1+K$5),0))</f>
        <v/>
      </c>
      <c r="L53">
        <f>MIN(L$6,ROUND(AF52*(1+L$5),0))</f>
        <v/>
      </c>
      <c r="M53">
        <f>MAX(0,MIN(ROUND(W52*(1+C$5),0)-C53,$AJ53-0))</f>
        <v/>
      </c>
      <c r="N53">
        <f>MAX(0,MIN(ROUND(X52*(1+D$5),0)-D53,$AJ53-SUM($M53:M53)))</f>
        <v/>
      </c>
      <c r="O53">
        <f>MAX(0,MIN(ROUND(Y52*(1+E$5),0)-E53,$AJ53-SUM($M53:N53)))</f>
        <v/>
      </c>
      <c r="P53">
        <f>MAX(0,MIN(ROUND(Z52*(1+F$5),0)-F53,$AJ53-SUM($M53:O53)))</f>
        <v/>
      </c>
      <c r="Q53">
        <f>MAX(0,MIN(ROUND(AA52*(1+G$5),0)-G53,$AJ53-SUM($M53:P53)))</f>
        <v/>
      </c>
      <c r="R53">
        <f>MAX(0,MIN(ROUND(AB52*(1+H$5),0)-H53,$AJ53-SUM($M53:Q53)))</f>
        <v/>
      </c>
      <c r="S53">
        <f>MAX(0,MIN(ROUND(AC52*(1+I$5),0)-I53,$AJ53-SUM($M53:R53)))</f>
        <v/>
      </c>
      <c r="T53">
        <f>MAX(0,MIN(ROUND(AD52*(1+J$5),0)-J53,$AJ53-SUM($M53:S53)))</f>
        <v/>
      </c>
      <c r="U53">
        <f>MAX(0,MIN(ROUND(AE52*(1+K$5),0)-K53,$AJ53-SUM($M53:T53)))</f>
        <v/>
      </c>
      <c r="V53">
        <f>MAX(0,MIN(ROUND(AF52*(1+L$5),0)-L53,$AJ53-SUM($M53:U53)))</f>
        <v/>
      </c>
      <c r="W53">
        <f>MAX(0,ROUND(W52*(1+C$5),0)-C53-M53)</f>
        <v/>
      </c>
      <c r="X53">
        <f>MAX(0,ROUND(X52*(1+D$5),0)-D53-N53)</f>
        <v/>
      </c>
      <c r="Y53">
        <f>MAX(0,ROUND(Y52*(1+E$5),0)-E53-O53)</f>
        <v/>
      </c>
      <c r="Z53">
        <f>MAX(0,ROUND(Z52*(1+F$5),0)-F53-P53)</f>
        <v/>
      </c>
      <c r="AA53">
        <f>MAX(0,ROUND(AA52*(1+G$5),0)-G53-Q53)</f>
        <v/>
      </c>
      <c r="AB53">
        <f>MAX(0,ROUND(AB52*(1+H$5),0)-H53-R53)</f>
        <v/>
      </c>
      <c r="AC53">
        <f>MAX(0,ROUND(AC52*(1+I$5),0)-I53-S53)</f>
        <v/>
      </c>
      <c r="AD53">
        <f>MAX(0,ROUND(AD52*(1+J$5),0)-J53-T53)</f>
        <v/>
      </c>
      <c r="AE53">
        <f>MAX(0,ROUND(AE52*(1+K$5),0)-K53-U53)</f>
        <v/>
      </c>
      <c r="AF53">
        <f>MAX(0,ROUND(AF52*(1+L$5),0)-L53-V53)</f>
        <v/>
      </c>
      <c r="AG53">
        <f>AH53-(AI52-AI53)</f>
        <v/>
      </c>
      <c r="AH53">
        <f>SUM(C53:V53)</f>
        <v/>
      </c>
      <c r="AI53">
        <f>SUM(W53:AF53)</f>
        <v/>
      </c>
      <c r="AJ53">
        <f>MAX(0,PresTot-SUM(C53:L53))</f>
        <v/>
      </c>
      <c r="AK53">
        <f>IF(AI52&lt;=0,0,11-SUMPRODUCT(MAX((W52:AF52&gt;0)*(11-(COLUMN(W52:AF52)-COLUMN($V52))))))</f>
        <v/>
      </c>
    </row>
    <row r="54">
      <c r="A54" t="n">
        <v>44</v>
      </c>
      <c r="B54">
        <f>DATE(YEAR(InicioEf),MONTH(InicioEf)+A54-1,1)</f>
        <v/>
      </c>
      <c r="C54">
        <f>MIN(C$6,ROUND(W53*(1+C$5),0))</f>
        <v/>
      </c>
      <c r="D54">
        <f>MIN(D$6,ROUND(X53*(1+D$5),0))</f>
        <v/>
      </c>
      <c r="E54">
        <f>MIN(E$6,ROUND(Y53*(1+E$5),0))</f>
        <v/>
      </c>
      <c r="F54">
        <f>MIN(F$6,ROUND(Z53*(1+F$5),0))</f>
        <v/>
      </c>
      <c r="G54">
        <f>MIN(G$6,ROUND(AA53*(1+G$5),0))</f>
        <v/>
      </c>
      <c r="H54">
        <f>MIN(H$6,ROUND(AB53*(1+H$5),0))</f>
        <v/>
      </c>
      <c r="I54">
        <f>MIN(I$6,ROUND(AC53*(1+I$5),0))</f>
        <v/>
      </c>
      <c r="J54">
        <f>MIN(J$6,ROUND(AD53*(1+J$5),0))</f>
        <v/>
      </c>
      <c r="K54">
        <f>MIN(K$6,ROUND(AE53*(1+K$5),0))</f>
        <v/>
      </c>
      <c r="L54">
        <f>MIN(L$6,ROUND(AF53*(1+L$5),0))</f>
        <v/>
      </c>
      <c r="M54">
        <f>MAX(0,MIN(ROUND(W53*(1+C$5),0)-C54,$AJ54-0))</f>
        <v/>
      </c>
      <c r="N54">
        <f>MAX(0,MIN(ROUND(X53*(1+D$5),0)-D54,$AJ54-SUM($M54:M54)))</f>
        <v/>
      </c>
      <c r="O54">
        <f>MAX(0,MIN(ROUND(Y53*(1+E$5),0)-E54,$AJ54-SUM($M54:N54)))</f>
        <v/>
      </c>
      <c r="P54">
        <f>MAX(0,MIN(ROUND(Z53*(1+F$5),0)-F54,$AJ54-SUM($M54:O54)))</f>
        <v/>
      </c>
      <c r="Q54">
        <f>MAX(0,MIN(ROUND(AA53*(1+G$5),0)-G54,$AJ54-SUM($M54:P54)))</f>
        <v/>
      </c>
      <c r="R54">
        <f>MAX(0,MIN(ROUND(AB53*(1+H$5),0)-H54,$AJ54-SUM($M54:Q54)))</f>
        <v/>
      </c>
      <c r="S54">
        <f>MAX(0,MIN(ROUND(AC53*(1+I$5),0)-I54,$AJ54-SUM($M54:R54)))</f>
        <v/>
      </c>
      <c r="T54">
        <f>MAX(0,MIN(ROUND(AD53*(1+J$5),0)-J54,$AJ54-SUM($M54:S54)))</f>
        <v/>
      </c>
      <c r="U54">
        <f>MAX(0,MIN(ROUND(AE53*(1+K$5),0)-K54,$AJ54-SUM($M54:T54)))</f>
        <v/>
      </c>
      <c r="V54">
        <f>MAX(0,MIN(ROUND(AF53*(1+L$5),0)-L54,$AJ54-SUM($M54:U54)))</f>
        <v/>
      </c>
      <c r="W54">
        <f>MAX(0,ROUND(W53*(1+C$5),0)-C54-M54)</f>
        <v/>
      </c>
      <c r="X54">
        <f>MAX(0,ROUND(X53*(1+D$5),0)-D54-N54)</f>
        <v/>
      </c>
      <c r="Y54">
        <f>MAX(0,ROUND(Y53*(1+E$5),0)-E54-O54)</f>
        <v/>
      </c>
      <c r="Z54">
        <f>MAX(0,ROUND(Z53*(1+F$5),0)-F54-P54)</f>
        <v/>
      </c>
      <c r="AA54">
        <f>MAX(0,ROUND(AA53*(1+G$5),0)-G54-Q54)</f>
        <v/>
      </c>
      <c r="AB54">
        <f>MAX(0,ROUND(AB53*(1+H$5),0)-H54-R54)</f>
        <v/>
      </c>
      <c r="AC54">
        <f>MAX(0,ROUND(AC53*(1+I$5),0)-I54-S54)</f>
        <v/>
      </c>
      <c r="AD54">
        <f>MAX(0,ROUND(AD53*(1+J$5),0)-J54-T54)</f>
        <v/>
      </c>
      <c r="AE54">
        <f>MAX(0,ROUND(AE53*(1+K$5),0)-K54-U54)</f>
        <v/>
      </c>
      <c r="AF54">
        <f>MAX(0,ROUND(AF53*(1+L$5),0)-L54-V54)</f>
        <v/>
      </c>
      <c r="AG54">
        <f>AH54-(AI53-AI54)</f>
        <v/>
      </c>
      <c r="AH54">
        <f>SUM(C54:V54)</f>
        <v/>
      </c>
      <c r="AI54">
        <f>SUM(W54:AF54)</f>
        <v/>
      </c>
      <c r="AJ54">
        <f>MAX(0,PresTot-SUM(C54:L54))</f>
        <v/>
      </c>
      <c r="AK54">
        <f>IF(AI53&lt;=0,0,11-SUMPRODUCT(MAX((W53:AF53&gt;0)*(11-(COLUMN(W53:AF53)-COLUMN($V53))))))</f>
        <v/>
      </c>
    </row>
    <row r="55">
      <c r="A55" t="n">
        <v>45</v>
      </c>
      <c r="B55">
        <f>DATE(YEAR(InicioEf),MONTH(InicioEf)+A55-1,1)</f>
        <v/>
      </c>
      <c r="C55">
        <f>MIN(C$6,ROUND(W54*(1+C$5),0))</f>
        <v/>
      </c>
      <c r="D55">
        <f>MIN(D$6,ROUND(X54*(1+D$5),0))</f>
        <v/>
      </c>
      <c r="E55">
        <f>MIN(E$6,ROUND(Y54*(1+E$5),0))</f>
        <v/>
      </c>
      <c r="F55">
        <f>MIN(F$6,ROUND(Z54*(1+F$5),0))</f>
        <v/>
      </c>
      <c r="G55">
        <f>MIN(G$6,ROUND(AA54*(1+G$5),0))</f>
        <v/>
      </c>
      <c r="H55">
        <f>MIN(H$6,ROUND(AB54*(1+H$5),0))</f>
        <v/>
      </c>
      <c r="I55">
        <f>MIN(I$6,ROUND(AC54*(1+I$5),0))</f>
        <v/>
      </c>
      <c r="J55">
        <f>MIN(J$6,ROUND(AD54*(1+J$5),0))</f>
        <v/>
      </c>
      <c r="K55">
        <f>MIN(K$6,ROUND(AE54*(1+K$5),0))</f>
        <v/>
      </c>
      <c r="L55">
        <f>MIN(L$6,ROUND(AF54*(1+L$5),0))</f>
        <v/>
      </c>
      <c r="M55">
        <f>MAX(0,MIN(ROUND(W54*(1+C$5),0)-C55,$AJ55-0))</f>
        <v/>
      </c>
      <c r="N55">
        <f>MAX(0,MIN(ROUND(X54*(1+D$5),0)-D55,$AJ55-SUM($M55:M55)))</f>
        <v/>
      </c>
      <c r="O55">
        <f>MAX(0,MIN(ROUND(Y54*(1+E$5),0)-E55,$AJ55-SUM($M55:N55)))</f>
        <v/>
      </c>
      <c r="P55">
        <f>MAX(0,MIN(ROUND(Z54*(1+F$5),0)-F55,$AJ55-SUM($M55:O55)))</f>
        <v/>
      </c>
      <c r="Q55">
        <f>MAX(0,MIN(ROUND(AA54*(1+G$5),0)-G55,$AJ55-SUM($M55:P55)))</f>
        <v/>
      </c>
      <c r="R55">
        <f>MAX(0,MIN(ROUND(AB54*(1+H$5),0)-H55,$AJ55-SUM($M55:Q55)))</f>
        <v/>
      </c>
      <c r="S55">
        <f>MAX(0,MIN(ROUND(AC54*(1+I$5),0)-I55,$AJ55-SUM($M55:R55)))</f>
        <v/>
      </c>
      <c r="T55">
        <f>MAX(0,MIN(ROUND(AD54*(1+J$5),0)-J55,$AJ55-SUM($M55:S55)))</f>
        <v/>
      </c>
      <c r="U55">
        <f>MAX(0,MIN(ROUND(AE54*(1+K$5),0)-K55,$AJ55-SUM($M55:T55)))</f>
        <v/>
      </c>
      <c r="V55">
        <f>MAX(0,MIN(ROUND(AF54*(1+L$5),0)-L55,$AJ55-SUM($M55:U55)))</f>
        <v/>
      </c>
      <c r="W55">
        <f>MAX(0,ROUND(W54*(1+C$5),0)-C55-M55)</f>
        <v/>
      </c>
      <c r="X55">
        <f>MAX(0,ROUND(X54*(1+D$5),0)-D55-N55)</f>
        <v/>
      </c>
      <c r="Y55">
        <f>MAX(0,ROUND(Y54*(1+E$5),0)-E55-O55)</f>
        <v/>
      </c>
      <c r="Z55">
        <f>MAX(0,ROUND(Z54*(1+F$5),0)-F55-P55)</f>
        <v/>
      </c>
      <c r="AA55">
        <f>MAX(0,ROUND(AA54*(1+G$5),0)-G55-Q55)</f>
        <v/>
      </c>
      <c r="AB55">
        <f>MAX(0,ROUND(AB54*(1+H$5),0)-H55-R55)</f>
        <v/>
      </c>
      <c r="AC55">
        <f>MAX(0,ROUND(AC54*(1+I$5),0)-I55-S55)</f>
        <v/>
      </c>
      <c r="AD55">
        <f>MAX(0,ROUND(AD54*(1+J$5),0)-J55-T55)</f>
        <v/>
      </c>
      <c r="AE55">
        <f>MAX(0,ROUND(AE54*(1+K$5),0)-K55-U55)</f>
        <v/>
      </c>
      <c r="AF55">
        <f>MAX(0,ROUND(AF54*(1+L$5),0)-L55-V55)</f>
        <v/>
      </c>
      <c r="AG55">
        <f>AH55-(AI54-AI55)</f>
        <v/>
      </c>
      <c r="AH55">
        <f>SUM(C55:V55)</f>
        <v/>
      </c>
      <c r="AI55">
        <f>SUM(W55:AF55)</f>
        <v/>
      </c>
      <c r="AJ55">
        <f>MAX(0,PresTot-SUM(C55:L55))</f>
        <v/>
      </c>
      <c r="AK55">
        <f>IF(AI54&lt;=0,0,11-SUMPRODUCT(MAX((W54:AF54&gt;0)*(11-(COLUMN(W54:AF54)-COLUMN($V54))))))</f>
        <v/>
      </c>
    </row>
    <row r="56">
      <c r="A56" t="n">
        <v>46</v>
      </c>
      <c r="B56">
        <f>DATE(YEAR(InicioEf),MONTH(InicioEf)+A56-1,1)</f>
        <v/>
      </c>
      <c r="C56">
        <f>MIN(C$6,ROUND(W55*(1+C$5),0))</f>
        <v/>
      </c>
      <c r="D56">
        <f>MIN(D$6,ROUND(X55*(1+D$5),0))</f>
        <v/>
      </c>
      <c r="E56">
        <f>MIN(E$6,ROUND(Y55*(1+E$5),0))</f>
        <v/>
      </c>
      <c r="F56">
        <f>MIN(F$6,ROUND(Z55*(1+F$5),0))</f>
        <v/>
      </c>
      <c r="G56">
        <f>MIN(G$6,ROUND(AA55*(1+G$5),0))</f>
        <v/>
      </c>
      <c r="H56">
        <f>MIN(H$6,ROUND(AB55*(1+H$5),0))</f>
        <v/>
      </c>
      <c r="I56">
        <f>MIN(I$6,ROUND(AC55*(1+I$5),0))</f>
        <v/>
      </c>
      <c r="J56">
        <f>MIN(J$6,ROUND(AD55*(1+J$5),0))</f>
        <v/>
      </c>
      <c r="K56">
        <f>MIN(K$6,ROUND(AE55*(1+K$5),0))</f>
        <v/>
      </c>
      <c r="L56">
        <f>MIN(L$6,ROUND(AF55*(1+L$5),0))</f>
        <v/>
      </c>
      <c r="M56">
        <f>MAX(0,MIN(ROUND(W55*(1+C$5),0)-C56,$AJ56-0))</f>
        <v/>
      </c>
      <c r="N56">
        <f>MAX(0,MIN(ROUND(X55*(1+D$5),0)-D56,$AJ56-SUM($M56:M56)))</f>
        <v/>
      </c>
      <c r="O56">
        <f>MAX(0,MIN(ROUND(Y55*(1+E$5),0)-E56,$AJ56-SUM($M56:N56)))</f>
        <v/>
      </c>
      <c r="P56">
        <f>MAX(0,MIN(ROUND(Z55*(1+F$5),0)-F56,$AJ56-SUM($M56:O56)))</f>
        <v/>
      </c>
      <c r="Q56">
        <f>MAX(0,MIN(ROUND(AA55*(1+G$5),0)-G56,$AJ56-SUM($M56:P56)))</f>
        <v/>
      </c>
      <c r="R56">
        <f>MAX(0,MIN(ROUND(AB55*(1+H$5),0)-H56,$AJ56-SUM($M56:Q56)))</f>
        <v/>
      </c>
      <c r="S56">
        <f>MAX(0,MIN(ROUND(AC55*(1+I$5),0)-I56,$AJ56-SUM($M56:R56)))</f>
        <v/>
      </c>
      <c r="T56">
        <f>MAX(0,MIN(ROUND(AD55*(1+J$5),0)-J56,$AJ56-SUM($M56:S56)))</f>
        <v/>
      </c>
      <c r="U56">
        <f>MAX(0,MIN(ROUND(AE55*(1+K$5),0)-K56,$AJ56-SUM($M56:T56)))</f>
        <v/>
      </c>
      <c r="V56">
        <f>MAX(0,MIN(ROUND(AF55*(1+L$5),0)-L56,$AJ56-SUM($M56:U56)))</f>
        <v/>
      </c>
      <c r="W56">
        <f>MAX(0,ROUND(W55*(1+C$5),0)-C56-M56)</f>
        <v/>
      </c>
      <c r="X56">
        <f>MAX(0,ROUND(X55*(1+D$5),0)-D56-N56)</f>
        <v/>
      </c>
      <c r="Y56">
        <f>MAX(0,ROUND(Y55*(1+E$5),0)-E56-O56)</f>
        <v/>
      </c>
      <c r="Z56">
        <f>MAX(0,ROUND(Z55*(1+F$5),0)-F56-P56)</f>
        <v/>
      </c>
      <c r="AA56">
        <f>MAX(0,ROUND(AA55*(1+G$5),0)-G56-Q56)</f>
        <v/>
      </c>
      <c r="AB56">
        <f>MAX(0,ROUND(AB55*(1+H$5),0)-H56-R56)</f>
        <v/>
      </c>
      <c r="AC56">
        <f>MAX(0,ROUND(AC55*(1+I$5),0)-I56-S56)</f>
        <v/>
      </c>
      <c r="AD56">
        <f>MAX(0,ROUND(AD55*(1+J$5),0)-J56-T56)</f>
        <v/>
      </c>
      <c r="AE56">
        <f>MAX(0,ROUND(AE55*(1+K$5),0)-K56-U56)</f>
        <v/>
      </c>
      <c r="AF56">
        <f>MAX(0,ROUND(AF55*(1+L$5),0)-L56-V56)</f>
        <v/>
      </c>
      <c r="AG56">
        <f>AH56-(AI55-AI56)</f>
        <v/>
      </c>
      <c r="AH56">
        <f>SUM(C56:V56)</f>
        <v/>
      </c>
      <c r="AI56">
        <f>SUM(W56:AF56)</f>
        <v/>
      </c>
      <c r="AJ56">
        <f>MAX(0,PresTot-SUM(C56:L56))</f>
        <v/>
      </c>
      <c r="AK56">
        <f>IF(AI55&lt;=0,0,11-SUMPRODUCT(MAX((W55:AF55&gt;0)*(11-(COLUMN(W55:AF55)-COLUMN($V55))))))</f>
        <v/>
      </c>
    </row>
    <row r="57">
      <c r="A57" t="n">
        <v>47</v>
      </c>
      <c r="B57">
        <f>DATE(YEAR(InicioEf),MONTH(InicioEf)+A57-1,1)</f>
        <v/>
      </c>
      <c r="C57">
        <f>MIN(C$6,ROUND(W56*(1+C$5),0))</f>
        <v/>
      </c>
      <c r="D57">
        <f>MIN(D$6,ROUND(X56*(1+D$5),0))</f>
        <v/>
      </c>
      <c r="E57">
        <f>MIN(E$6,ROUND(Y56*(1+E$5),0))</f>
        <v/>
      </c>
      <c r="F57">
        <f>MIN(F$6,ROUND(Z56*(1+F$5),0))</f>
        <v/>
      </c>
      <c r="G57">
        <f>MIN(G$6,ROUND(AA56*(1+G$5),0))</f>
        <v/>
      </c>
      <c r="H57">
        <f>MIN(H$6,ROUND(AB56*(1+H$5),0))</f>
        <v/>
      </c>
      <c r="I57">
        <f>MIN(I$6,ROUND(AC56*(1+I$5),0))</f>
        <v/>
      </c>
      <c r="J57">
        <f>MIN(J$6,ROUND(AD56*(1+J$5),0))</f>
        <v/>
      </c>
      <c r="K57">
        <f>MIN(K$6,ROUND(AE56*(1+K$5),0))</f>
        <v/>
      </c>
      <c r="L57">
        <f>MIN(L$6,ROUND(AF56*(1+L$5),0))</f>
        <v/>
      </c>
      <c r="M57">
        <f>MAX(0,MIN(ROUND(W56*(1+C$5),0)-C57,$AJ57-0))</f>
        <v/>
      </c>
      <c r="N57">
        <f>MAX(0,MIN(ROUND(X56*(1+D$5),0)-D57,$AJ57-SUM($M57:M57)))</f>
        <v/>
      </c>
      <c r="O57">
        <f>MAX(0,MIN(ROUND(Y56*(1+E$5),0)-E57,$AJ57-SUM($M57:N57)))</f>
        <v/>
      </c>
      <c r="P57">
        <f>MAX(0,MIN(ROUND(Z56*(1+F$5),0)-F57,$AJ57-SUM($M57:O57)))</f>
        <v/>
      </c>
      <c r="Q57">
        <f>MAX(0,MIN(ROUND(AA56*(1+G$5),0)-G57,$AJ57-SUM($M57:P57)))</f>
        <v/>
      </c>
      <c r="R57">
        <f>MAX(0,MIN(ROUND(AB56*(1+H$5),0)-H57,$AJ57-SUM($M57:Q57)))</f>
        <v/>
      </c>
      <c r="S57">
        <f>MAX(0,MIN(ROUND(AC56*(1+I$5),0)-I57,$AJ57-SUM($M57:R57)))</f>
        <v/>
      </c>
      <c r="T57">
        <f>MAX(0,MIN(ROUND(AD56*(1+J$5),0)-J57,$AJ57-SUM($M57:S57)))</f>
        <v/>
      </c>
      <c r="U57">
        <f>MAX(0,MIN(ROUND(AE56*(1+K$5),0)-K57,$AJ57-SUM($M57:T57)))</f>
        <v/>
      </c>
      <c r="V57">
        <f>MAX(0,MIN(ROUND(AF56*(1+L$5),0)-L57,$AJ57-SUM($M57:U57)))</f>
        <v/>
      </c>
      <c r="W57">
        <f>MAX(0,ROUND(W56*(1+C$5),0)-C57-M57)</f>
        <v/>
      </c>
      <c r="X57">
        <f>MAX(0,ROUND(X56*(1+D$5),0)-D57-N57)</f>
        <v/>
      </c>
      <c r="Y57">
        <f>MAX(0,ROUND(Y56*(1+E$5),0)-E57-O57)</f>
        <v/>
      </c>
      <c r="Z57">
        <f>MAX(0,ROUND(Z56*(1+F$5),0)-F57-P57)</f>
        <v/>
      </c>
      <c r="AA57">
        <f>MAX(0,ROUND(AA56*(1+G$5),0)-G57-Q57)</f>
        <v/>
      </c>
      <c r="AB57">
        <f>MAX(0,ROUND(AB56*(1+H$5),0)-H57-R57)</f>
        <v/>
      </c>
      <c r="AC57">
        <f>MAX(0,ROUND(AC56*(1+I$5),0)-I57-S57)</f>
        <v/>
      </c>
      <c r="AD57">
        <f>MAX(0,ROUND(AD56*(1+J$5),0)-J57-T57)</f>
        <v/>
      </c>
      <c r="AE57">
        <f>MAX(0,ROUND(AE56*(1+K$5),0)-K57-U57)</f>
        <v/>
      </c>
      <c r="AF57">
        <f>MAX(0,ROUND(AF56*(1+L$5),0)-L57-V57)</f>
        <v/>
      </c>
      <c r="AG57">
        <f>AH57-(AI56-AI57)</f>
        <v/>
      </c>
      <c r="AH57">
        <f>SUM(C57:V57)</f>
        <v/>
      </c>
      <c r="AI57">
        <f>SUM(W57:AF57)</f>
        <v/>
      </c>
      <c r="AJ57">
        <f>MAX(0,PresTot-SUM(C57:L57))</f>
        <v/>
      </c>
      <c r="AK57">
        <f>IF(AI56&lt;=0,0,11-SUMPRODUCT(MAX((W56:AF56&gt;0)*(11-(COLUMN(W56:AF56)-COLUMN($V56))))))</f>
        <v/>
      </c>
    </row>
    <row r="58">
      <c r="A58" t="n">
        <v>48</v>
      </c>
      <c r="B58">
        <f>DATE(YEAR(InicioEf),MONTH(InicioEf)+A58-1,1)</f>
        <v/>
      </c>
      <c r="C58">
        <f>MIN(C$6,ROUND(W57*(1+C$5),0))</f>
        <v/>
      </c>
      <c r="D58">
        <f>MIN(D$6,ROUND(X57*(1+D$5),0))</f>
        <v/>
      </c>
      <c r="E58">
        <f>MIN(E$6,ROUND(Y57*(1+E$5),0))</f>
        <v/>
      </c>
      <c r="F58">
        <f>MIN(F$6,ROUND(Z57*(1+F$5),0))</f>
        <v/>
      </c>
      <c r="G58">
        <f>MIN(G$6,ROUND(AA57*(1+G$5),0))</f>
        <v/>
      </c>
      <c r="H58">
        <f>MIN(H$6,ROUND(AB57*(1+H$5),0))</f>
        <v/>
      </c>
      <c r="I58">
        <f>MIN(I$6,ROUND(AC57*(1+I$5),0))</f>
        <v/>
      </c>
      <c r="J58">
        <f>MIN(J$6,ROUND(AD57*(1+J$5),0))</f>
        <v/>
      </c>
      <c r="K58">
        <f>MIN(K$6,ROUND(AE57*(1+K$5),0))</f>
        <v/>
      </c>
      <c r="L58">
        <f>MIN(L$6,ROUND(AF57*(1+L$5),0))</f>
        <v/>
      </c>
      <c r="M58">
        <f>MAX(0,MIN(ROUND(W57*(1+C$5),0)-C58,$AJ58-0))</f>
        <v/>
      </c>
      <c r="N58">
        <f>MAX(0,MIN(ROUND(X57*(1+D$5),0)-D58,$AJ58-SUM($M58:M58)))</f>
        <v/>
      </c>
      <c r="O58">
        <f>MAX(0,MIN(ROUND(Y57*(1+E$5),0)-E58,$AJ58-SUM($M58:N58)))</f>
        <v/>
      </c>
      <c r="P58">
        <f>MAX(0,MIN(ROUND(Z57*(1+F$5),0)-F58,$AJ58-SUM($M58:O58)))</f>
        <v/>
      </c>
      <c r="Q58">
        <f>MAX(0,MIN(ROUND(AA57*(1+G$5),0)-G58,$AJ58-SUM($M58:P58)))</f>
        <v/>
      </c>
      <c r="R58">
        <f>MAX(0,MIN(ROUND(AB57*(1+H$5),0)-H58,$AJ58-SUM($M58:Q58)))</f>
        <v/>
      </c>
      <c r="S58">
        <f>MAX(0,MIN(ROUND(AC57*(1+I$5),0)-I58,$AJ58-SUM($M58:R58)))</f>
        <v/>
      </c>
      <c r="T58">
        <f>MAX(0,MIN(ROUND(AD57*(1+J$5),0)-J58,$AJ58-SUM($M58:S58)))</f>
        <v/>
      </c>
      <c r="U58">
        <f>MAX(0,MIN(ROUND(AE57*(1+K$5),0)-K58,$AJ58-SUM($M58:T58)))</f>
        <v/>
      </c>
      <c r="V58">
        <f>MAX(0,MIN(ROUND(AF57*(1+L$5),0)-L58,$AJ58-SUM($M58:U58)))</f>
        <v/>
      </c>
      <c r="W58">
        <f>MAX(0,ROUND(W57*(1+C$5),0)-C58-M58)</f>
        <v/>
      </c>
      <c r="X58">
        <f>MAX(0,ROUND(X57*(1+D$5),0)-D58-N58)</f>
        <v/>
      </c>
      <c r="Y58">
        <f>MAX(0,ROUND(Y57*(1+E$5),0)-E58-O58)</f>
        <v/>
      </c>
      <c r="Z58">
        <f>MAX(0,ROUND(Z57*(1+F$5),0)-F58-P58)</f>
        <v/>
      </c>
      <c r="AA58">
        <f>MAX(0,ROUND(AA57*(1+G$5),0)-G58-Q58)</f>
        <v/>
      </c>
      <c r="AB58">
        <f>MAX(0,ROUND(AB57*(1+H$5),0)-H58-R58)</f>
        <v/>
      </c>
      <c r="AC58">
        <f>MAX(0,ROUND(AC57*(1+I$5),0)-I58-S58)</f>
        <v/>
      </c>
      <c r="AD58">
        <f>MAX(0,ROUND(AD57*(1+J$5),0)-J58-T58)</f>
        <v/>
      </c>
      <c r="AE58">
        <f>MAX(0,ROUND(AE57*(1+K$5),0)-K58-U58)</f>
        <v/>
      </c>
      <c r="AF58">
        <f>MAX(0,ROUND(AF57*(1+L$5),0)-L58-V58)</f>
        <v/>
      </c>
      <c r="AG58">
        <f>AH58-(AI57-AI58)</f>
        <v/>
      </c>
      <c r="AH58">
        <f>SUM(C58:V58)</f>
        <v/>
      </c>
      <c r="AI58">
        <f>SUM(W58:AF58)</f>
        <v/>
      </c>
      <c r="AJ58">
        <f>MAX(0,PresTot-SUM(C58:L58))</f>
        <v/>
      </c>
      <c r="AK58">
        <f>IF(AI57&lt;=0,0,11-SUMPRODUCT(MAX((W57:AF57&gt;0)*(11-(COLUMN(W57:AF57)-COLUMN($V57))))))</f>
        <v/>
      </c>
    </row>
    <row r="59">
      <c r="A59" t="n">
        <v>49</v>
      </c>
      <c r="B59">
        <f>DATE(YEAR(InicioEf),MONTH(InicioEf)+A59-1,1)</f>
        <v/>
      </c>
      <c r="C59">
        <f>MIN(C$6,ROUND(W58*(1+C$5),0))</f>
        <v/>
      </c>
      <c r="D59">
        <f>MIN(D$6,ROUND(X58*(1+D$5),0))</f>
        <v/>
      </c>
      <c r="E59">
        <f>MIN(E$6,ROUND(Y58*(1+E$5),0))</f>
        <v/>
      </c>
      <c r="F59">
        <f>MIN(F$6,ROUND(Z58*(1+F$5),0))</f>
        <v/>
      </c>
      <c r="G59">
        <f>MIN(G$6,ROUND(AA58*(1+G$5),0))</f>
        <v/>
      </c>
      <c r="H59">
        <f>MIN(H$6,ROUND(AB58*(1+H$5),0))</f>
        <v/>
      </c>
      <c r="I59">
        <f>MIN(I$6,ROUND(AC58*(1+I$5),0))</f>
        <v/>
      </c>
      <c r="J59">
        <f>MIN(J$6,ROUND(AD58*(1+J$5),0))</f>
        <v/>
      </c>
      <c r="K59">
        <f>MIN(K$6,ROUND(AE58*(1+K$5),0))</f>
        <v/>
      </c>
      <c r="L59">
        <f>MIN(L$6,ROUND(AF58*(1+L$5),0))</f>
        <v/>
      </c>
      <c r="M59">
        <f>MAX(0,MIN(ROUND(W58*(1+C$5),0)-C59,$AJ59-0))</f>
        <v/>
      </c>
      <c r="N59">
        <f>MAX(0,MIN(ROUND(X58*(1+D$5),0)-D59,$AJ59-SUM($M59:M59)))</f>
        <v/>
      </c>
      <c r="O59">
        <f>MAX(0,MIN(ROUND(Y58*(1+E$5),0)-E59,$AJ59-SUM($M59:N59)))</f>
        <v/>
      </c>
      <c r="P59">
        <f>MAX(0,MIN(ROUND(Z58*(1+F$5),0)-F59,$AJ59-SUM($M59:O59)))</f>
        <v/>
      </c>
      <c r="Q59">
        <f>MAX(0,MIN(ROUND(AA58*(1+G$5),0)-G59,$AJ59-SUM($M59:P59)))</f>
        <v/>
      </c>
      <c r="R59">
        <f>MAX(0,MIN(ROUND(AB58*(1+H$5),0)-H59,$AJ59-SUM($M59:Q59)))</f>
        <v/>
      </c>
      <c r="S59">
        <f>MAX(0,MIN(ROUND(AC58*(1+I$5),0)-I59,$AJ59-SUM($M59:R59)))</f>
        <v/>
      </c>
      <c r="T59">
        <f>MAX(0,MIN(ROUND(AD58*(1+J$5),0)-J59,$AJ59-SUM($M59:S59)))</f>
        <v/>
      </c>
      <c r="U59">
        <f>MAX(0,MIN(ROUND(AE58*(1+K$5),0)-K59,$AJ59-SUM($M59:T59)))</f>
        <v/>
      </c>
      <c r="V59">
        <f>MAX(0,MIN(ROUND(AF58*(1+L$5),0)-L59,$AJ59-SUM($M59:U59)))</f>
        <v/>
      </c>
      <c r="W59">
        <f>MAX(0,ROUND(W58*(1+C$5),0)-C59-M59)</f>
        <v/>
      </c>
      <c r="X59">
        <f>MAX(0,ROUND(X58*(1+D$5),0)-D59-N59)</f>
        <v/>
      </c>
      <c r="Y59">
        <f>MAX(0,ROUND(Y58*(1+E$5),0)-E59-O59)</f>
        <v/>
      </c>
      <c r="Z59">
        <f>MAX(0,ROUND(Z58*(1+F$5),0)-F59-P59)</f>
        <v/>
      </c>
      <c r="AA59">
        <f>MAX(0,ROUND(AA58*(1+G$5),0)-G59-Q59)</f>
        <v/>
      </c>
      <c r="AB59">
        <f>MAX(0,ROUND(AB58*(1+H$5),0)-H59-R59)</f>
        <v/>
      </c>
      <c r="AC59">
        <f>MAX(0,ROUND(AC58*(1+I$5),0)-I59-S59)</f>
        <v/>
      </c>
      <c r="AD59">
        <f>MAX(0,ROUND(AD58*(1+J$5),0)-J59-T59)</f>
        <v/>
      </c>
      <c r="AE59">
        <f>MAX(0,ROUND(AE58*(1+K$5),0)-K59-U59)</f>
        <v/>
      </c>
      <c r="AF59">
        <f>MAX(0,ROUND(AF58*(1+L$5),0)-L59-V59)</f>
        <v/>
      </c>
      <c r="AG59">
        <f>AH59-(AI58-AI59)</f>
        <v/>
      </c>
      <c r="AH59">
        <f>SUM(C59:V59)</f>
        <v/>
      </c>
      <c r="AI59">
        <f>SUM(W59:AF59)</f>
        <v/>
      </c>
      <c r="AJ59">
        <f>MAX(0,PresTot-SUM(C59:L59))</f>
        <v/>
      </c>
      <c r="AK59">
        <f>IF(AI58&lt;=0,0,11-SUMPRODUCT(MAX((W58:AF58&gt;0)*(11-(COLUMN(W58:AF58)-COLUMN($V58))))))</f>
        <v/>
      </c>
    </row>
    <row r="60">
      <c r="A60" t="n">
        <v>50</v>
      </c>
      <c r="B60">
        <f>DATE(YEAR(InicioEf),MONTH(InicioEf)+A60-1,1)</f>
        <v/>
      </c>
      <c r="C60">
        <f>MIN(C$6,ROUND(W59*(1+C$5),0))</f>
        <v/>
      </c>
      <c r="D60">
        <f>MIN(D$6,ROUND(X59*(1+D$5),0))</f>
        <v/>
      </c>
      <c r="E60">
        <f>MIN(E$6,ROUND(Y59*(1+E$5),0))</f>
        <v/>
      </c>
      <c r="F60">
        <f>MIN(F$6,ROUND(Z59*(1+F$5),0))</f>
        <v/>
      </c>
      <c r="G60">
        <f>MIN(G$6,ROUND(AA59*(1+G$5),0))</f>
        <v/>
      </c>
      <c r="H60">
        <f>MIN(H$6,ROUND(AB59*(1+H$5),0))</f>
        <v/>
      </c>
      <c r="I60">
        <f>MIN(I$6,ROUND(AC59*(1+I$5),0))</f>
        <v/>
      </c>
      <c r="J60">
        <f>MIN(J$6,ROUND(AD59*(1+J$5),0))</f>
        <v/>
      </c>
      <c r="K60">
        <f>MIN(K$6,ROUND(AE59*(1+K$5),0))</f>
        <v/>
      </c>
      <c r="L60">
        <f>MIN(L$6,ROUND(AF59*(1+L$5),0))</f>
        <v/>
      </c>
      <c r="M60">
        <f>MAX(0,MIN(ROUND(W59*(1+C$5),0)-C60,$AJ60-0))</f>
        <v/>
      </c>
      <c r="N60">
        <f>MAX(0,MIN(ROUND(X59*(1+D$5),0)-D60,$AJ60-SUM($M60:M60)))</f>
        <v/>
      </c>
      <c r="O60">
        <f>MAX(0,MIN(ROUND(Y59*(1+E$5),0)-E60,$AJ60-SUM($M60:N60)))</f>
        <v/>
      </c>
      <c r="P60">
        <f>MAX(0,MIN(ROUND(Z59*(1+F$5),0)-F60,$AJ60-SUM($M60:O60)))</f>
        <v/>
      </c>
      <c r="Q60">
        <f>MAX(0,MIN(ROUND(AA59*(1+G$5),0)-G60,$AJ60-SUM($M60:P60)))</f>
        <v/>
      </c>
      <c r="R60">
        <f>MAX(0,MIN(ROUND(AB59*(1+H$5),0)-H60,$AJ60-SUM($M60:Q60)))</f>
        <v/>
      </c>
      <c r="S60">
        <f>MAX(0,MIN(ROUND(AC59*(1+I$5),0)-I60,$AJ60-SUM($M60:R60)))</f>
        <v/>
      </c>
      <c r="T60">
        <f>MAX(0,MIN(ROUND(AD59*(1+J$5),0)-J60,$AJ60-SUM($M60:S60)))</f>
        <v/>
      </c>
      <c r="U60">
        <f>MAX(0,MIN(ROUND(AE59*(1+K$5),0)-K60,$AJ60-SUM($M60:T60)))</f>
        <v/>
      </c>
      <c r="V60">
        <f>MAX(0,MIN(ROUND(AF59*(1+L$5),0)-L60,$AJ60-SUM($M60:U60)))</f>
        <v/>
      </c>
      <c r="W60">
        <f>MAX(0,ROUND(W59*(1+C$5),0)-C60-M60)</f>
        <v/>
      </c>
      <c r="X60">
        <f>MAX(0,ROUND(X59*(1+D$5),0)-D60-N60)</f>
        <v/>
      </c>
      <c r="Y60">
        <f>MAX(0,ROUND(Y59*(1+E$5),0)-E60-O60)</f>
        <v/>
      </c>
      <c r="Z60">
        <f>MAX(0,ROUND(Z59*(1+F$5),0)-F60-P60)</f>
        <v/>
      </c>
      <c r="AA60">
        <f>MAX(0,ROUND(AA59*(1+G$5),0)-G60-Q60)</f>
        <v/>
      </c>
      <c r="AB60">
        <f>MAX(0,ROUND(AB59*(1+H$5),0)-H60-R60)</f>
        <v/>
      </c>
      <c r="AC60">
        <f>MAX(0,ROUND(AC59*(1+I$5),0)-I60-S60)</f>
        <v/>
      </c>
      <c r="AD60">
        <f>MAX(0,ROUND(AD59*(1+J$5),0)-J60-T60)</f>
        <v/>
      </c>
      <c r="AE60">
        <f>MAX(0,ROUND(AE59*(1+K$5),0)-K60-U60)</f>
        <v/>
      </c>
      <c r="AF60">
        <f>MAX(0,ROUND(AF59*(1+L$5),0)-L60-V60)</f>
        <v/>
      </c>
      <c r="AG60">
        <f>AH60-(AI59-AI60)</f>
        <v/>
      </c>
      <c r="AH60">
        <f>SUM(C60:V60)</f>
        <v/>
      </c>
      <c r="AI60">
        <f>SUM(W60:AF60)</f>
        <v/>
      </c>
      <c r="AJ60">
        <f>MAX(0,PresTot-SUM(C60:L60))</f>
        <v/>
      </c>
      <c r="AK60">
        <f>IF(AI59&lt;=0,0,11-SUMPRODUCT(MAX((W59:AF59&gt;0)*(11-(COLUMN(W59:AF59)-COLUMN($V59))))))</f>
        <v/>
      </c>
    </row>
    <row r="61">
      <c r="A61" t="n">
        <v>51</v>
      </c>
      <c r="B61">
        <f>DATE(YEAR(InicioEf),MONTH(InicioEf)+A61-1,1)</f>
        <v/>
      </c>
      <c r="C61">
        <f>MIN(C$6,ROUND(W60*(1+C$5),0))</f>
        <v/>
      </c>
      <c r="D61">
        <f>MIN(D$6,ROUND(X60*(1+D$5),0))</f>
        <v/>
      </c>
      <c r="E61">
        <f>MIN(E$6,ROUND(Y60*(1+E$5),0))</f>
        <v/>
      </c>
      <c r="F61">
        <f>MIN(F$6,ROUND(Z60*(1+F$5),0))</f>
        <v/>
      </c>
      <c r="G61">
        <f>MIN(G$6,ROUND(AA60*(1+G$5),0))</f>
        <v/>
      </c>
      <c r="H61">
        <f>MIN(H$6,ROUND(AB60*(1+H$5),0))</f>
        <v/>
      </c>
      <c r="I61">
        <f>MIN(I$6,ROUND(AC60*(1+I$5),0))</f>
        <v/>
      </c>
      <c r="J61">
        <f>MIN(J$6,ROUND(AD60*(1+J$5),0))</f>
        <v/>
      </c>
      <c r="K61">
        <f>MIN(K$6,ROUND(AE60*(1+K$5),0))</f>
        <v/>
      </c>
      <c r="L61">
        <f>MIN(L$6,ROUND(AF60*(1+L$5),0))</f>
        <v/>
      </c>
      <c r="M61">
        <f>MAX(0,MIN(ROUND(W60*(1+C$5),0)-C61,$AJ61-0))</f>
        <v/>
      </c>
      <c r="N61">
        <f>MAX(0,MIN(ROUND(X60*(1+D$5),0)-D61,$AJ61-SUM($M61:M61)))</f>
        <v/>
      </c>
      <c r="O61">
        <f>MAX(0,MIN(ROUND(Y60*(1+E$5),0)-E61,$AJ61-SUM($M61:N61)))</f>
        <v/>
      </c>
      <c r="P61">
        <f>MAX(0,MIN(ROUND(Z60*(1+F$5),0)-F61,$AJ61-SUM($M61:O61)))</f>
        <v/>
      </c>
      <c r="Q61">
        <f>MAX(0,MIN(ROUND(AA60*(1+G$5),0)-G61,$AJ61-SUM($M61:P61)))</f>
        <v/>
      </c>
      <c r="R61">
        <f>MAX(0,MIN(ROUND(AB60*(1+H$5),0)-H61,$AJ61-SUM($M61:Q61)))</f>
        <v/>
      </c>
      <c r="S61">
        <f>MAX(0,MIN(ROUND(AC60*(1+I$5),0)-I61,$AJ61-SUM($M61:R61)))</f>
        <v/>
      </c>
      <c r="T61">
        <f>MAX(0,MIN(ROUND(AD60*(1+J$5),0)-J61,$AJ61-SUM($M61:S61)))</f>
        <v/>
      </c>
      <c r="U61">
        <f>MAX(0,MIN(ROUND(AE60*(1+K$5),0)-K61,$AJ61-SUM($M61:T61)))</f>
        <v/>
      </c>
      <c r="V61">
        <f>MAX(0,MIN(ROUND(AF60*(1+L$5),0)-L61,$AJ61-SUM($M61:U61)))</f>
        <v/>
      </c>
      <c r="W61">
        <f>MAX(0,ROUND(W60*(1+C$5),0)-C61-M61)</f>
        <v/>
      </c>
      <c r="X61">
        <f>MAX(0,ROUND(X60*(1+D$5),0)-D61-N61)</f>
        <v/>
      </c>
      <c r="Y61">
        <f>MAX(0,ROUND(Y60*(1+E$5),0)-E61-O61)</f>
        <v/>
      </c>
      <c r="Z61">
        <f>MAX(0,ROUND(Z60*(1+F$5),0)-F61-P61)</f>
        <v/>
      </c>
      <c r="AA61">
        <f>MAX(0,ROUND(AA60*(1+G$5),0)-G61-Q61)</f>
        <v/>
      </c>
      <c r="AB61">
        <f>MAX(0,ROUND(AB60*(1+H$5),0)-H61-R61)</f>
        <v/>
      </c>
      <c r="AC61">
        <f>MAX(0,ROUND(AC60*(1+I$5),0)-I61-S61)</f>
        <v/>
      </c>
      <c r="AD61">
        <f>MAX(0,ROUND(AD60*(1+J$5),0)-J61-T61)</f>
        <v/>
      </c>
      <c r="AE61">
        <f>MAX(0,ROUND(AE60*(1+K$5),0)-K61-U61)</f>
        <v/>
      </c>
      <c r="AF61">
        <f>MAX(0,ROUND(AF60*(1+L$5),0)-L61-V61)</f>
        <v/>
      </c>
      <c r="AG61">
        <f>AH61-(AI60-AI61)</f>
        <v/>
      </c>
      <c r="AH61">
        <f>SUM(C61:V61)</f>
        <v/>
      </c>
      <c r="AI61">
        <f>SUM(W61:AF61)</f>
        <v/>
      </c>
      <c r="AJ61">
        <f>MAX(0,PresTot-SUM(C61:L61))</f>
        <v/>
      </c>
      <c r="AK61">
        <f>IF(AI60&lt;=0,0,11-SUMPRODUCT(MAX((W60:AF60&gt;0)*(11-(COLUMN(W60:AF60)-COLUMN($V60))))))</f>
        <v/>
      </c>
    </row>
    <row r="62">
      <c r="A62" t="n">
        <v>52</v>
      </c>
      <c r="B62">
        <f>DATE(YEAR(InicioEf),MONTH(InicioEf)+A62-1,1)</f>
        <v/>
      </c>
      <c r="C62">
        <f>MIN(C$6,ROUND(W61*(1+C$5),0))</f>
        <v/>
      </c>
      <c r="D62">
        <f>MIN(D$6,ROUND(X61*(1+D$5),0))</f>
        <v/>
      </c>
      <c r="E62">
        <f>MIN(E$6,ROUND(Y61*(1+E$5),0))</f>
        <v/>
      </c>
      <c r="F62">
        <f>MIN(F$6,ROUND(Z61*(1+F$5),0))</f>
        <v/>
      </c>
      <c r="G62">
        <f>MIN(G$6,ROUND(AA61*(1+G$5),0))</f>
        <v/>
      </c>
      <c r="H62">
        <f>MIN(H$6,ROUND(AB61*(1+H$5),0))</f>
        <v/>
      </c>
      <c r="I62">
        <f>MIN(I$6,ROUND(AC61*(1+I$5),0))</f>
        <v/>
      </c>
      <c r="J62">
        <f>MIN(J$6,ROUND(AD61*(1+J$5),0))</f>
        <v/>
      </c>
      <c r="K62">
        <f>MIN(K$6,ROUND(AE61*(1+K$5),0))</f>
        <v/>
      </c>
      <c r="L62">
        <f>MIN(L$6,ROUND(AF61*(1+L$5),0))</f>
        <v/>
      </c>
      <c r="M62">
        <f>MAX(0,MIN(ROUND(W61*(1+C$5),0)-C62,$AJ62-0))</f>
        <v/>
      </c>
      <c r="N62">
        <f>MAX(0,MIN(ROUND(X61*(1+D$5),0)-D62,$AJ62-SUM($M62:M62)))</f>
        <v/>
      </c>
      <c r="O62">
        <f>MAX(0,MIN(ROUND(Y61*(1+E$5),0)-E62,$AJ62-SUM($M62:N62)))</f>
        <v/>
      </c>
      <c r="P62">
        <f>MAX(0,MIN(ROUND(Z61*(1+F$5),0)-F62,$AJ62-SUM($M62:O62)))</f>
        <v/>
      </c>
      <c r="Q62">
        <f>MAX(0,MIN(ROUND(AA61*(1+G$5),0)-G62,$AJ62-SUM($M62:P62)))</f>
        <v/>
      </c>
      <c r="R62">
        <f>MAX(0,MIN(ROUND(AB61*(1+H$5),0)-H62,$AJ62-SUM($M62:Q62)))</f>
        <v/>
      </c>
      <c r="S62">
        <f>MAX(0,MIN(ROUND(AC61*(1+I$5),0)-I62,$AJ62-SUM($M62:R62)))</f>
        <v/>
      </c>
      <c r="T62">
        <f>MAX(0,MIN(ROUND(AD61*(1+J$5),0)-J62,$AJ62-SUM($M62:S62)))</f>
        <v/>
      </c>
      <c r="U62">
        <f>MAX(0,MIN(ROUND(AE61*(1+K$5),0)-K62,$AJ62-SUM($M62:T62)))</f>
        <v/>
      </c>
      <c r="V62">
        <f>MAX(0,MIN(ROUND(AF61*(1+L$5),0)-L62,$AJ62-SUM($M62:U62)))</f>
        <v/>
      </c>
      <c r="W62">
        <f>MAX(0,ROUND(W61*(1+C$5),0)-C62-M62)</f>
        <v/>
      </c>
      <c r="X62">
        <f>MAX(0,ROUND(X61*(1+D$5),0)-D62-N62)</f>
        <v/>
      </c>
      <c r="Y62">
        <f>MAX(0,ROUND(Y61*(1+E$5),0)-E62-O62)</f>
        <v/>
      </c>
      <c r="Z62">
        <f>MAX(0,ROUND(Z61*(1+F$5),0)-F62-P62)</f>
        <v/>
      </c>
      <c r="AA62">
        <f>MAX(0,ROUND(AA61*(1+G$5),0)-G62-Q62)</f>
        <v/>
      </c>
      <c r="AB62">
        <f>MAX(0,ROUND(AB61*(1+H$5),0)-H62-R62)</f>
        <v/>
      </c>
      <c r="AC62">
        <f>MAX(0,ROUND(AC61*(1+I$5),0)-I62-S62)</f>
        <v/>
      </c>
      <c r="AD62">
        <f>MAX(0,ROUND(AD61*(1+J$5),0)-J62-T62)</f>
        <v/>
      </c>
      <c r="AE62">
        <f>MAX(0,ROUND(AE61*(1+K$5),0)-K62-U62)</f>
        <v/>
      </c>
      <c r="AF62">
        <f>MAX(0,ROUND(AF61*(1+L$5),0)-L62-V62)</f>
        <v/>
      </c>
      <c r="AG62">
        <f>AH62-(AI61-AI62)</f>
        <v/>
      </c>
      <c r="AH62">
        <f>SUM(C62:V62)</f>
        <v/>
      </c>
      <c r="AI62">
        <f>SUM(W62:AF62)</f>
        <v/>
      </c>
      <c r="AJ62">
        <f>MAX(0,PresTot-SUM(C62:L62))</f>
        <v/>
      </c>
      <c r="AK62">
        <f>IF(AI61&lt;=0,0,11-SUMPRODUCT(MAX((W61:AF61&gt;0)*(11-(COLUMN(W61:AF61)-COLUMN($V61))))))</f>
        <v/>
      </c>
    </row>
    <row r="63">
      <c r="A63" t="n">
        <v>53</v>
      </c>
      <c r="B63">
        <f>DATE(YEAR(InicioEf),MONTH(InicioEf)+A63-1,1)</f>
        <v/>
      </c>
      <c r="C63">
        <f>MIN(C$6,ROUND(W62*(1+C$5),0))</f>
        <v/>
      </c>
      <c r="D63">
        <f>MIN(D$6,ROUND(X62*(1+D$5),0))</f>
        <v/>
      </c>
      <c r="E63">
        <f>MIN(E$6,ROUND(Y62*(1+E$5),0))</f>
        <v/>
      </c>
      <c r="F63">
        <f>MIN(F$6,ROUND(Z62*(1+F$5),0))</f>
        <v/>
      </c>
      <c r="G63">
        <f>MIN(G$6,ROUND(AA62*(1+G$5),0))</f>
        <v/>
      </c>
      <c r="H63">
        <f>MIN(H$6,ROUND(AB62*(1+H$5),0))</f>
        <v/>
      </c>
      <c r="I63">
        <f>MIN(I$6,ROUND(AC62*(1+I$5),0))</f>
        <v/>
      </c>
      <c r="J63">
        <f>MIN(J$6,ROUND(AD62*(1+J$5),0))</f>
        <v/>
      </c>
      <c r="K63">
        <f>MIN(K$6,ROUND(AE62*(1+K$5),0))</f>
        <v/>
      </c>
      <c r="L63">
        <f>MIN(L$6,ROUND(AF62*(1+L$5),0))</f>
        <v/>
      </c>
      <c r="M63">
        <f>MAX(0,MIN(ROUND(W62*(1+C$5),0)-C63,$AJ63-0))</f>
        <v/>
      </c>
      <c r="N63">
        <f>MAX(0,MIN(ROUND(X62*(1+D$5),0)-D63,$AJ63-SUM($M63:M63)))</f>
        <v/>
      </c>
      <c r="O63">
        <f>MAX(0,MIN(ROUND(Y62*(1+E$5),0)-E63,$AJ63-SUM($M63:N63)))</f>
        <v/>
      </c>
      <c r="P63">
        <f>MAX(0,MIN(ROUND(Z62*(1+F$5),0)-F63,$AJ63-SUM($M63:O63)))</f>
        <v/>
      </c>
      <c r="Q63">
        <f>MAX(0,MIN(ROUND(AA62*(1+G$5),0)-G63,$AJ63-SUM($M63:P63)))</f>
        <v/>
      </c>
      <c r="R63">
        <f>MAX(0,MIN(ROUND(AB62*(1+H$5),0)-H63,$AJ63-SUM($M63:Q63)))</f>
        <v/>
      </c>
      <c r="S63">
        <f>MAX(0,MIN(ROUND(AC62*(1+I$5),0)-I63,$AJ63-SUM($M63:R63)))</f>
        <v/>
      </c>
      <c r="T63">
        <f>MAX(0,MIN(ROUND(AD62*(1+J$5),0)-J63,$AJ63-SUM($M63:S63)))</f>
        <v/>
      </c>
      <c r="U63">
        <f>MAX(0,MIN(ROUND(AE62*(1+K$5),0)-K63,$AJ63-SUM($M63:T63)))</f>
        <v/>
      </c>
      <c r="V63">
        <f>MAX(0,MIN(ROUND(AF62*(1+L$5),0)-L63,$AJ63-SUM($M63:U63)))</f>
        <v/>
      </c>
      <c r="W63">
        <f>MAX(0,ROUND(W62*(1+C$5),0)-C63-M63)</f>
        <v/>
      </c>
      <c r="X63">
        <f>MAX(0,ROUND(X62*(1+D$5),0)-D63-N63)</f>
        <v/>
      </c>
      <c r="Y63">
        <f>MAX(0,ROUND(Y62*(1+E$5),0)-E63-O63)</f>
        <v/>
      </c>
      <c r="Z63">
        <f>MAX(0,ROUND(Z62*(1+F$5),0)-F63-P63)</f>
        <v/>
      </c>
      <c r="AA63">
        <f>MAX(0,ROUND(AA62*(1+G$5),0)-G63-Q63)</f>
        <v/>
      </c>
      <c r="AB63">
        <f>MAX(0,ROUND(AB62*(1+H$5),0)-H63-R63)</f>
        <v/>
      </c>
      <c r="AC63">
        <f>MAX(0,ROUND(AC62*(1+I$5),0)-I63-S63)</f>
        <v/>
      </c>
      <c r="AD63">
        <f>MAX(0,ROUND(AD62*(1+J$5),0)-J63-T63)</f>
        <v/>
      </c>
      <c r="AE63">
        <f>MAX(0,ROUND(AE62*(1+K$5),0)-K63-U63)</f>
        <v/>
      </c>
      <c r="AF63">
        <f>MAX(0,ROUND(AF62*(1+L$5),0)-L63-V63)</f>
        <v/>
      </c>
      <c r="AG63">
        <f>AH63-(AI62-AI63)</f>
        <v/>
      </c>
      <c r="AH63">
        <f>SUM(C63:V63)</f>
        <v/>
      </c>
      <c r="AI63">
        <f>SUM(W63:AF63)</f>
        <v/>
      </c>
      <c r="AJ63">
        <f>MAX(0,PresTot-SUM(C63:L63))</f>
        <v/>
      </c>
      <c r="AK63">
        <f>IF(AI62&lt;=0,0,11-SUMPRODUCT(MAX((W62:AF62&gt;0)*(11-(COLUMN(W62:AF62)-COLUMN($V62))))))</f>
        <v/>
      </c>
    </row>
    <row r="64">
      <c r="A64" t="n">
        <v>54</v>
      </c>
      <c r="B64">
        <f>DATE(YEAR(InicioEf),MONTH(InicioEf)+A64-1,1)</f>
        <v/>
      </c>
      <c r="C64">
        <f>MIN(C$6,ROUND(W63*(1+C$5),0))</f>
        <v/>
      </c>
      <c r="D64">
        <f>MIN(D$6,ROUND(X63*(1+D$5),0))</f>
        <v/>
      </c>
      <c r="E64">
        <f>MIN(E$6,ROUND(Y63*(1+E$5),0))</f>
        <v/>
      </c>
      <c r="F64">
        <f>MIN(F$6,ROUND(Z63*(1+F$5),0))</f>
        <v/>
      </c>
      <c r="G64">
        <f>MIN(G$6,ROUND(AA63*(1+G$5),0))</f>
        <v/>
      </c>
      <c r="H64">
        <f>MIN(H$6,ROUND(AB63*(1+H$5),0))</f>
        <v/>
      </c>
      <c r="I64">
        <f>MIN(I$6,ROUND(AC63*(1+I$5),0))</f>
        <v/>
      </c>
      <c r="J64">
        <f>MIN(J$6,ROUND(AD63*(1+J$5),0))</f>
        <v/>
      </c>
      <c r="K64">
        <f>MIN(K$6,ROUND(AE63*(1+K$5),0))</f>
        <v/>
      </c>
      <c r="L64">
        <f>MIN(L$6,ROUND(AF63*(1+L$5),0))</f>
        <v/>
      </c>
      <c r="M64">
        <f>MAX(0,MIN(ROUND(W63*(1+C$5),0)-C64,$AJ64-0))</f>
        <v/>
      </c>
      <c r="N64">
        <f>MAX(0,MIN(ROUND(X63*(1+D$5),0)-D64,$AJ64-SUM($M64:M64)))</f>
        <v/>
      </c>
      <c r="O64">
        <f>MAX(0,MIN(ROUND(Y63*(1+E$5),0)-E64,$AJ64-SUM($M64:N64)))</f>
        <v/>
      </c>
      <c r="P64">
        <f>MAX(0,MIN(ROUND(Z63*(1+F$5),0)-F64,$AJ64-SUM($M64:O64)))</f>
        <v/>
      </c>
      <c r="Q64">
        <f>MAX(0,MIN(ROUND(AA63*(1+G$5),0)-G64,$AJ64-SUM($M64:P64)))</f>
        <v/>
      </c>
      <c r="R64">
        <f>MAX(0,MIN(ROUND(AB63*(1+H$5),0)-H64,$AJ64-SUM($M64:Q64)))</f>
        <v/>
      </c>
      <c r="S64">
        <f>MAX(0,MIN(ROUND(AC63*(1+I$5),0)-I64,$AJ64-SUM($M64:R64)))</f>
        <v/>
      </c>
      <c r="T64">
        <f>MAX(0,MIN(ROUND(AD63*(1+J$5),0)-J64,$AJ64-SUM($M64:S64)))</f>
        <v/>
      </c>
      <c r="U64">
        <f>MAX(0,MIN(ROUND(AE63*(1+K$5),0)-K64,$AJ64-SUM($M64:T64)))</f>
        <v/>
      </c>
      <c r="V64">
        <f>MAX(0,MIN(ROUND(AF63*(1+L$5),0)-L64,$AJ64-SUM($M64:U64)))</f>
        <v/>
      </c>
      <c r="W64">
        <f>MAX(0,ROUND(W63*(1+C$5),0)-C64-M64)</f>
        <v/>
      </c>
      <c r="X64">
        <f>MAX(0,ROUND(X63*(1+D$5),0)-D64-N64)</f>
        <v/>
      </c>
      <c r="Y64">
        <f>MAX(0,ROUND(Y63*(1+E$5),0)-E64-O64)</f>
        <v/>
      </c>
      <c r="Z64">
        <f>MAX(0,ROUND(Z63*(1+F$5),0)-F64-P64)</f>
        <v/>
      </c>
      <c r="AA64">
        <f>MAX(0,ROUND(AA63*(1+G$5),0)-G64-Q64)</f>
        <v/>
      </c>
      <c r="AB64">
        <f>MAX(0,ROUND(AB63*(1+H$5),0)-H64-R64)</f>
        <v/>
      </c>
      <c r="AC64">
        <f>MAX(0,ROUND(AC63*(1+I$5),0)-I64-S64)</f>
        <v/>
      </c>
      <c r="AD64">
        <f>MAX(0,ROUND(AD63*(1+J$5),0)-J64-T64)</f>
        <v/>
      </c>
      <c r="AE64">
        <f>MAX(0,ROUND(AE63*(1+K$5),0)-K64-U64)</f>
        <v/>
      </c>
      <c r="AF64">
        <f>MAX(0,ROUND(AF63*(1+L$5),0)-L64-V64)</f>
        <v/>
      </c>
      <c r="AG64">
        <f>AH64-(AI63-AI64)</f>
        <v/>
      </c>
      <c r="AH64">
        <f>SUM(C64:V64)</f>
        <v/>
      </c>
      <c r="AI64">
        <f>SUM(W64:AF64)</f>
        <v/>
      </c>
      <c r="AJ64">
        <f>MAX(0,PresTot-SUM(C64:L64))</f>
        <v/>
      </c>
      <c r="AK64">
        <f>IF(AI63&lt;=0,0,11-SUMPRODUCT(MAX((W63:AF63&gt;0)*(11-(COLUMN(W63:AF63)-COLUMN($V63))))))</f>
        <v/>
      </c>
    </row>
    <row r="65">
      <c r="A65" t="n">
        <v>55</v>
      </c>
      <c r="B65">
        <f>DATE(YEAR(InicioEf),MONTH(InicioEf)+A65-1,1)</f>
        <v/>
      </c>
      <c r="C65">
        <f>MIN(C$6,ROUND(W64*(1+C$5),0))</f>
        <v/>
      </c>
      <c r="D65">
        <f>MIN(D$6,ROUND(X64*(1+D$5),0))</f>
        <v/>
      </c>
      <c r="E65">
        <f>MIN(E$6,ROUND(Y64*(1+E$5),0))</f>
        <v/>
      </c>
      <c r="F65">
        <f>MIN(F$6,ROUND(Z64*(1+F$5),0))</f>
        <v/>
      </c>
      <c r="G65">
        <f>MIN(G$6,ROUND(AA64*(1+G$5),0))</f>
        <v/>
      </c>
      <c r="H65">
        <f>MIN(H$6,ROUND(AB64*(1+H$5),0))</f>
        <v/>
      </c>
      <c r="I65">
        <f>MIN(I$6,ROUND(AC64*(1+I$5),0))</f>
        <v/>
      </c>
      <c r="J65">
        <f>MIN(J$6,ROUND(AD64*(1+J$5),0))</f>
        <v/>
      </c>
      <c r="K65">
        <f>MIN(K$6,ROUND(AE64*(1+K$5),0))</f>
        <v/>
      </c>
      <c r="L65">
        <f>MIN(L$6,ROUND(AF64*(1+L$5),0))</f>
        <v/>
      </c>
      <c r="M65">
        <f>MAX(0,MIN(ROUND(W64*(1+C$5),0)-C65,$AJ65-0))</f>
        <v/>
      </c>
      <c r="N65">
        <f>MAX(0,MIN(ROUND(X64*(1+D$5),0)-D65,$AJ65-SUM($M65:M65)))</f>
        <v/>
      </c>
      <c r="O65">
        <f>MAX(0,MIN(ROUND(Y64*(1+E$5),0)-E65,$AJ65-SUM($M65:N65)))</f>
        <v/>
      </c>
      <c r="P65">
        <f>MAX(0,MIN(ROUND(Z64*(1+F$5),0)-F65,$AJ65-SUM($M65:O65)))</f>
        <v/>
      </c>
      <c r="Q65">
        <f>MAX(0,MIN(ROUND(AA64*(1+G$5),0)-G65,$AJ65-SUM($M65:P65)))</f>
        <v/>
      </c>
      <c r="R65">
        <f>MAX(0,MIN(ROUND(AB64*(1+H$5),0)-H65,$AJ65-SUM($M65:Q65)))</f>
        <v/>
      </c>
      <c r="S65">
        <f>MAX(0,MIN(ROUND(AC64*(1+I$5),0)-I65,$AJ65-SUM($M65:R65)))</f>
        <v/>
      </c>
      <c r="T65">
        <f>MAX(0,MIN(ROUND(AD64*(1+J$5),0)-J65,$AJ65-SUM($M65:S65)))</f>
        <v/>
      </c>
      <c r="U65">
        <f>MAX(0,MIN(ROUND(AE64*(1+K$5),0)-K65,$AJ65-SUM($M65:T65)))</f>
        <v/>
      </c>
      <c r="V65">
        <f>MAX(0,MIN(ROUND(AF64*(1+L$5),0)-L65,$AJ65-SUM($M65:U65)))</f>
        <v/>
      </c>
      <c r="W65">
        <f>MAX(0,ROUND(W64*(1+C$5),0)-C65-M65)</f>
        <v/>
      </c>
      <c r="X65">
        <f>MAX(0,ROUND(X64*(1+D$5),0)-D65-N65)</f>
        <v/>
      </c>
      <c r="Y65">
        <f>MAX(0,ROUND(Y64*(1+E$5),0)-E65-O65)</f>
        <v/>
      </c>
      <c r="Z65">
        <f>MAX(0,ROUND(Z64*(1+F$5),0)-F65-P65)</f>
        <v/>
      </c>
      <c r="AA65">
        <f>MAX(0,ROUND(AA64*(1+G$5),0)-G65-Q65)</f>
        <v/>
      </c>
      <c r="AB65">
        <f>MAX(0,ROUND(AB64*(1+H$5),0)-H65-R65)</f>
        <v/>
      </c>
      <c r="AC65">
        <f>MAX(0,ROUND(AC64*(1+I$5),0)-I65-S65)</f>
        <v/>
      </c>
      <c r="AD65">
        <f>MAX(0,ROUND(AD64*(1+J$5),0)-J65-T65)</f>
        <v/>
      </c>
      <c r="AE65">
        <f>MAX(0,ROUND(AE64*(1+K$5),0)-K65-U65)</f>
        <v/>
      </c>
      <c r="AF65">
        <f>MAX(0,ROUND(AF64*(1+L$5),0)-L65-V65)</f>
        <v/>
      </c>
      <c r="AG65">
        <f>AH65-(AI64-AI65)</f>
        <v/>
      </c>
      <c r="AH65">
        <f>SUM(C65:V65)</f>
        <v/>
      </c>
      <c r="AI65">
        <f>SUM(W65:AF65)</f>
        <v/>
      </c>
      <c r="AJ65">
        <f>MAX(0,PresTot-SUM(C65:L65))</f>
        <v/>
      </c>
      <c r="AK65">
        <f>IF(AI64&lt;=0,0,11-SUMPRODUCT(MAX((W64:AF64&gt;0)*(11-(COLUMN(W64:AF64)-COLUMN($V64))))))</f>
        <v/>
      </c>
    </row>
    <row r="66">
      <c r="A66" t="n">
        <v>56</v>
      </c>
      <c r="B66">
        <f>DATE(YEAR(InicioEf),MONTH(InicioEf)+A66-1,1)</f>
        <v/>
      </c>
      <c r="C66">
        <f>MIN(C$6,ROUND(W65*(1+C$5),0))</f>
        <v/>
      </c>
      <c r="D66">
        <f>MIN(D$6,ROUND(X65*(1+D$5),0))</f>
        <v/>
      </c>
      <c r="E66">
        <f>MIN(E$6,ROUND(Y65*(1+E$5),0))</f>
        <v/>
      </c>
      <c r="F66">
        <f>MIN(F$6,ROUND(Z65*(1+F$5),0))</f>
        <v/>
      </c>
      <c r="G66">
        <f>MIN(G$6,ROUND(AA65*(1+G$5),0))</f>
        <v/>
      </c>
      <c r="H66">
        <f>MIN(H$6,ROUND(AB65*(1+H$5),0))</f>
        <v/>
      </c>
      <c r="I66">
        <f>MIN(I$6,ROUND(AC65*(1+I$5),0))</f>
        <v/>
      </c>
      <c r="J66">
        <f>MIN(J$6,ROUND(AD65*(1+J$5),0))</f>
        <v/>
      </c>
      <c r="K66">
        <f>MIN(K$6,ROUND(AE65*(1+K$5),0))</f>
        <v/>
      </c>
      <c r="L66">
        <f>MIN(L$6,ROUND(AF65*(1+L$5),0))</f>
        <v/>
      </c>
      <c r="M66">
        <f>MAX(0,MIN(ROUND(W65*(1+C$5),0)-C66,$AJ66-0))</f>
        <v/>
      </c>
      <c r="N66">
        <f>MAX(0,MIN(ROUND(X65*(1+D$5),0)-D66,$AJ66-SUM($M66:M66)))</f>
        <v/>
      </c>
      <c r="O66">
        <f>MAX(0,MIN(ROUND(Y65*(1+E$5),0)-E66,$AJ66-SUM($M66:N66)))</f>
        <v/>
      </c>
      <c r="P66">
        <f>MAX(0,MIN(ROUND(Z65*(1+F$5),0)-F66,$AJ66-SUM($M66:O66)))</f>
        <v/>
      </c>
      <c r="Q66">
        <f>MAX(0,MIN(ROUND(AA65*(1+G$5),0)-G66,$AJ66-SUM($M66:P66)))</f>
        <v/>
      </c>
      <c r="R66">
        <f>MAX(0,MIN(ROUND(AB65*(1+H$5),0)-H66,$AJ66-SUM($M66:Q66)))</f>
        <v/>
      </c>
      <c r="S66">
        <f>MAX(0,MIN(ROUND(AC65*(1+I$5),0)-I66,$AJ66-SUM($M66:R66)))</f>
        <v/>
      </c>
      <c r="T66">
        <f>MAX(0,MIN(ROUND(AD65*(1+J$5),0)-J66,$AJ66-SUM($M66:S66)))</f>
        <v/>
      </c>
      <c r="U66">
        <f>MAX(0,MIN(ROUND(AE65*(1+K$5),0)-K66,$AJ66-SUM($M66:T66)))</f>
        <v/>
      </c>
      <c r="V66">
        <f>MAX(0,MIN(ROUND(AF65*(1+L$5),0)-L66,$AJ66-SUM($M66:U66)))</f>
        <v/>
      </c>
      <c r="W66">
        <f>MAX(0,ROUND(W65*(1+C$5),0)-C66-M66)</f>
        <v/>
      </c>
      <c r="X66">
        <f>MAX(0,ROUND(X65*(1+D$5),0)-D66-N66)</f>
        <v/>
      </c>
      <c r="Y66">
        <f>MAX(0,ROUND(Y65*(1+E$5),0)-E66-O66)</f>
        <v/>
      </c>
      <c r="Z66">
        <f>MAX(0,ROUND(Z65*(1+F$5),0)-F66-P66)</f>
        <v/>
      </c>
      <c r="AA66">
        <f>MAX(0,ROUND(AA65*(1+G$5),0)-G66-Q66)</f>
        <v/>
      </c>
      <c r="AB66">
        <f>MAX(0,ROUND(AB65*(1+H$5),0)-H66-R66)</f>
        <v/>
      </c>
      <c r="AC66">
        <f>MAX(0,ROUND(AC65*(1+I$5),0)-I66-S66)</f>
        <v/>
      </c>
      <c r="AD66">
        <f>MAX(0,ROUND(AD65*(1+J$5),0)-J66-T66)</f>
        <v/>
      </c>
      <c r="AE66">
        <f>MAX(0,ROUND(AE65*(1+K$5),0)-K66-U66)</f>
        <v/>
      </c>
      <c r="AF66">
        <f>MAX(0,ROUND(AF65*(1+L$5),0)-L66-V66)</f>
        <v/>
      </c>
      <c r="AG66">
        <f>AH66-(AI65-AI66)</f>
        <v/>
      </c>
      <c r="AH66">
        <f>SUM(C66:V66)</f>
        <v/>
      </c>
      <c r="AI66">
        <f>SUM(W66:AF66)</f>
        <v/>
      </c>
      <c r="AJ66">
        <f>MAX(0,PresTot-SUM(C66:L66))</f>
        <v/>
      </c>
      <c r="AK66">
        <f>IF(AI65&lt;=0,0,11-SUMPRODUCT(MAX((W65:AF65&gt;0)*(11-(COLUMN(W65:AF65)-COLUMN($V65))))))</f>
        <v/>
      </c>
    </row>
    <row r="67">
      <c r="A67" t="n">
        <v>57</v>
      </c>
      <c r="B67">
        <f>DATE(YEAR(InicioEf),MONTH(InicioEf)+A67-1,1)</f>
        <v/>
      </c>
      <c r="C67">
        <f>MIN(C$6,ROUND(W66*(1+C$5),0))</f>
        <v/>
      </c>
      <c r="D67">
        <f>MIN(D$6,ROUND(X66*(1+D$5),0))</f>
        <v/>
      </c>
      <c r="E67">
        <f>MIN(E$6,ROUND(Y66*(1+E$5),0))</f>
        <v/>
      </c>
      <c r="F67">
        <f>MIN(F$6,ROUND(Z66*(1+F$5),0))</f>
        <v/>
      </c>
      <c r="G67">
        <f>MIN(G$6,ROUND(AA66*(1+G$5),0))</f>
        <v/>
      </c>
      <c r="H67">
        <f>MIN(H$6,ROUND(AB66*(1+H$5),0))</f>
        <v/>
      </c>
      <c r="I67">
        <f>MIN(I$6,ROUND(AC66*(1+I$5),0))</f>
        <v/>
      </c>
      <c r="J67">
        <f>MIN(J$6,ROUND(AD66*(1+J$5),0))</f>
        <v/>
      </c>
      <c r="K67">
        <f>MIN(K$6,ROUND(AE66*(1+K$5),0))</f>
        <v/>
      </c>
      <c r="L67">
        <f>MIN(L$6,ROUND(AF66*(1+L$5),0))</f>
        <v/>
      </c>
      <c r="M67">
        <f>MAX(0,MIN(ROUND(W66*(1+C$5),0)-C67,$AJ67-0))</f>
        <v/>
      </c>
      <c r="N67">
        <f>MAX(0,MIN(ROUND(X66*(1+D$5),0)-D67,$AJ67-SUM($M67:M67)))</f>
        <v/>
      </c>
      <c r="O67">
        <f>MAX(0,MIN(ROUND(Y66*(1+E$5),0)-E67,$AJ67-SUM($M67:N67)))</f>
        <v/>
      </c>
      <c r="P67">
        <f>MAX(0,MIN(ROUND(Z66*(1+F$5),0)-F67,$AJ67-SUM($M67:O67)))</f>
        <v/>
      </c>
      <c r="Q67">
        <f>MAX(0,MIN(ROUND(AA66*(1+G$5),0)-G67,$AJ67-SUM($M67:P67)))</f>
        <v/>
      </c>
      <c r="R67">
        <f>MAX(0,MIN(ROUND(AB66*(1+H$5),0)-H67,$AJ67-SUM($M67:Q67)))</f>
        <v/>
      </c>
      <c r="S67">
        <f>MAX(0,MIN(ROUND(AC66*(1+I$5),0)-I67,$AJ67-SUM($M67:R67)))</f>
        <v/>
      </c>
      <c r="T67">
        <f>MAX(0,MIN(ROUND(AD66*(1+J$5),0)-J67,$AJ67-SUM($M67:S67)))</f>
        <v/>
      </c>
      <c r="U67">
        <f>MAX(0,MIN(ROUND(AE66*(1+K$5),0)-K67,$AJ67-SUM($M67:T67)))</f>
        <v/>
      </c>
      <c r="V67">
        <f>MAX(0,MIN(ROUND(AF66*(1+L$5),0)-L67,$AJ67-SUM($M67:U67)))</f>
        <v/>
      </c>
      <c r="W67">
        <f>MAX(0,ROUND(W66*(1+C$5),0)-C67-M67)</f>
        <v/>
      </c>
      <c r="X67">
        <f>MAX(0,ROUND(X66*(1+D$5),0)-D67-N67)</f>
        <v/>
      </c>
      <c r="Y67">
        <f>MAX(0,ROUND(Y66*(1+E$5),0)-E67-O67)</f>
        <v/>
      </c>
      <c r="Z67">
        <f>MAX(0,ROUND(Z66*(1+F$5),0)-F67-P67)</f>
        <v/>
      </c>
      <c r="AA67">
        <f>MAX(0,ROUND(AA66*(1+G$5),0)-G67-Q67)</f>
        <v/>
      </c>
      <c r="AB67">
        <f>MAX(0,ROUND(AB66*(1+H$5),0)-H67-R67)</f>
        <v/>
      </c>
      <c r="AC67">
        <f>MAX(0,ROUND(AC66*(1+I$5),0)-I67-S67)</f>
        <v/>
      </c>
      <c r="AD67">
        <f>MAX(0,ROUND(AD66*(1+J$5),0)-J67-T67)</f>
        <v/>
      </c>
      <c r="AE67">
        <f>MAX(0,ROUND(AE66*(1+K$5),0)-K67-U67)</f>
        <v/>
      </c>
      <c r="AF67">
        <f>MAX(0,ROUND(AF66*(1+L$5),0)-L67-V67)</f>
        <v/>
      </c>
      <c r="AG67">
        <f>AH67-(AI66-AI67)</f>
        <v/>
      </c>
      <c r="AH67">
        <f>SUM(C67:V67)</f>
        <v/>
      </c>
      <c r="AI67">
        <f>SUM(W67:AF67)</f>
        <v/>
      </c>
      <c r="AJ67">
        <f>MAX(0,PresTot-SUM(C67:L67))</f>
        <v/>
      </c>
      <c r="AK67">
        <f>IF(AI66&lt;=0,0,11-SUMPRODUCT(MAX((W66:AF66&gt;0)*(11-(COLUMN(W66:AF66)-COLUMN($V66))))))</f>
        <v/>
      </c>
    </row>
    <row r="68">
      <c r="A68" t="n">
        <v>58</v>
      </c>
      <c r="B68">
        <f>DATE(YEAR(InicioEf),MONTH(InicioEf)+A68-1,1)</f>
        <v/>
      </c>
      <c r="C68">
        <f>MIN(C$6,ROUND(W67*(1+C$5),0))</f>
        <v/>
      </c>
      <c r="D68">
        <f>MIN(D$6,ROUND(X67*(1+D$5),0))</f>
        <v/>
      </c>
      <c r="E68">
        <f>MIN(E$6,ROUND(Y67*(1+E$5),0))</f>
        <v/>
      </c>
      <c r="F68">
        <f>MIN(F$6,ROUND(Z67*(1+F$5),0))</f>
        <v/>
      </c>
      <c r="G68">
        <f>MIN(G$6,ROUND(AA67*(1+G$5),0))</f>
        <v/>
      </c>
      <c r="H68">
        <f>MIN(H$6,ROUND(AB67*(1+H$5),0))</f>
        <v/>
      </c>
      <c r="I68">
        <f>MIN(I$6,ROUND(AC67*(1+I$5),0))</f>
        <v/>
      </c>
      <c r="J68">
        <f>MIN(J$6,ROUND(AD67*(1+J$5),0))</f>
        <v/>
      </c>
      <c r="K68">
        <f>MIN(K$6,ROUND(AE67*(1+K$5),0))</f>
        <v/>
      </c>
      <c r="L68">
        <f>MIN(L$6,ROUND(AF67*(1+L$5),0))</f>
        <v/>
      </c>
      <c r="M68">
        <f>MAX(0,MIN(ROUND(W67*(1+C$5),0)-C68,$AJ68-0))</f>
        <v/>
      </c>
      <c r="N68">
        <f>MAX(0,MIN(ROUND(X67*(1+D$5),0)-D68,$AJ68-SUM($M68:M68)))</f>
        <v/>
      </c>
      <c r="O68">
        <f>MAX(0,MIN(ROUND(Y67*(1+E$5),0)-E68,$AJ68-SUM($M68:N68)))</f>
        <v/>
      </c>
      <c r="P68">
        <f>MAX(0,MIN(ROUND(Z67*(1+F$5),0)-F68,$AJ68-SUM($M68:O68)))</f>
        <v/>
      </c>
      <c r="Q68">
        <f>MAX(0,MIN(ROUND(AA67*(1+G$5),0)-G68,$AJ68-SUM($M68:P68)))</f>
        <v/>
      </c>
      <c r="R68">
        <f>MAX(0,MIN(ROUND(AB67*(1+H$5),0)-H68,$AJ68-SUM($M68:Q68)))</f>
        <v/>
      </c>
      <c r="S68">
        <f>MAX(0,MIN(ROUND(AC67*(1+I$5),0)-I68,$AJ68-SUM($M68:R68)))</f>
        <v/>
      </c>
      <c r="T68">
        <f>MAX(0,MIN(ROUND(AD67*(1+J$5),0)-J68,$AJ68-SUM($M68:S68)))</f>
        <v/>
      </c>
      <c r="U68">
        <f>MAX(0,MIN(ROUND(AE67*(1+K$5),0)-K68,$AJ68-SUM($M68:T68)))</f>
        <v/>
      </c>
      <c r="V68">
        <f>MAX(0,MIN(ROUND(AF67*(1+L$5),0)-L68,$AJ68-SUM($M68:U68)))</f>
        <v/>
      </c>
      <c r="W68">
        <f>MAX(0,ROUND(W67*(1+C$5),0)-C68-M68)</f>
        <v/>
      </c>
      <c r="X68">
        <f>MAX(0,ROUND(X67*(1+D$5),0)-D68-N68)</f>
        <v/>
      </c>
      <c r="Y68">
        <f>MAX(0,ROUND(Y67*(1+E$5),0)-E68-O68)</f>
        <v/>
      </c>
      <c r="Z68">
        <f>MAX(0,ROUND(Z67*(1+F$5),0)-F68-P68)</f>
        <v/>
      </c>
      <c r="AA68">
        <f>MAX(0,ROUND(AA67*(1+G$5),0)-G68-Q68)</f>
        <v/>
      </c>
      <c r="AB68">
        <f>MAX(0,ROUND(AB67*(1+H$5),0)-H68-R68)</f>
        <v/>
      </c>
      <c r="AC68">
        <f>MAX(0,ROUND(AC67*(1+I$5),0)-I68-S68)</f>
        <v/>
      </c>
      <c r="AD68">
        <f>MAX(0,ROUND(AD67*(1+J$5),0)-J68-T68)</f>
        <v/>
      </c>
      <c r="AE68">
        <f>MAX(0,ROUND(AE67*(1+K$5),0)-K68-U68)</f>
        <v/>
      </c>
      <c r="AF68">
        <f>MAX(0,ROUND(AF67*(1+L$5),0)-L68-V68)</f>
        <v/>
      </c>
      <c r="AG68">
        <f>AH68-(AI67-AI68)</f>
        <v/>
      </c>
      <c r="AH68">
        <f>SUM(C68:V68)</f>
        <v/>
      </c>
      <c r="AI68">
        <f>SUM(W68:AF68)</f>
        <v/>
      </c>
      <c r="AJ68">
        <f>MAX(0,PresTot-SUM(C68:L68))</f>
        <v/>
      </c>
      <c r="AK68">
        <f>IF(AI67&lt;=0,0,11-SUMPRODUCT(MAX((W67:AF67&gt;0)*(11-(COLUMN(W67:AF67)-COLUMN($V67))))))</f>
        <v/>
      </c>
    </row>
    <row r="69">
      <c r="A69" t="n">
        <v>59</v>
      </c>
      <c r="B69">
        <f>DATE(YEAR(InicioEf),MONTH(InicioEf)+A69-1,1)</f>
        <v/>
      </c>
      <c r="C69">
        <f>MIN(C$6,ROUND(W68*(1+C$5),0))</f>
        <v/>
      </c>
      <c r="D69">
        <f>MIN(D$6,ROUND(X68*(1+D$5),0))</f>
        <v/>
      </c>
      <c r="E69">
        <f>MIN(E$6,ROUND(Y68*(1+E$5),0))</f>
        <v/>
      </c>
      <c r="F69">
        <f>MIN(F$6,ROUND(Z68*(1+F$5),0))</f>
        <v/>
      </c>
      <c r="G69">
        <f>MIN(G$6,ROUND(AA68*(1+G$5),0))</f>
        <v/>
      </c>
      <c r="H69">
        <f>MIN(H$6,ROUND(AB68*(1+H$5),0))</f>
        <v/>
      </c>
      <c r="I69">
        <f>MIN(I$6,ROUND(AC68*(1+I$5),0))</f>
        <v/>
      </c>
      <c r="J69">
        <f>MIN(J$6,ROUND(AD68*(1+J$5),0))</f>
        <v/>
      </c>
      <c r="K69">
        <f>MIN(K$6,ROUND(AE68*(1+K$5),0))</f>
        <v/>
      </c>
      <c r="L69">
        <f>MIN(L$6,ROUND(AF68*(1+L$5),0))</f>
        <v/>
      </c>
      <c r="M69">
        <f>MAX(0,MIN(ROUND(W68*(1+C$5),0)-C69,$AJ69-0))</f>
        <v/>
      </c>
      <c r="N69">
        <f>MAX(0,MIN(ROUND(X68*(1+D$5),0)-D69,$AJ69-SUM($M69:M69)))</f>
        <v/>
      </c>
      <c r="O69">
        <f>MAX(0,MIN(ROUND(Y68*(1+E$5),0)-E69,$AJ69-SUM($M69:N69)))</f>
        <v/>
      </c>
      <c r="P69">
        <f>MAX(0,MIN(ROUND(Z68*(1+F$5),0)-F69,$AJ69-SUM($M69:O69)))</f>
        <v/>
      </c>
      <c r="Q69">
        <f>MAX(0,MIN(ROUND(AA68*(1+G$5),0)-G69,$AJ69-SUM($M69:P69)))</f>
        <v/>
      </c>
      <c r="R69">
        <f>MAX(0,MIN(ROUND(AB68*(1+H$5),0)-H69,$AJ69-SUM($M69:Q69)))</f>
        <v/>
      </c>
      <c r="S69">
        <f>MAX(0,MIN(ROUND(AC68*(1+I$5),0)-I69,$AJ69-SUM($M69:R69)))</f>
        <v/>
      </c>
      <c r="T69">
        <f>MAX(0,MIN(ROUND(AD68*(1+J$5),0)-J69,$AJ69-SUM($M69:S69)))</f>
        <v/>
      </c>
      <c r="U69">
        <f>MAX(0,MIN(ROUND(AE68*(1+K$5),0)-K69,$AJ69-SUM($M69:T69)))</f>
        <v/>
      </c>
      <c r="V69">
        <f>MAX(0,MIN(ROUND(AF68*(1+L$5),0)-L69,$AJ69-SUM($M69:U69)))</f>
        <v/>
      </c>
      <c r="W69">
        <f>MAX(0,ROUND(W68*(1+C$5),0)-C69-M69)</f>
        <v/>
      </c>
      <c r="X69">
        <f>MAX(0,ROUND(X68*(1+D$5),0)-D69-N69)</f>
        <v/>
      </c>
      <c r="Y69">
        <f>MAX(0,ROUND(Y68*(1+E$5),0)-E69-O69)</f>
        <v/>
      </c>
      <c r="Z69">
        <f>MAX(0,ROUND(Z68*(1+F$5),0)-F69-P69)</f>
        <v/>
      </c>
      <c r="AA69">
        <f>MAX(0,ROUND(AA68*(1+G$5),0)-G69-Q69)</f>
        <v/>
      </c>
      <c r="AB69">
        <f>MAX(0,ROUND(AB68*(1+H$5),0)-H69-R69)</f>
        <v/>
      </c>
      <c r="AC69">
        <f>MAX(0,ROUND(AC68*(1+I$5),0)-I69-S69)</f>
        <v/>
      </c>
      <c r="AD69">
        <f>MAX(0,ROUND(AD68*(1+J$5),0)-J69-T69)</f>
        <v/>
      </c>
      <c r="AE69">
        <f>MAX(0,ROUND(AE68*(1+K$5),0)-K69-U69)</f>
        <v/>
      </c>
      <c r="AF69">
        <f>MAX(0,ROUND(AF68*(1+L$5),0)-L69-V69)</f>
        <v/>
      </c>
      <c r="AG69">
        <f>AH69-(AI68-AI69)</f>
        <v/>
      </c>
      <c r="AH69">
        <f>SUM(C69:V69)</f>
        <v/>
      </c>
      <c r="AI69">
        <f>SUM(W69:AF69)</f>
        <v/>
      </c>
      <c r="AJ69">
        <f>MAX(0,PresTot-SUM(C69:L69))</f>
        <v/>
      </c>
      <c r="AK69">
        <f>IF(AI68&lt;=0,0,11-SUMPRODUCT(MAX((W68:AF68&gt;0)*(11-(COLUMN(W68:AF68)-COLUMN($V68))))))</f>
        <v/>
      </c>
    </row>
    <row r="70">
      <c r="A70" t="n">
        <v>60</v>
      </c>
      <c r="B70">
        <f>DATE(YEAR(InicioEf),MONTH(InicioEf)+A70-1,1)</f>
        <v/>
      </c>
      <c r="C70">
        <f>MIN(C$6,ROUND(W69*(1+C$5),0))</f>
        <v/>
      </c>
      <c r="D70">
        <f>MIN(D$6,ROUND(X69*(1+D$5),0))</f>
        <v/>
      </c>
      <c r="E70">
        <f>MIN(E$6,ROUND(Y69*(1+E$5),0))</f>
        <v/>
      </c>
      <c r="F70">
        <f>MIN(F$6,ROUND(Z69*(1+F$5),0))</f>
        <v/>
      </c>
      <c r="G70">
        <f>MIN(G$6,ROUND(AA69*(1+G$5),0))</f>
        <v/>
      </c>
      <c r="H70">
        <f>MIN(H$6,ROUND(AB69*(1+H$5),0))</f>
        <v/>
      </c>
      <c r="I70">
        <f>MIN(I$6,ROUND(AC69*(1+I$5),0))</f>
        <v/>
      </c>
      <c r="J70">
        <f>MIN(J$6,ROUND(AD69*(1+J$5),0))</f>
        <v/>
      </c>
      <c r="K70">
        <f>MIN(K$6,ROUND(AE69*(1+K$5),0))</f>
        <v/>
      </c>
      <c r="L70">
        <f>MIN(L$6,ROUND(AF69*(1+L$5),0))</f>
        <v/>
      </c>
      <c r="M70">
        <f>MAX(0,MIN(ROUND(W69*(1+C$5),0)-C70,$AJ70-0))</f>
        <v/>
      </c>
      <c r="N70">
        <f>MAX(0,MIN(ROUND(X69*(1+D$5),0)-D70,$AJ70-SUM($M70:M70)))</f>
        <v/>
      </c>
      <c r="O70">
        <f>MAX(0,MIN(ROUND(Y69*(1+E$5),0)-E70,$AJ70-SUM($M70:N70)))</f>
        <v/>
      </c>
      <c r="P70">
        <f>MAX(0,MIN(ROUND(Z69*(1+F$5),0)-F70,$AJ70-SUM($M70:O70)))</f>
        <v/>
      </c>
      <c r="Q70">
        <f>MAX(0,MIN(ROUND(AA69*(1+G$5),0)-G70,$AJ70-SUM($M70:P70)))</f>
        <v/>
      </c>
      <c r="R70">
        <f>MAX(0,MIN(ROUND(AB69*(1+H$5),0)-H70,$AJ70-SUM($M70:Q70)))</f>
        <v/>
      </c>
      <c r="S70">
        <f>MAX(0,MIN(ROUND(AC69*(1+I$5),0)-I70,$AJ70-SUM($M70:R70)))</f>
        <v/>
      </c>
      <c r="T70">
        <f>MAX(0,MIN(ROUND(AD69*(1+J$5),0)-J70,$AJ70-SUM($M70:S70)))</f>
        <v/>
      </c>
      <c r="U70">
        <f>MAX(0,MIN(ROUND(AE69*(1+K$5),0)-K70,$AJ70-SUM($M70:T70)))</f>
        <v/>
      </c>
      <c r="V70">
        <f>MAX(0,MIN(ROUND(AF69*(1+L$5),0)-L70,$AJ70-SUM($M70:U70)))</f>
        <v/>
      </c>
      <c r="W70">
        <f>MAX(0,ROUND(W69*(1+C$5),0)-C70-M70)</f>
        <v/>
      </c>
      <c r="X70">
        <f>MAX(0,ROUND(X69*(1+D$5),0)-D70-N70)</f>
        <v/>
      </c>
      <c r="Y70">
        <f>MAX(0,ROUND(Y69*(1+E$5),0)-E70-O70)</f>
        <v/>
      </c>
      <c r="Z70">
        <f>MAX(0,ROUND(Z69*(1+F$5),0)-F70-P70)</f>
        <v/>
      </c>
      <c r="AA70">
        <f>MAX(0,ROUND(AA69*(1+G$5),0)-G70-Q70)</f>
        <v/>
      </c>
      <c r="AB70">
        <f>MAX(0,ROUND(AB69*(1+H$5),0)-H70-R70)</f>
        <v/>
      </c>
      <c r="AC70">
        <f>MAX(0,ROUND(AC69*(1+I$5),0)-I70-S70)</f>
        <v/>
      </c>
      <c r="AD70">
        <f>MAX(0,ROUND(AD69*(1+J$5),0)-J70-T70)</f>
        <v/>
      </c>
      <c r="AE70">
        <f>MAX(0,ROUND(AE69*(1+K$5),0)-K70-U70)</f>
        <v/>
      </c>
      <c r="AF70">
        <f>MAX(0,ROUND(AF69*(1+L$5),0)-L70-V70)</f>
        <v/>
      </c>
      <c r="AG70">
        <f>AH70-(AI69-AI70)</f>
        <v/>
      </c>
      <c r="AH70">
        <f>SUM(C70:V70)</f>
        <v/>
      </c>
      <c r="AI70">
        <f>SUM(W70:AF70)</f>
        <v/>
      </c>
      <c r="AJ70">
        <f>MAX(0,PresTot-SUM(C70:L70))</f>
        <v/>
      </c>
      <c r="AK70">
        <f>IF(AI69&lt;=0,0,11-SUMPRODUCT(MAX((W69:AF69&gt;0)*(11-(COLUMN(W69:AF69)-COLUMN($V69))))))</f>
        <v/>
      </c>
    </row>
    <row r="71">
      <c r="A71" t="n">
        <v>61</v>
      </c>
      <c r="B71">
        <f>DATE(YEAR(InicioEf),MONTH(InicioEf)+A71-1,1)</f>
        <v/>
      </c>
      <c r="C71">
        <f>MIN(C$6,ROUND(W70*(1+C$5),0))</f>
        <v/>
      </c>
      <c r="D71">
        <f>MIN(D$6,ROUND(X70*(1+D$5),0))</f>
        <v/>
      </c>
      <c r="E71">
        <f>MIN(E$6,ROUND(Y70*(1+E$5),0))</f>
        <v/>
      </c>
      <c r="F71">
        <f>MIN(F$6,ROUND(Z70*(1+F$5),0))</f>
        <v/>
      </c>
      <c r="G71">
        <f>MIN(G$6,ROUND(AA70*(1+G$5),0))</f>
        <v/>
      </c>
      <c r="H71">
        <f>MIN(H$6,ROUND(AB70*(1+H$5),0))</f>
        <v/>
      </c>
      <c r="I71">
        <f>MIN(I$6,ROUND(AC70*(1+I$5),0))</f>
        <v/>
      </c>
      <c r="J71">
        <f>MIN(J$6,ROUND(AD70*(1+J$5),0))</f>
        <v/>
      </c>
      <c r="K71">
        <f>MIN(K$6,ROUND(AE70*(1+K$5),0))</f>
        <v/>
      </c>
      <c r="L71">
        <f>MIN(L$6,ROUND(AF70*(1+L$5),0))</f>
        <v/>
      </c>
      <c r="M71">
        <f>MAX(0,MIN(ROUND(W70*(1+C$5),0)-C71,$AJ71-0))</f>
        <v/>
      </c>
      <c r="N71">
        <f>MAX(0,MIN(ROUND(X70*(1+D$5),0)-D71,$AJ71-SUM($M71:M71)))</f>
        <v/>
      </c>
      <c r="O71">
        <f>MAX(0,MIN(ROUND(Y70*(1+E$5),0)-E71,$AJ71-SUM($M71:N71)))</f>
        <v/>
      </c>
      <c r="P71">
        <f>MAX(0,MIN(ROUND(Z70*(1+F$5),0)-F71,$AJ71-SUM($M71:O71)))</f>
        <v/>
      </c>
      <c r="Q71">
        <f>MAX(0,MIN(ROUND(AA70*(1+G$5),0)-G71,$AJ71-SUM($M71:P71)))</f>
        <v/>
      </c>
      <c r="R71">
        <f>MAX(0,MIN(ROUND(AB70*(1+H$5),0)-H71,$AJ71-SUM($M71:Q71)))</f>
        <v/>
      </c>
      <c r="S71">
        <f>MAX(0,MIN(ROUND(AC70*(1+I$5),0)-I71,$AJ71-SUM($M71:R71)))</f>
        <v/>
      </c>
      <c r="T71">
        <f>MAX(0,MIN(ROUND(AD70*(1+J$5),0)-J71,$AJ71-SUM($M71:S71)))</f>
        <v/>
      </c>
      <c r="U71">
        <f>MAX(0,MIN(ROUND(AE70*(1+K$5),0)-K71,$AJ71-SUM($M71:T71)))</f>
        <v/>
      </c>
      <c r="V71">
        <f>MAX(0,MIN(ROUND(AF70*(1+L$5),0)-L71,$AJ71-SUM($M71:U71)))</f>
        <v/>
      </c>
      <c r="W71">
        <f>MAX(0,ROUND(W70*(1+C$5),0)-C71-M71)</f>
        <v/>
      </c>
      <c r="X71">
        <f>MAX(0,ROUND(X70*(1+D$5),0)-D71-N71)</f>
        <v/>
      </c>
      <c r="Y71">
        <f>MAX(0,ROUND(Y70*(1+E$5),0)-E71-O71)</f>
        <v/>
      </c>
      <c r="Z71">
        <f>MAX(0,ROUND(Z70*(1+F$5),0)-F71-P71)</f>
        <v/>
      </c>
      <c r="AA71">
        <f>MAX(0,ROUND(AA70*(1+G$5),0)-G71-Q71)</f>
        <v/>
      </c>
      <c r="AB71">
        <f>MAX(0,ROUND(AB70*(1+H$5),0)-H71-R71)</f>
        <v/>
      </c>
      <c r="AC71">
        <f>MAX(0,ROUND(AC70*(1+I$5),0)-I71-S71)</f>
        <v/>
      </c>
      <c r="AD71">
        <f>MAX(0,ROUND(AD70*(1+J$5),0)-J71-T71)</f>
        <v/>
      </c>
      <c r="AE71">
        <f>MAX(0,ROUND(AE70*(1+K$5),0)-K71-U71)</f>
        <v/>
      </c>
      <c r="AF71">
        <f>MAX(0,ROUND(AF70*(1+L$5),0)-L71-V71)</f>
        <v/>
      </c>
      <c r="AG71">
        <f>AH71-(AI70-AI71)</f>
        <v/>
      </c>
      <c r="AH71">
        <f>SUM(C71:V71)</f>
        <v/>
      </c>
      <c r="AI71">
        <f>SUM(W71:AF71)</f>
        <v/>
      </c>
      <c r="AJ71">
        <f>MAX(0,PresTot-SUM(C71:L71))</f>
        <v/>
      </c>
      <c r="AK71">
        <f>IF(AI70&lt;=0,0,11-SUMPRODUCT(MAX((W70:AF70&gt;0)*(11-(COLUMN(W70:AF70)-COLUMN($V70))))))</f>
        <v/>
      </c>
    </row>
    <row r="72">
      <c r="A72" t="n">
        <v>62</v>
      </c>
      <c r="B72">
        <f>DATE(YEAR(InicioEf),MONTH(InicioEf)+A72-1,1)</f>
        <v/>
      </c>
      <c r="C72">
        <f>MIN(C$6,ROUND(W71*(1+C$5),0))</f>
        <v/>
      </c>
      <c r="D72">
        <f>MIN(D$6,ROUND(X71*(1+D$5),0))</f>
        <v/>
      </c>
      <c r="E72">
        <f>MIN(E$6,ROUND(Y71*(1+E$5),0))</f>
        <v/>
      </c>
      <c r="F72">
        <f>MIN(F$6,ROUND(Z71*(1+F$5),0))</f>
        <v/>
      </c>
      <c r="G72">
        <f>MIN(G$6,ROUND(AA71*(1+G$5),0))</f>
        <v/>
      </c>
      <c r="H72">
        <f>MIN(H$6,ROUND(AB71*(1+H$5),0))</f>
        <v/>
      </c>
      <c r="I72">
        <f>MIN(I$6,ROUND(AC71*(1+I$5),0))</f>
        <v/>
      </c>
      <c r="J72">
        <f>MIN(J$6,ROUND(AD71*(1+J$5),0))</f>
        <v/>
      </c>
      <c r="K72">
        <f>MIN(K$6,ROUND(AE71*(1+K$5),0))</f>
        <v/>
      </c>
      <c r="L72">
        <f>MIN(L$6,ROUND(AF71*(1+L$5),0))</f>
        <v/>
      </c>
      <c r="M72">
        <f>MAX(0,MIN(ROUND(W71*(1+C$5),0)-C72,$AJ72-0))</f>
        <v/>
      </c>
      <c r="N72">
        <f>MAX(0,MIN(ROUND(X71*(1+D$5),0)-D72,$AJ72-SUM($M72:M72)))</f>
        <v/>
      </c>
      <c r="O72">
        <f>MAX(0,MIN(ROUND(Y71*(1+E$5),0)-E72,$AJ72-SUM($M72:N72)))</f>
        <v/>
      </c>
      <c r="P72">
        <f>MAX(0,MIN(ROUND(Z71*(1+F$5),0)-F72,$AJ72-SUM($M72:O72)))</f>
        <v/>
      </c>
      <c r="Q72">
        <f>MAX(0,MIN(ROUND(AA71*(1+G$5),0)-G72,$AJ72-SUM($M72:P72)))</f>
        <v/>
      </c>
      <c r="R72">
        <f>MAX(0,MIN(ROUND(AB71*(1+H$5),0)-H72,$AJ72-SUM($M72:Q72)))</f>
        <v/>
      </c>
      <c r="S72">
        <f>MAX(0,MIN(ROUND(AC71*(1+I$5),0)-I72,$AJ72-SUM($M72:R72)))</f>
        <v/>
      </c>
      <c r="T72">
        <f>MAX(0,MIN(ROUND(AD71*(1+J$5),0)-J72,$AJ72-SUM($M72:S72)))</f>
        <v/>
      </c>
      <c r="U72">
        <f>MAX(0,MIN(ROUND(AE71*(1+K$5),0)-K72,$AJ72-SUM($M72:T72)))</f>
        <v/>
      </c>
      <c r="V72">
        <f>MAX(0,MIN(ROUND(AF71*(1+L$5),0)-L72,$AJ72-SUM($M72:U72)))</f>
        <v/>
      </c>
      <c r="W72">
        <f>MAX(0,ROUND(W71*(1+C$5),0)-C72-M72)</f>
        <v/>
      </c>
      <c r="X72">
        <f>MAX(0,ROUND(X71*(1+D$5),0)-D72-N72)</f>
        <v/>
      </c>
      <c r="Y72">
        <f>MAX(0,ROUND(Y71*(1+E$5),0)-E72-O72)</f>
        <v/>
      </c>
      <c r="Z72">
        <f>MAX(0,ROUND(Z71*(1+F$5),0)-F72-P72)</f>
        <v/>
      </c>
      <c r="AA72">
        <f>MAX(0,ROUND(AA71*(1+G$5),0)-G72-Q72)</f>
        <v/>
      </c>
      <c r="AB72">
        <f>MAX(0,ROUND(AB71*(1+H$5),0)-H72-R72)</f>
        <v/>
      </c>
      <c r="AC72">
        <f>MAX(0,ROUND(AC71*(1+I$5),0)-I72-S72)</f>
        <v/>
      </c>
      <c r="AD72">
        <f>MAX(0,ROUND(AD71*(1+J$5),0)-J72-T72)</f>
        <v/>
      </c>
      <c r="AE72">
        <f>MAX(0,ROUND(AE71*(1+K$5),0)-K72-U72)</f>
        <v/>
      </c>
      <c r="AF72">
        <f>MAX(0,ROUND(AF71*(1+L$5),0)-L72-V72)</f>
        <v/>
      </c>
      <c r="AG72">
        <f>AH72-(AI71-AI72)</f>
        <v/>
      </c>
      <c r="AH72">
        <f>SUM(C72:V72)</f>
        <v/>
      </c>
      <c r="AI72">
        <f>SUM(W72:AF72)</f>
        <v/>
      </c>
      <c r="AJ72">
        <f>MAX(0,PresTot-SUM(C72:L72))</f>
        <v/>
      </c>
      <c r="AK72">
        <f>IF(AI71&lt;=0,0,11-SUMPRODUCT(MAX((W71:AF71&gt;0)*(11-(COLUMN(W71:AF71)-COLUMN($V71))))))</f>
        <v/>
      </c>
    </row>
    <row r="73">
      <c r="A73" t="n">
        <v>63</v>
      </c>
      <c r="B73">
        <f>DATE(YEAR(InicioEf),MONTH(InicioEf)+A73-1,1)</f>
        <v/>
      </c>
      <c r="C73">
        <f>MIN(C$6,ROUND(W72*(1+C$5),0))</f>
        <v/>
      </c>
      <c r="D73">
        <f>MIN(D$6,ROUND(X72*(1+D$5),0))</f>
        <v/>
      </c>
      <c r="E73">
        <f>MIN(E$6,ROUND(Y72*(1+E$5),0))</f>
        <v/>
      </c>
      <c r="F73">
        <f>MIN(F$6,ROUND(Z72*(1+F$5),0))</f>
        <v/>
      </c>
      <c r="G73">
        <f>MIN(G$6,ROUND(AA72*(1+G$5),0))</f>
        <v/>
      </c>
      <c r="H73">
        <f>MIN(H$6,ROUND(AB72*(1+H$5),0))</f>
        <v/>
      </c>
      <c r="I73">
        <f>MIN(I$6,ROUND(AC72*(1+I$5),0))</f>
        <v/>
      </c>
      <c r="J73">
        <f>MIN(J$6,ROUND(AD72*(1+J$5),0))</f>
        <v/>
      </c>
      <c r="K73">
        <f>MIN(K$6,ROUND(AE72*(1+K$5),0))</f>
        <v/>
      </c>
      <c r="L73">
        <f>MIN(L$6,ROUND(AF72*(1+L$5),0))</f>
        <v/>
      </c>
      <c r="M73">
        <f>MAX(0,MIN(ROUND(W72*(1+C$5),0)-C73,$AJ73-0))</f>
        <v/>
      </c>
      <c r="N73">
        <f>MAX(0,MIN(ROUND(X72*(1+D$5),0)-D73,$AJ73-SUM($M73:M73)))</f>
        <v/>
      </c>
      <c r="O73">
        <f>MAX(0,MIN(ROUND(Y72*(1+E$5),0)-E73,$AJ73-SUM($M73:N73)))</f>
        <v/>
      </c>
      <c r="P73">
        <f>MAX(0,MIN(ROUND(Z72*(1+F$5),0)-F73,$AJ73-SUM($M73:O73)))</f>
        <v/>
      </c>
      <c r="Q73">
        <f>MAX(0,MIN(ROUND(AA72*(1+G$5),0)-G73,$AJ73-SUM($M73:P73)))</f>
        <v/>
      </c>
      <c r="R73">
        <f>MAX(0,MIN(ROUND(AB72*(1+H$5),0)-H73,$AJ73-SUM($M73:Q73)))</f>
        <v/>
      </c>
      <c r="S73">
        <f>MAX(0,MIN(ROUND(AC72*(1+I$5),0)-I73,$AJ73-SUM($M73:R73)))</f>
        <v/>
      </c>
      <c r="T73">
        <f>MAX(0,MIN(ROUND(AD72*(1+J$5),0)-J73,$AJ73-SUM($M73:S73)))</f>
        <v/>
      </c>
      <c r="U73">
        <f>MAX(0,MIN(ROUND(AE72*(1+K$5),0)-K73,$AJ73-SUM($M73:T73)))</f>
        <v/>
      </c>
      <c r="V73">
        <f>MAX(0,MIN(ROUND(AF72*(1+L$5),0)-L73,$AJ73-SUM($M73:U73)))</f>
        <v/>
      </c>
      <c r="W73">
        <f>MAX(0,ROUND(W72*(1+C$5),0)-C73-M73)</f>
        <v/>
      </c>
      <c r="X73">
        <f>MAX(0,ROUND(X72*(1+D$5),0)-D73-N73)</f>
        <v/>
      </c>
      <c r="Y73">
        <f>MAX(0,ROUND(Y72*(1+E$5),0)-E73-O73)</f>
        <v/>
      </c>
      <c r="Z73">
        <f>MAX(0,ROUND(Z72*(1+F$5),0)-F73-P73)</f>
        <v/>
      </c>
      <c r="AA73">
        <f>MAX(0,ROUND(AA72*(1+G$5),0)-G73-Q73)</f>
        <v/>
      </c>
      <c r="AB73">
        <f>MAX(0,ROUND(AB72*(1+H$5),0)-H73-R73)</f>
        <v/>
      </c>
      <c r="AC73">
        <f>MAX(0,ROUND(AC72*(1+I$5),0)-I73-S73)</f>
        <v/>
      </c>
      <c r="AD73">
        <f>MAX(0,ROUND(AD72*(1+J$5),0)-J73-T73)</f>
        <v/>
      </c>
      <c r="AE73">
        <f>MAX(0,ROUND(AE72*(1+K$5),0)-K73-U73)</f>
        <v/>
      </c>
      <c r="AF73">
        <f>MAX(0,ROUND(AF72*(1+L$5),0)-L73-V73)</f>
        <v/>
      </c>
      <c r="AG73">
        <f>AH73-(AI72-AI73)</f>
        <v/>
      </c>
      <c r="AH73">
        <f>SUM(C73:V73)</f>
        <v/>
      </c>
      <c r="AI73">
        <f>SUM(W73:AF73)</f>
        <v/>
      </c>
      <c r="AJ73">
        <f>MAX(0,PresTot-SUM(C73:L73))</f>
        <v/>
      </c>
      <c r="AK73">
        <f>IF(AI72&lt;=0,0,11-SUMPRODUCT(MAX((W72:AF72&gt;0)*(11-(COLUMN(W72:AF72)-COLUMN($V72))))))</f>
        <v/>
      </c>
    </row>
    <row r="74">
      <c r="A74" t="n">
        <v>64</v>
      </c>
      <c r="B74">
        <f>DATE(YEAR(InicioEf),MONTH(InicioEf)+A74-1,1)</f>
        <v/>
      </c>
      <c r="C74">
        <f>MIN(C$6,ROUND(W73*(1+C$5),0))</f>
        <v/>
      </c>
      <c r="D74">
        <f>MIN(D$6,ROUND(X73*(1+D$5),0))</f>
        <v/>
      </c>
      <c r="E74">
        <f>MIN(E$6,ROUND(Y73*(1+E$5),0))</f>
        <v/>
      </c>
      <c r="F74">
        <f>MIN(F$6,ROUND(Z73*(1+F$5),0))</f>
        <v/>
      </c>
      <c r="G74">
        <f>MIN(G$6,ROUND(AA73*(1+G$5),0))</f>
        <v/>
      </c>
      <c r="H74">
        <f>MIN(H$6,ROUND(AB73*(1+H$5),0))</f>
        <v/>
      </c>
      <c r="I74">
        <f>MIN(I$6,ROUND(AC73*(1+I$5),0))</f>
        <v/>
      </c>
      <c r="J74">
        <f>MIN(J$6,ROUND(AD73*(1+J$5),0))</f>
        <v/>
      </c>
      <c r="K74">
        <f>MIN(K$6,ROUND(AE73*(1+K$5),0))</f>
        <v/>
      </c>
      <c r="L74">
        <f>MIN(L$6,ROUND(AF73*(1+L$5),0))</f>
        <v/>
      </c>
      <c r="M74">
        <f>MAX(0,MIN(ROUND(W73*(1+C$5),0)-C74,$AJ74-0))</f>
        <v/>
      </c>
      <c r="N74">
        <f>MAX(0,MIN(ROUND(X73*(1+D$5),0)-D74,$AJ74-SUM($M74:M74)))</f>
        <v/>
      </c>
      <c r="O74">
        <f>MAX(0,MIN(ROUND(Y73*(1+E$5),0)-E74,$AJ74-SUM($M74:N74)))</f>
        <v/>
      </c>
      <c r="P74">
        <f>MAX(0,MIN(ROUND(Z73*(1+F$5),0)-F74,$AJ74-SUM($M74:O74)))</f>
        <v/>
      </c>
      <c r="Q74">
        <f>MAX(0,MIN(ROUND(AA73*(1+G$5),0)-G74,$AJ74-SUM($M74:P74)))</f>
        <v/>
      </c>
      <c r="R74">
        <f>MAX(0,MIN(ROUND(AB73*(1+H$5),0)-H74,$AJ74-SUM($M74:Q74)))</f>
        <v/>
      </c>
      <c r="S74">
        <f>MAX(0,MIN(ROUND(AC73*(1+I$5),0)-I74,$AJ74-SUM($M74:R74)))</f>
        <v/>
      </c>
      <c r="T74">
        <f>MAX(0,MIN(ROUND(AD73*(1+J$5),0)-J74,$AJ74-SUM($M74:S74)))</f>
        <v/>
      </c>
      <c r="U74">
        <f>MAX(0,MIN(ROUND(AE73*(1+K$5),0)-K74,$AJ74-SUM($M74:T74)))</f>
        <v/>
      </c>
      <c r="V74">
        <f>MAX(0,MIN(ROUND(AF73*(1+L$5),0)-L74,$AJ74-SUM($M74:U74)))</f>
        <v/>
      </c>
      <c r="W74">
        <f>MAX(0,ROUND(W73*(1+C$5),0)-C74-M74)</f>
        <v/>
      </c>
      <c r="X74">
        <f>MAX(0,ROUND(X73*(1+D$5),0)-D74-N74)</f>
        <v/>
      </c>
      <c r="Y74">
        <f>MAX(0,ROUND(Y73*(1+E$5),0)-E74-O74)</f>
        <v/>
      </c>
      <c r="Z74">
        <f>MAX(0,ROUND(Z73*(1+F$5),0)-F74-P74)</f>
        <v/>
      </c>
      <c r="AA74">
        <f>MAX(0,ROUND(AA73*(1+G$5),0)-G74-Q74)</f>
        <v/>
      </c>
      <c r="AB74">
        <f>MAX(0,ROUND(AB73*(1+H$5),0)-H74-R74)</f>
        <v/>
      </c>
      <c r="AC74">
        <f>MAX(0,ROUND(AC73*(1+I$5),0)-I74-S74)</f>
        <v/>
      </c>
      <c r="AD74">
        <f>MAX(0,ROUND(AD73*(1+J$5),0)-J74-T74)</f>
        <v/>
      </c>
      <c r="AE74">
        <f>MAX(0,ROUND(AE73*(1+K$5),0)-K74-U74)</f>
        <v/>
      </c>
      <c r="AF74">
        <f>MAX(0,ROUND(AF73*(1+L$5),0)-L74-V74)</f>
        <v/>
      </c>
      <c r="AG74">
        <f>AH74-(AI73-AI74)</f>
        <v/>
      </c>
      <c r="AH74">
        <f>SUM(C74:V74)</f>
        <v/>
      </c>
      <c r="AI74">
        <f>SUM(W74:AF74)</f>
        <v/>
      </c>
      <c r="AJ74">
        <f>MAX(0,PresTot-SUM(C74:L74))</f>
        <v/>
      </c>
      <c r="AK74">
        <f>IF(AI73&lt;=0,0,11-SUMPRODUCT(MAX((W73:AF73&gt;0)*(11-(COLUMN(W73:AF73)-COLUMN($V73))))))</f>
        <v/>
      </c>
    </row>
    <row r="75">
      <c r="A75" t="n">
        <v>65</v>
      </c>
      <c r="B75">
        <f>DATE(YEAR(InicioEf),MONTH(InicioEf)+A75-1,1)</f>
        <v/>
      </c>
      <c r="C75">
        <f>MIN(C$6,ROUND(W74*(1+C$5),0))</f>
        <v/>
      </c>
      <c r="D75">
        <f>MIN(D$6,ROUND(X74*(1+D$5),0))</f>
        <v/>
      </c>
      <c r="E75">
        <f>MIN(E$6,ROUND(Y74*(1+E$5),0))</f>
        <v/>
      </c>
      <c r="F75">
        <f>MIN(F$6,ROUND(Z74*(1+F$5),0))</f>
        <v/>
      </c>
      <c r="G75">
        <f>MIN(G$6,ROUND(AA74*(1+G$5),0))</f>
        <v/>
      </c>
      <c r="H75">
        <f>MIN(H$6,ROUND(AB74*(1+H$5),0))</f>
        <v/>
      </c>
      <c r="I75">
        <f>MIN(I$6,ROUND(AC74*(1+I$5),0))</f>
        <v/>
      </c>
      <c r="J75">
        <f>MIN(J$6,ROUND(AD74*(1+J$5),0))</f>
        <v/>
      </c>
      <c r="K75">
        <f>MIN(K$6,ROUND(AE74*(1+K$5),0))</f>
        <v/>
      </c>
      <c r="L75">
        <f>MIN(L$6,ROUND(AF74*(1+L$5),0))</f>
        <v/>
      </c>
      <c r="M75">
        <f>MAX(0,MIN(ROUND(W74*(1+C$5),0)-C75,$AJ75-0))</f>
        <v/>
      </c>
      <c r="N75">
        <f>MAX(0,MIN(ROUND(X74*(1+D$5),0)-D75,$AJ75-SUM($M75:M75)))</f>
        <v/>
      </c>
      <c r="O75">
        <f>MAX(0,MIN(ROUND(Y74*(1+E$5),0)-E75,$AJ75-SUM($M75:N75)))</f>
        <v/>
      </c>
      <c r="P75">
        <f>MAX(0,MIN(ROUND(Z74*(1+F$5),0)-F75,$AJ75-SUM($M75:O75)))</f>
        <v/>
      </c>
      <c r="Q75">
        <f>MAX(0,MIN(ROUND(AA74*(1+G$5),0)-G75,$AJ75-SUM($M75:P75)))</f>
        <v/>
      </c>
      <c r="R75">
        <f>MAX(0,MIN(ROUND(AB74*(1+H$5),0)-H75,$AJ75-SUM($M75:Q75)))</f>
        <v/>
      </c>
      <c r="S75">
        <f>MAX(0,MIN(ROUND(AC74*(1+I$5),0)-I75,$AJ75-SUM($M75:R75)))</f>
        <v/>
      </c>
      <c r="T75">
        <f>MAX(0,MIN(ROUND(AD74*(1+J$5),0)-J75,$AJ75-SUM($M75:S75)))</f>
        <v/>
      </c>
      <c r="U75">
        <f>MAX(0,MIN(ROUND(AE74*(1+K$5),0)-K75,$AJ75-SUM($M75:T75)))</f>
        <v/>
      </c>
      <c r="V75">
        <f>MAX(0,MIN(ROUND(AF74*(1+L$5),0)-L75,$AJ75-SUM($M75:U75)))</f>
        <v/>
      </c>
      <c r="W75">
        <f>MAX(0,ROUND(W74*(1+C$5),0)-C75-M75)</f>
        <v/>
      </c>
      <c r="X75">
        <f>MAX(0,ROUND(X74*(1+D$5),0)-D75-N75)</f>
        <v/>
      </c>
      <c r="Y75">
        <f>MAX(0,ROUND(Y74*(1+E$5),0)-E75-O75)</f>
        <v/>
      </c>
      <c r="Z75">
        <f>MAX(0,ROUND(Z74*(1+F$5),0)-F75-P75)</f>
        <v/>
      </c>
      <c r="AA75">
        <f>MAX(0,ROUND(AA74*(1+G$5),0)-G75-Q75)</f>
        <v/>
      </c>
      <c r="AB75">
        <f>MAX(0,ROUND(AB74*(1+H$5),0)-H75-R75)</f>
        <v/>
      </c>
      <c r="AC75">
        <f>MAX(0,ROUND(AC74*(1+I$5),0)-I75-S75)</f>
        <v/>
      </c>
      <c r="AD75">
        <f>MAX(0,ROUND(AD74*(1+J$5),0)-J75-T75)</f>
        <v/>
      </c>
      <c r="AE75">
        <f>MAX(0,ROUND(AE74*(1+K$5),0)-K75-U75)</f>
        <v/>
      </c>
      <c r="AF75">
        <f>MAX(0,ROUND(AF74*(1+L$5),0)-L75-V75)</f>
        <v/>
      </c>
      <c r="AG75">
        <f>AH75-(AI74-AI75)</f>
        <v/>
      </c>
      <c r="AH75">
        <f>SUM(C75:V75)</f>
        <v/>
      </c>
      <c r="AI75">
        <f>SUM(W75:AF75)</f>
        <v/>
      </c>
      <c r="AJ75">
        <f>MAX(0,PresTot-SUM(C75:L75))</f>
        <v/>
      </c>
      <c r="AK75">
        <f>IF(AI74&lt;=0,0,11-SUMPRODUCT(MAX((W74:AF74&gt;0)*(11-(COLUMN(W74:AF74)-COLUMN($V74))))))</f>
        <v/>
      </c>
    </row>
    <row r="76">
      <c r="A76" t="n">
        <v>66</v>
      </c>
      <c r="B76">
        <f>DATE(YEAR(InicioEf),MONTH(InicioEf)+A76-1,1)</f>
        <v/>
      </c>
      <c r="C76">
        <f>MIN(C$6,ROUND(W75*(1+C$5),0))</f>
        <v/>
      </c>
      <c r="D76">
        <f>MIN(D$6,ROUND(X75*(1+D$5),0))</f>
        <v/>
      </c>
      <c r="E76">
        <f>MIN(E$6,ROUND(Y75*(1+E$5),0))</f>
        <v/>
      </c>
      <c r="F76">
        <f>MIN(F$6,ROUND(Z75*(1+F$5),0))</f>
        <v/>
      </c>
      <c r="G76">
        <f>MIN(G$6,ROUND(AA75*(1+G$5),0))</f>
        <v/>
      </c>
      <c r="H76">
        <f>MIN(H$6,ROUND(AB75*(1+H$5),0))</f>
        <v/>
      </c>
      <c r="I76">
        <f>MIN(I$6,ROUND(AC75*(1+I$5),0))</f>
        <v/>
      </c>
      <c r="J76">
        <f>MIN(J$6,ROUND(AD75*(1+J$5),0))</f>
        <v/>
      </c>
      <c r="K76">
        <f>MIN(K$6,ROUND(AE75*(1+K$5),0))</f>
        <v/>
      </c>
      <c r="L76">
        <f>MIN(L$6,ROUND(AF75*(1+L$5),0))</f>
        <v/>
      </c>
      <c r="M76">
        <f>MAX(0,MIN(ROUND(W75*(1+C$5),0)-C76,$AJ76-0))</f>
        <v/>
      </c>
      <c r="N76">
        <f>MAX(0,MIN(ROUND(X75*(1+D$5),0)-D76,$AJ76-SUM($M76:M76)))</f>
        <v/>
      </c>
      <c r="O76">
        <f>MAX(0,MIN(ROUND(Y75*(1+E$5),0)-E76,$AJ76-SUM($M76:N76)))</f>
        <v/>
      </c>
      <c r="P76">
        <f>MAX(0,MIN(ROUND(Z75*(1+F$5),0)-F76,$AJ76-SUM($M76:O76)))</f>
        <v/>
      </c>
      <c r="Q76">
        <f>MAX(0,MIN(ROUND(AA75*(1+G$5),0)-G76,$AJ76-SUM($M76:P76)))</f>
        <v/>
      </c>
      <c r="R76">
        <f>MAX(0,MIN(ROUND(AB75*(1+H$5),0)-H76,$AJ76-SUM($M76:Q76)))</f>
        <v/>
      </c>
      <c r="S76">
        <f>MAX(0,MIN(ROUND(AC75*(1+I$5),0)-I76,$AJ76-SUM($M76:R76)))</f>
        <v/>
      </c>
      <c r="T76">
        <f>MAX(0,MIN(ROUND(AD75*(1+J$5),0)-J76,$AJ76-SUM($M76:S76)))</f>
        <v/>
      </c>
      <c r="U76">
        <f>MAX(0,MIN(ROUND(AE75*(1+K$5),0)-K76,$AJ76-SUM($M76:T76)))</f>
        <v/>
      </c>
      <c r="V76">
        <f>MAX(0,MIN(ROUND(AF75*(1+L$5),0)-L76,$AJ76-SUM($M76:U76)))</f>
        <v/>
      </c>
      <c r="W76">
        <f>MAX(0,ROUND(W75*(1+C$5),0)-C76-M76)</f>
        <v/>
      </c>
      <c r="X76">
        <f>MAX(0,ROUND(X75*(1+D$5),0)-D76-N76)</f>
        <v/>
      </c>
      <c r="Y76">
        <f>MAX(0,ROUND(Y75*(1+E$5),0)-E76-O76)</f>
        <v/>
      </c>
      <c r="Z76">
        <f>MAX(0,ROUND(Z75*(1+F$5),0)-F76-P76)</f>
        <v/>
      </c>
      <c r="AA76">
        <f>MAX(0,ROUND(AA75*(1+G$5),0)-G76-Q76)</f>
        <v/>
      </c>
      <c r="AB76">
        <f>MAX(0,ROUND(AB75*(1+H$5),0)-H76-R76)</f>
        <v/>
      </c>
      <c r="AC76">
        <f>MAX(0,ROUND(AC75*(1+I$5),0)-I76-S76)</f>
        <v/>
      </c>
      <c r="AD76">
        <f>MAX(0,ROUND(AD75*(1+J$5),0)-J76-T76)</f>
        <v/>
      </c>
      <c r="AE76">
        <f>MAX(0,ROUND(AE75*(1+K$5),0)-K76-U76)</f>
        <v/>
      </c>
      <c r="AF76">
        <f>MAX(0,ROUND(AF75*(1+L$5),0)-L76-V76)</f>
        <v/>
      </c>
      <c r="AG76">
        <f>AH76-(AI75-AI76)</f>
        <v/>
      </c>
      <c r="AH76">
        <f>SUM(C76:V76)</f>
        <v/>
      </c>
      <c r="AI76">
        <f>SUM(W76:AF76)</f>
        <v/>
      </c>
      <c r="AJ76">
        <f>MAX(0,PresTot-SUM(C76:L76))</f>
        <v/>
      </c>
      <c r="AK76">
        <f>IF(AI75&lt;=0,0,11-SUMPRODUCT(MAX((W75:AF75&gt;0)*(11-(COLUMN(W75:AF75)-COLUMN($V75))))))</f>
        <v/>
      </c>
    </row>
    <row r="77">
      <c r="A77" t="n">
        <v>67</v>
      </c>
      <c r="B77">
        <f>DATE(YEAR(InicioEf),MONTH(InicioEf)+A77-1,1)</f>
        <v/>
      </c>
      <c r="C77">
        <f>MIN(C$6,ROUND(W76*(1+C$5),0))</f>
        <v/>
      </c>
      <c r="D77">
        <f>MIN(D$6,ROUND(X76*(1+D$5),0))</f>
        <v/>
      </c>
      <c r="E77">
        <f>MIN(E$6,ROUND(Y76*(1+E$5),0))</f>
        <v/>
      </c>
      <c r="F77">
        <f>MIN(F$6,ROUND(Z76*(1+F$5),0))</f>
        <v/>
      </c>
      <c r="G77">
        <f>MIN(G$6,ROUND(AA76*(1+G$5),0))</f>
        <v/>
      </c>
      <c r="H77">
        <f>MIN(H$6,ROUND(AB76*(1+H$5),0))</f>
        <v/>
      </c>
      <c r="I77">
        <f>MIN(I$6,ROUND(AC76*(1+I$5),0))</f>
        <v/>
      </c>
      <c r="J77">
        <f>MIN(J$6,ROUND(AD76*(1+J$5),0))</f>
        <v/>
      </c>
      <c r="K77">
        <f>MIN(K$6,ROUND(AE76*(1+K$5),0))</f>
        <v/>
      </c>
      <c r="L77">
        <f>MIN(L$6,ROUND(AF76*(1+L$5),0))</f>
        <v/>
      </c>
      <c r="M77">
        <f>MAX(0,MIN(ROUND(W76*(1+C$5),0)-C77,$AJ77-0))</f>
        <v/>
      </c>
      <c r="N77">
        <f>MAX(0,MIN(ROUND(X76*(1+D$5),0)-D77,$AJ77-SUM($M77:M77)))</f>
        <v/>
      </c>
      <c r="O77">
        <f>MAX(0,MIN(ROUND(Y76*(1+E$5),0)-E77,$AJ77-SUM($M77:N77)))</f>
        <v/>
      </c>
      <c r="P77">
        <f>MAX(0,MIN(ROUND(Z76*(1+F$5),0)-F77,$AJ77-SUM($M77:O77)))</f>
        <v/>
      </c>
      <c r="Q77">
        <f>MAX(0,MIN(ROUND(AA76*(1+G$5),0)-G77,$AJ77-SUM($M77:P77)))</f>
        <v/>
      </c>
      <c r="R77">
        <f>MAX(0,MIN(ROUND(AB76*(1+H$5),0)-H77,$AJ77-SUM($M77:Q77)))</f>
        <v/>
      </c>
      <c r="S77">
        <f>MAX(0,MIN(ROUND(AC76*(1+I$5),0)-I77,$AJ77-SUM($M77:R77)))</f>
        <v/>
      </c>
      <c r="T77">
        <f>MAX(0,MIN(ROUND(AD76*(1+J$5),0)-J77,$AJ77-SUM($M77:S77)))</f>
        <v/>
      </c>
      <c r="U77">
        <f>MAX(0,MIN(ROUND(AE76*(1+K$5),0)-K77,$AJ77-SUM($M77:T77)))</f>
        <v/>
      </c>
      <c r="V77">
        <f>MAX(0,MIN(ROUND(AF76*(1+L$5),0)-L77,$AJ77-SUM($M77:U77)))</f>
        <v/>
      </c>
      <c r="W77">
        <f>MAX(0,ROUND(W76*(1+C$5),0)-C77-M77)</f>
        <v/>
      </c>
      <c r="X77">
        <f>MAX(0,ROUND(X76*(1+D$5),0)-D77-N77)</f>
        <v/>
      </c>
      <c r="Y77">
        <f>MAX(0,ROUND(Y76*(1+E$5),0)-E77-O77)</f>
        <v/>
      </c>
      <c r="Z77">
        <f>MAX(0,ROUND(Z76*(1+F$5),0)-F77-P77)</f>
        <v/>
      </c>
      <c r="AA77">
        <f>MAX(0,ROUND(AA76*(1+G$5),0)-G77-Q77)</f>
        <v/>
      </c>
      <c r="AB77">
        <f>MAX(0,ROUND(AB76*(1+H$5),0)-H77-R77)</f>
        <v/>
      </c>
      <c r="AC77">
        <f>MAX(0,ROUND(AC76*(1+I$5),0)-I77-S77)</f>
        <v/>
      </c>
      <c r="AD77">
        <f>MAX(0,ROUND(AD76*(1+J$5),0)-J77-T77)</f>
        <v/>
      </c>
      <c r="AE77">
        <f>MAX(0,ROUND(AE76*(1+K$5),0)-K77-U77)</f>
        <v/>
      </c>
      <c r="AF77">
        <f>MAX(0,ROUND(AF76*(1+L$5),0)-L77-V77)</f>
        <v/>
      </c>
      <c r="AG77">
        <f>AH77-(AI76-AI77)</f>
        <v/>
      </c>
      <c r="AH77">
        <f>SUM(C77:V77)</f>
        <v/>
      </c>
      <c r="AI77">
        <f>SUM(W77:AF77)</f>
        <v/>
      </c>
      <c r="AJ77">
        <f>MAX(0,PresTot-SUM(C77:L77))</f>
        <v/>
      </c>
      <c r="AK77">
        <f>IF(AI76&lt;=0,0,11-SUMPRODUCT(MAX((W76:AF76&gt;0)*(11-(COLUMN(W76:AF76)-COLUMN($V76))))))</f>
        <v/>
      </c>
    </row>
    <row r="78">
      <c r="A78" t="n">
        <v>68</v>
      </c>
      <c r="B78">
        <f>DATE(YEAR(InicioEf),MONTH(InicioEf)+A78-1,1)</f>
        <v/>
      </c>
      <c r="C78">
        <f>MIN(C$6,ROUND(W77*(1+C$5),0))</f>
        <v/>
      </c>
      <c r="D78">
        <f>MIN(D$6,ROUND(X77*(1+D$5),0))</f>
        <v/>
      </c>
      <c r="E78">
        <f>MIN(E$6,ROUND(Y77*(1+E$5),0))</f>
        <v/>
      </c>
      <c r="F78">
        <f>MIN(F$6,ROUND(Z77*(1+F$5),0))</f>
        <v/>
      </c>
      <c r="G78">
        <f>MIN(G$6,ROUND(AA77*(1+G$5),0))</f>
        <v/>
      </c>
      <c r="H78">
        <f>MIN(H$6,ROUND(AB77*(1+H$5),0))</f>
        <v/>
      </c>
      <c r="I78">
        <f>MIN(I$6,ROUND(AC77*(1+I$5),0))</f>
        <v/>
      </c>
      <c r="J78">
        <f>MIN(J$6,ROUND(AD77*(1+J$5),0))</f>
        <v/>
      </c>
      <c r="K78">
        <f>MIN(K$6,ROUND(AE77*(1+K$5),0))</f>
        <v/>
      </c>
      <c r="L78">
        <f>MIN(L$6,ROUND(AF77*(1+L$5),0))</f>
        <v/>
      </c>
      <c r="M78">
        <f>MAX(0,MIN(ROUND(W77*(1+C$5),0)-C78,$AJ78-0))</f>
        <v/>
      </c>
      <c r="N78">
        <f>MAX(0,MIN(ROUND(X77*(1+D$5),0)-D78,$AJ78-SUM($M78:M78)))</f>
        <v/>
      </c>
      <c r="O78">
        <f>MAX(0,MIN(ROUND(Y77*(1+E$5),0)-E78,$AJ78-SUM($M78:N78)))</f>
        <v/>
      </c>
      <c r="P78">
        <f>MAX(0,MIN(ROUND(Z77*(1+F$5),0)-F78,$AJ78-SUM($M78:O78)))</f>
        <v/>
      </c>
      <c r="Q78">
        <f>MAX(0,MIN(ROUND(AA77*(1+G$5),0)-G78,$AJ78-SUM($M78:P78)))</f>
        <v/>
      </c>
      <c r="R78">
        <f>MAX(0,MIN(ROUND(AB77*(1+H$5),0)-H78,$AJ78-SUM($M78:Q78)))</f>
        <v/>
      </c>
      <c r="S78">
        <f>MAX(0,MIN(ROUND(AC77*(1+I$5),0)-I78,$AJ78-SUM($M78:R78)))</f>
        <v/>
      </c>
      <c r="T78">
        <f>MAX(0,MIN(ROUND(AD77*(1+J$5),0)-J78,$AJ78-SUM($M78:S78)))</f>
        <v/>
      </c>
      <c r="U78">
        <f>MAX(0,MIN(ROUND(AE77*(1+K$5),0)-K78,$AJ78-SUM($M78:T78)))</f>
        <v/>
      </c>
      <c r="V78">
        <f>MAX(0,MIN(ROUND(AF77*(1+L$5),0)-L78,$AJ78-SUM($M78:U78)))</f>
        <v/>
      </c>
      <c r="W78">
        <f>MAX(0,ROUND(W77*(1+C$5),0)-C78-M78)</f>
        <v/>
      </c>
      <c r="X78">
        <f>MAX(0,ROUND(X77*(1+D$5),0)-D78-N78)</f>
        <v/>
      </c>
      <c r="Y78">
        <f>MAX(0,ROUND(Y77*(1+E$5),0)-E78-O78)</f>
        <v/>
      </c>
      <c r="Z78">
        <f>MAX(0,ROUND(Z77*(1+F$5),0)-F78-P78)</f>
        <v/>
      </c>
      <c r="AA78">
        <f>MAX(0,ROUND(AA77*(1+G$5),0)-G78-Q78)</f>
        <v/>
      </c>
      <c r="AB78">
        <f>MAX(0,ROUND(AB77*(1+H$5),0)-H78-R78)</f>
        <v/>
      </c>
      <c r="AC78">
        <f>MAX(0,ROUND(AC77*(1+I$5),0)-I78-S78)</f>
        <v/>
      </c>
      <c r="AD78">
        <f>MAX(0,ROUND(AD77*(1+J$5),0)-J78-T78)</f>
        <v/>
      </c>
      <c r="AE78">
        <f>MAX(0,ROUND(AE77*(1+K$5),0)-K78-U78)</f>
        <v/>
      </c>
      <c r="AF78">
        <f>MAX(0,ROUND(AF77*(1+L$5),0)-L78-V78)</f>
        <v/>
      </c>
      <c r="AG78">
        <f>AH78-(AI77-AI78)</f>
        <v/>
      </c>
      <c r="AH78">
        <f>SUM(C78:V78)</f>
        <v/>
      </c>
      <c r="AI78">
        <f>SUM(W78:AF78)</f>
        <v/>
      </c>
      <c r="AJ78">
        <f>MAX(0,PresTot-SUM(C78:L78))</f>
        <v/>
      </c>
      <c r="AK78">
        <f>IF(AI77&lt;=0,0,11-SUMPRODUCT(MAX((W77:AF77&gt;0)*(11-(COLUMN(W77:AF77)-COLUMN($V77))))))</f>
        <v/>
      </c>
    </row>
    <row r="79">
      <c r="A79" t="n">
        <v>69</v>
      </c>
      <c r="B79">
        <f>DATE(YEAR(InicioEf),MONTH(InicioEf)+A79-1,1)</f>
        <v/>
      </c>
      <c r="C79">
        <f>MIN(C$6,ROUND(W78*(1+C$5),0))</f>
        <v/>
      </c>
      <c r="D79">
        <f>MIN(D$6,ROUND(X78*(1+D$5),0))</f>
        <v/>
      </c>
      <c r="E79">
        <f>MIN(E$6,ROUND(Y78*(1+E$5),0))</f>
        <v/>
      </c>
      <c r="F79">
        <f>MIN(F$6,ROUND(Z78*(1+F$5),0))</f>
        <v/>
      </c>
      <c r="G79">
        <f>MIN(G$6,ROUND(AA78*(1+G$5),0))</f>
        <v/>
      </c>
      <c r="H79">
        <f>MIN(H$6,ROUND(AB78*(1+H$5),0))</f>
        <v/>
      </c>
      <c r="I79">
        <f>MIN(I$6,ROUND(AC78*(1+I$5),0))</f>
        <v/>
      </c>
      <c r="J79">
        <f>MIN(J$6,ROUND(AD78*(1+J$5),0))</f>
        <v/>
      </c>
      <c r="K79">
        <f>MIN(K$6,ROUND(AE78*(1+K$5),0))</f>
        <v/>
      </c>
      <c r="L79">
        <f>MIN(L$6,ROUND(AF78*(1+L$5),0))</f>
        <v/>
      </c>
      <c r="M79">
        <f>MAX(0,MIN(ROUND(W78*(1+C$5),0)-C79,$AJ79-0))</f>
        <v/>
      </c>
      <c r="N79">
        <f>MAX(0,MIN(ROUND(X78*(1+D$5),0)-D79,$AJ79-SUM($M79:M79)))</f>
        <v/>
      </c>
      <c r="O79">
        <f>MAX(0,MIN(ROUND(Y78*(1+E$5),0)-E79,$AJ79-SUM($M79:N79)))</f>
        <v/>
      </c>
      <c r="P79">
        <f>MAX(0,MIN(ROUND(Z78*(1+F$5),0)-F79,$AJ79-SUM($M79:O79)))</f>
        <v/>
      </c>
      <c r="Q79">
        <f>MAX(0,MIN(ROUND(AA78*(1+G$5),0)-G79,$AJ79-SUM($M79:P79)))</f>
        <v/>
      </c>
      <c r="R79">
        <f>MAX(0,MIN(ROUND(AB78*(1+H$5),0)-H79,$AJ79-SUM($M79:Q79)))</f>
        <v/>
      </c>
      <c r="S79">
        <f>MAX(0,MIN(ROUND(AC78*(1+I$5),0)-I79,$AJ79-SUM($M79:R79)))</f>
        <v/>
      </c>
      <c r="T79">
        <f>MAX(0,MIN(ROUND(AD78*(1+J$5),0)-J79,$AJ79-SUM($M79:S79)))</f>
        <v/>
      </c>
      <c r="U79">
        <f>MAX(0,MIN(ROUND(AE78*(1+K$5),0)-K79,$AJ79-SUM($M79:T79)))</f>
        <v/>
      </c>
      <c r="V79">
        <f>MAX(0,MIN(ROUND(AF78*(1+L$5),0)-L79,$AJ79-SUM($M79:U79)))</f>
        <v/>
      </c>
      <c r="W79">
        <f>MAX(0,ROUND(W78*(1+C$5),0)-C79-M79)</f>
        <v/>
      </c>
      <c r="X79">
        <f>MAX(0,ROUND(X78*(1+D$5),0)-D79-N79)</f>
        <v/>
      </c>
      <c r="Y79">
        <f>MAX(0,ROUND(Y78*(1+E$5),0)-E79-O79)</f>
        <v/>
      </c>
      <c r="Z79">
        <f>MAX(0,ROUND(Z78*(1+F$5),0)-F79-P79)</f>
        <v/>
      </c>
      <c r="AA79">
        <f>MAX(0,ROUND(AA78*(1+G$5),0)-G79-Q79)</f>
        <v/>
      </c>
      <c r="AB79">
        <f>MAX(0,ROUND(AB78*(1+H$5),0)-H79-R79)</f>
        <v/>
      </c>
      <c r="AC79">
        <f>MAX(0,ROUND(AC78*(1+I$5),0)-I79-S79)</f>
        <v/>
      </c>
      <c r="AD79">
        <f>MAX(0,ROUND(AD78*(1+J$5),0)-J79-T79)</f>
        <v/>
      </c>
      <c r="AE79">
        <f>MAX(0,ROUND(AE78*(1+K$5),0)-K79-U79)</f>
        <v/>
      </c>
      <c r="AF79">
        <f>MAX(0,ROUND(AF78*(1+L$5),0)-L79-V79)</f>
        <v/>
      </c>
      <c r="AG79">
        <f>AH79-(AI78-AI79)</f>
        <v/>
      </c>
      <c r="AH79">
        <f>SUM(C79:V79)</f>
        <v/>
      </c>
      <c r="AI79">
        <f>SUM(W79:AF79)</f>
        <v/>
      </c>
      <c r="AJ79">
        <f>MAX(0,PresTot-SUM(C79:L79))</f>
        <v/>
      </c>
      <c r="AK79">
        <f>IF(AI78&lt;=0,0,11-SUMPRODUCT(MAX((W78:AF78&gt;0)*(11-(COLUMN(W78:AF78)-COLUMN($V78))))))</f>
        <v/>
      </c>
    </row>
    <row r="80">
      <c r="A80" t="n">
        <v>70</v>
      </c>
      <c r="B80">
        <f>DATE(YEAR(InicioEf),MONTH(InicioEf)+A80-1,1)</f>
        <v/>
      </c>
      <c r="C80">
        <f>MIN(C$6,ROUND(W79*(1+C$5),0))</f>
        <v/>
      </c>
      <c r="D80">
        <f>MIN(D$6,ROUND(X79*(1+D$5),0))</f>
        <v/>
      </c>
      <c r="E80">
        <f>MIN(E$6,ROUND(Y79*(1+E$5),0))</f>
        <v/>
      </c>
      <c r="F80">
        <f>MIN(F$6,ROUND(Z79*(1+F$5),0))</f>
        <v/>
      </c>
      <c r="G80">
        <f>MIN(G$6,ROUND(AA79*(1+G$5),0))</f>
        <v/>
      </c>
      <c r="H80">
        <f>MIN(H$6,ROUND(AB79*(1+H$5),0))</f>
        <v/>
      </c>
      <c r="I80">
        <f>MIN(I$6,ROUND(AC79*(1+I$5),0))</f>
        <v/>
      </c>
      <c r="J80">
        <f>MIN(J$6,ROUND(AD79*(1+J$5),0))</f>
        <v/>
      </c>
      <c r="K80">
        <f>MIN(K$6,ROUND(AE79*(1+K$5),0))</f>
        <v/>
      </c>
      <c r="L80">
        <f>MIN(L$6,ROUND(AF79*(1+L$5),0))</f>
        <v/>
      </c>
      <c r="M80">
        <f>MAX(0,MIN(ROUND(W79*(1+C$5),0)-C80,$AJ80-0))</f>
        <v/>
      </c>
      <c r="N80">
        <f>MAX(0,MIN(ROUND(X79*(1+D$5),0)-D80,$AJ80-SUM($M80:M80)))</f>
        <v/>
      </c>
      <c r="O80">
        <f>MAX(0,MIN(ROUND(Y79*(1+E$5),0)-E80,$AJ80-SUM($M80:N80)))</f>
        <v/>
      </c>
      <c r="P80">
        <f>MAX(0,MIN(ROUND(Z79*(1+F$5),0)-F80,$AJ80-SUM($M80:O80)))</f>
        <v/>
      </c>
      <c r="Q80">
        <f>MAX(0,MIN(ROUND(AA79*(1+G$5),0)-G80,$AJ80-SUM($M80:P80)))</f>
        <v/>
      </c>
      <c r="R80">
        <f>MAX(0,MIN(ROUND(AB79*(1+H$5),0)-H80,$AJ80-SUM($M80:Q80)))</f>
        <v/>
      </c>
      <c r="S80">
        <f>MAX(0,MIN(ROUND(AC79*(1+I$5),0)-I80,$AJ80-SUM($M80:R80)))</f>
        <v/>
      </c>
      <c r="T80">
        <f>MAX(0,MIN(ROUND(AD79*(1+J$5),0)-J80,$AJ80-SUM($M80:S80)))</f>
        <v/>
      </c>
      <c r="U80">
        <f>MAX(0,MIN(ROUND(AE79*(1+K$5),0)-K80,$AJ80-SUM($M80:T80)))</f>
        <v/>
      </c>
      <c r="V80">
        <f>MAX(0,MIN(ROUND(AF79*(1+L$5),0)-L80,$AJ80-SUM($M80:U80)))</f>
        <v/>
      </c>
      <c r="W80">
        <f>MAX(0,ROUND(W79*(1+C$5),0)-C80-M80)</f>
        <v/>
      </c>
      <c r="X80">
        <f>MAX(0,ROUND(X79*(1+D$5),0)-D80-N80)</f>
        <v/>
      </c>
      <c r="Y80">
        <f>MAX(0,ROUND(Y79*(1+E$5),0)-E80-O80)</f>
        <v/>
      </c>
      <c r="Z80">
        <f>MAX(0,ROUND(Z79*(1+F$5),0)-F80-P80)</f>
        <v/>
      </c>
      <c r="AA80">
        <f>MAX(0,ROUND(AA79*(1+G$5),0)-G80-Q80)</f>
        <v/>
      </c>
      <c r="AB80">
        <f>MAX(0,ROUND(AB79*(1+H$5),0)-H80-R80)</f>
        <v/>
      </c>
      <c r="AC80">
        <f>MAX(0,ROUND(AC79*(1+I$5),0)-I80-S80)</f>
        <v/>
      </c>
      <c r="AD80">
        <f>MAX(0,ROUND(AD79*(1+J$5),0)-J80-T80)</f>
        <v/>
      </c>
      <c r="AE80">
        <f>MAX(0,ROUND(AE79*(1+K$5),0)-K80-U80)</f>
        <v/>
      </c>
      <c r="AF80">
        <f>MAX(0,ROUND(AF79*(1+L$5),0)-L80-V80)</f>
        <v/>
      </c>
      <c r="AG80">
        <f>AH80-(AI79-AI80)</f>
        <v/>
      </c>
      <c r="AH80">
        <f>SUM(C80:V80)</f>
        <v/>
      </c>
      <c r="AI80">
        <f>SUM(W80:AF80)</f>
        <v/>
      </c>
      <c r="AJ80">
        <f>MAX(0,PresTot-SUM(C80:L80))</f>
        <v/>
      </c>
      <c r="AK80">
        <f>IF(AI79&lt;=0,0,11-SUMPRODUCT(MAX((W79:AF79&gt;0)*(11-(COLUMN(W79:AF79)-COLUMN($V79))))))</f>
        <v/>
      </c>
    </row>
    <row r="81">
      <c r="A81" t="n">
        <v>71</v>
      </c>
      <c r="B81">
        <f>DATE(YEAR(InicioEf),MONTH(InicioEf)+A81-1,1)</f>
        <v/>
      </c>
      <c r="C81">
        <f>MIN(C$6,ROUND(W80*(1+C$5),0))</f>
        <v/>
      </c>
      <c r="D81">
        <f>MIN(D$6,ROUND(X80*(1+D$5),0))</f>
        <v/>
      </c>
      <c r="E81">
        <f>MIN(E$6,ROUND(Y80*(1+E$5),0))</f>
        <v/>
      </c>
      <c r="F81">
        <f>MIN(F$6,ROUND(Z80*(1+F$5),0))</f>
        <v/>
      </c>
      <c r="G81">
        <f>MIN(G$6,ROUND(AA80*(1+G$5),0))</f>
        <v/>
      </c>
      <c r="H81">
        <f>MIN(H$6,ROUND(AB80*(1+H$5),0))</f>
        <v/>
      </c>
      <c r="I81">
        <f>MIN(I$6,ROUND(AC80*(1+I$5),0))</f>
        <v/>
      </c>
      <c r="J81">
        <f>MIN(J$6,ROUND(AD80*(1+J$5),0))</f>
        <v/>
      </c>
      <c r="K81">
        <f>MIN(K$6,ROUND(AE80*(1+K$5),0))</f>
        <v/>
      </c>
      <c r="L81">
        <f>MIN(L$6,ROUND(AF80*(1+L$5),0))</f>
        <v/>
      </c>
      <c r="M81">
        <f>MAX(0,MIN(ROUND(W80*(1+C$5),0)-C81,$AJ81-0))</f>
        <v/>
      </c>
      <c r="N81">
        <f>MAX(0,MIN(ROUND(X80*(1+D$5),0)-D81,$AJ81-SUM($M81:M81)))</f>
        <v/>
      </c>
      <c r="O81">
        <f>MAX(0,MIN(ROUND(Y80*(1+E$5),0)-E81,$AJ81-SUM($M81:N81)))</f>
        <v/>
      </c>
      <c r="P81">
        <f>MAX(0,MIN(ROUND(Z80*(1+F$5),0)-F81,$AJ81-SUM($M81:O81)))</f>
        <v/>
      </c>
      <c r="Q81">
        <f>MAX(0,MIN(ROUND(AA80*(1+G$5),0)-G81,$AJ81-SUM($M81:P81)))</f>
        <v/>
      </c>
      <c r="R81">
        <f>MAX(0,MIN(ROUND(AB80*(1+H$5),0)-H81,$AJ81-SUM($M81:Q81)))</f>
        <v/>
      </c>
      <c r="S81">
        <f>MAX(0,MIN(ROUND(AC80*(1+I$5),0)-I81,$AJ81-SUM($M81:R81)))</f>
        <v/>
      </c>
      <c r="T81">
        <f>MAX(0,MIN(ROUND(AD80*(1+J$5),0)-J81,$AJ81-SUM($M81:S81)))</f>
        <v/>
      </c>
      <c r="U81">
        <f>MAX(0,MIN(ROUND(AE80*(1+K$5),0)-K81,$AJ81-SUM($M81:T81)))</f>
        <v/>
      </c>
      <c r="V81">
        <f>MAX(0,MIN(ROUND(AF80*(1+L$5),0)-L81,$AJ81-SUM($M81:U81)))</f>
        <v/>
      </c>
      <c r="W81">
        <f>MAX(0,ROUND(W80*(1+C$5),0)-C81-M81)</f>
        <v/>
      </c>
      <c r="X81">
        <f>MAX(0,ROUND(X80*(1+D$5),0)-D81-N81)</f>
        <v/>
      </c>
      <c r="Y81">
        <f>MAX(0,ROUND(Y80*(1+E$5),0)-E81-O81)</f>
        <v/>
      </c>
      <c r="Z81">
        <f>MAX(0,ROUND(Z80*(1+F$5),0)-F81-P81)</f>
        <v/>
      </c>
      <c r="AA81">
        <f>MAX(0,ROUND(AA80*(1+G$5),0)-G81-Q81)</f>
        <v/>
      </c>
      <c r="AB81">
        <f>MAX(0,ROUND(AB80*(1+H$5),0)-H81-R81)</f>
        <v/>
      </c>
      <c r="AC81">
        <f>MAX(0,ROUND(AC80*(1+I$5),0)-I81-S81)</f>
        <v/>
      </c>
      <c r="AD81">
        <f>MAX(0,ROUND(AD80*(1+J$5),0)-J81-T81)</f>
        <v/>
      </c>
      <c r="AE81">
        <f>MAX(0,ROUND(AE80*(1+K$5),0)-K81-U81)</f>
        <v/>
      </c>
      <c r="AF81">
        <f>MAX(0,ROUND(AF80*(1+L$5),0)-L81-V81)</f>
        <v/>
      </c>
      <c r="AG81">
        <f>AH81-(AI80-AI81)</f>
        <v/>
      </c>
      <c r="AH81">
        <f>SUM(C81:V81)</f>
        <v/>
      </c>
      <c r="AI81">
        <f>SUM(W81:AF81)</f>
        <v/>
      </c>
      <c r="AJ81">
        <f>MAX(0,PresTot-SUM(C81:L81))</f>
        <v/>
      </c>
      <c r="AK81">
        <f>IF(AI80&lt;=0,0,11-SUMPRODUCT(MAX((W80:AF80&gt;0)*(11-(COLUMN(W80:AF80)-COLUMN($V80))))))</f>
        <v/>
      </c>
    </row>
    <row r="82">
      <c r="A82" t="n">
        <v>72</v>
      </c>
      <c r="B82">
        <f>DATE(YEAR(InicioEf),MONTH(InicioEf)+A82-1,1)</f>
        <v/>
      </c>
      <c r="C82">
        <f>MIN(C$6,ROUND(W81*(1+C$5),0))</f>
        <v/>
      </c>
      <c r="D82">
        <f>MIN(D$6,ROUND(X81*(1+D$5),0))</f>
        <v/>
      </c>
      <c r="E82">
        <f>MIN(E$6,ROUND(Y81*(1+E$5),0))</f>
        <v/>
      </c>
      <c r="F82">
        <f>MIN(F$6,ROUND(Z81*(1+F$5),0))</f>
        <v/>
      </c>
      <c r="G82">
        <f>MIN(G$6,ROUND(AA81*(1+G$5),0))</f>
        <v/>
      </c>
      <c r="H82">
        <f>MIN(H$6,ROUND(AB81*(1+H$5),0))</f>
        <v/>
      </c>
      <c r="I82">
        <f>MIN(I$6,ROUND(AC81*(1+I$5),0))</f>
        <v/>
      </c>
      <c r="J82">
        <f>MIN(J$6,ROUND(AD81*(1+J$5),0))</f>
        <v/>
      </c>
      <c r="K82">
        <f>MIN(K$6,ROUND(AE81*(1+K$5),0))</f>
        <v/>
      </c>
      <c r="L82">
        <f>MIN(L$6,ROUND(AF81*(1+L$5),0))</f>
        <v/>
      </c>
      <c r="M82">
        <f>MAX(0,MIN(ROUND(W81*(1+C$5),0)-C82,$AJ82-0))</f>
        <v/>
      </c>
      <c r="N82">
        <f>MAX(0,MIN(ROUND(X81*(1+D$5),0)-D82,$AJ82-SUM($M82:M82)))</f>
        <v/>
      </c>
      <c r="O82">
        <f>MAX(0,MIN(ROUND(Y81*(1+E$5),0)-E82,$AJ82-SUM($M82:N82)))</f>
        <v/>
      </c>
      <c r="P82">
        <f>MAX(0,MIN(ROUND(Z81*(1+F$5),0)-F82,$AJ82-SUM($M82:O82)))</f>
        <v/>
      </c>
      <c r="Q82">
        <f>MAX(0,MIN(ROUND(AA81*(1+G$5),0)-G82,$AJ82-SUM($M82:P82)))</f>
        <v/>
      </c>
      <c r="R82">
        <f>MAX(0,MIN(ROUND(AB81*(1+H$5),0)-H82,$AJ82-SUM($M82:Q82)))</f>
        <v/>
      </c>
      <c r="S82">
        <f>MAX(0,MIN(ROUND(AC81*(1+I$5),0)-I82,$AJ82-SUM($M82:R82)))</f>
        <v/>
      </c>
      <c r="T82">
        <f>MAX(0,MIN(ROUND(AD81*(1+J$5),0)-J82,$AJ82-SUM($M82:S82)))</f>
        <v/>
      </c>
      <c r="U82">
        <f>MAX(0,MIN(ROUND(AE81*(1+K$5),0)-K82,$AJ82-SUM($M82:T82)))</f>
        <v/>
      </c>
      <c r="V82">
        <f>MAX(0,MIN(ROUND(AF81*(1+L$5),0)-L82,$AJ82-SUM($M82:U82)))</f>
        <v/>
      </c>
      <c r="W82">
        <f>MAX(0,ROUND(W81*(1+C$5),0)-C82-M82)</f>
        <v/>
      </c>
      <c r="X82">
        <f>MAX(0,ROUND(X81*(1+D$5),0)-D82-N82)</f>
        <v/>
      </c>
      <c r="Y82">
        <f>MAX(0,ROUND(Y81*(1+E$5),0)-E82-O82)</f>
        <v/>
      </c>
      <c r="Z82">
        <f>MAX(0,ROUND(Z81*(1+F$5),0)-F82-P82)</f>
        <v/>
      </c>
      <c r="AA82">
        <f>MAX(0,ROUND(AA81*(1+G$5),0)-G82-Q82)</f>
        <v/>
      </c>
      <c r="AB82">
        <f>MAX(0,ROUND(AB81*(1+H$5),0)-H82-R82)</f>
        <v/>
      </c>
      <c r="AC82">
        <f>MAX(0,ROUND(AC81*(1+I$5),0)-I82-S82)</f>
        <v/>
      </c>
      <c r="AD82">
        <f>MAX(0,ROUND(AD81*(1+J$5),0)-J82-T82)</f>
        <v/>
      </c>
      <c r="AE82">
        <f>MAX(0,ROUND(AE81*(1+K$5),0)-K82-U82)</f>
        <v/>
      </c>
      <c r="AF82">
        <f>MAX(0,ROUND(AF81*(1+L$5),0)-L82-V82)</f>
        <v/>
      </c>
      <c r="AG82">
        <f>AH82-(AI81-AI82)</f>
        <v/>
      </c>
      <c r="AH82">
        <f>SUM(C82:V82)</f>
        <v/>
      </c>
      <c r="AI82">
        <f>SUM(W82:AF82)</f>
        <v/>
      </c>
      <c r="AJ82">
        <f>MAX(0,PresTot-SUM(C82:L82))</f>
        <v/>
      </c>
      <c r="AK82">
        <f>IF(AI81&lt;=0,0,11-SUMPRODUCT(MAX((W81:AF81&gt;0)*(11-(COLUMN(W81:AF81)-COLUMN($V81))))))</f>
        <v/>
      </c>
    </row>
    <row r="83">
      <c r="A83" t="n">
        <v>73</v>
      </c>
      <c r="B83">
        <f>DATE(YEAR(InicioEf),MONTH(InicioEf)+A83-1,1)</f>
        <v/>
      </c>
      <c r="C83">
        <f>MIN(C$6,ROUND(W82*(1+C$5),0))</f>
        <v/>
      </c>
      <c r="D83">
        <f>MIN(D$6,ROUND(X82*(1+D$5),0))</f>
        <v/>
      </c>
      <c r="E83">
        <f>MIN(E$6,ROUND(Y82*(1+E$5),0))</f>
        <v/>
      </c>
      <c r="F83">
        <f>MIN(F$6,ROUND(Z82*(1+F$5),0))</f>
        <v/>
      </c>
      <c r="G83">
        <f>MIN(G$6,ROUND(AA82*(1+G$5),0))</f>
        <v/>
      </c>
      <c r="H83">
        <f>MIN(H$6,ROUND(AB82*(1+H$5),0))</f>
        <v/>
      </c>
      <c r="I83">
        <f>MIN(I$6,ROUND(AC82*(1+I$5),0))</f>
        <v/>
      </c>
      <c r="J83">
        <f>MIN(J$6,ROUND(AD82*(1+J$5),0))</f>
        <v/>
      </c>
      <c r="K83">
        <f>MIN(K$6,ROUND(AE82*(1+K$5),0))</f>
        <v/>
      </c>
      <c r="L83">
        <f>MIN(L$6,ROUND(AF82*(1+L$5),0))</f>
        <v/>
      </c>
      <c r="M83">
        <f>MAX(0,MIN(ROUND(W82*(1+C$5),0)-C83,$AJ83-0))</f>
        <v/>
      </c>
      <c r="N83">
        <f>MAX(0,MIN(ROUND(X82*(1+D$5),0)-D83,$AJ83-SUM($M83:M83)))</f>
        <v/>
      </c>
      <c r="O83">
        <f>MAX(0,MIN(ROUND(Y82*(1+E$5),0)-E83,$AJ83-SUM($M83:N83)))</f>
        <v/>
      </c>
      <c r="P83">
        <f>MAX(0,MIN(ROUND(Z82*(1+F$5),0)-F83,$AJ83-SUM($M83:O83)))</f>
        <v/>
      </c>
      <c r="Q83">
        <f>MAX(0,MIN(ROUND(AA82*(1+G$5),0)-G83,$AJ83-SUM($M83:P83)))</f>
        <v/>
      </c>
      <c r="R83">
        <f>MAX(0,MIN(ROUND(AB82*(1+H$5),0)-H83,$AJ83-SUM($M83:Q83)))</f>
        <v/>
      </c>
      <c r="S83">
        <f>MAX(0,MIN(ROUND(AC82*(1+I$5),0)-I83,$AJ83-SUM($M83:R83)))</f>
        <v/>
      </c>
      <c r="T83">
        <f>MAX(0,MIN(ROUND(AD82*(1+J$5),0)-J83,$AJ83-SUM($M83:S83)))</f>
        <v/>
      </c>
      <c r="U83">
        <f>MAX(0,MIN(ROUND(AE82*(1+K$5),0)-K83,$AJ83-SUM($M83:T83)))</f>
        <v/>
      </c>
      <c r="V83">
        <f>MAX(0,MIN(ROUND(AF82*(1+L$5),0)-L83,$AJ83-SUM($M83:U83)))</f>
        <v/>
      </c>
      <c r="W83">
        <f>MAX(0,ROUND(W82*(1+C$5),0)-C83-M83)</f>
        <v/>
      </c>
      <c r="X83">
        <f>MAX(0,ROUND(X82*(1+D$5),0)-D83-N83)</f>
        <v/>
      </c>
      <c r="Y83">
        <f>MAX(0,ROUND(Y82*(1+E$5),0)-E83-O83)</f>
        <v/>
      </c>
      <c r="Z83">
        <f>MAX(0,ROUND(Z82*(1+F$5),0)-F83-P83)</f>
        <v/>
      </c>
      <c r="AA83">
        <f>MAX(0,ROUND(AA82*(1+G$5),0)-G83-Q83)</f>
        <v/>
      </c>
      <c r="AB83">
        <f>MAX(0,ROUND(AB82*(1+H$5),0)-H83-R83)</f>
        <v/>
      </c>
      <c r="AC83">
        <f>MAX(0,ROUND(AC82*(1+I$5),0)-I83-S83)</f>
        <v/>
      </c>
      <c r="AD83">
        <f>MAX(0,ROUND(AD82*(1+J$5),0)-J83-T83)</f>
        <v/>
      </c>
      <c r="AE83">
        <f>MAX(0,ROUND(AE82*(1+K$5),0)-K83-U83)</f>
        <v/>
      </c>
      <c r="AF83">
        <f>MAX(0,ROUND(AF82*(1+L$5),0)-L83-V83)</f>
        <v/>
      </c>
      <c r="AG83">
        <f>AH83-(AI82-AI83)</f>
        <v/>
      </c>
      <c r="AH83">
        <f>SUM(C83:V83)</f>
        <v/>
      </c>
      <c r="AI83">
        <f>SUM(W83:AF83)</f>
        <v/>
      </c>
      <c r="AJ83">
        <f>MAX(0,PresTot-SUM(C83:L83))</f>
        <v/>
      </c>
      <c r="AK83">
        <f>IF(AI82&lt;=0,0,11-SUMPRODUCT(MAX((W82:AF82&gt;0)*(11-(COLUMN(W82:AF82)-COLUMN($V82))))))</f>
        <v/>
      </c>
    </row>
    <row r="84">
      <c r="A84" t="n">
        <v>74</v>
      </c>
      <c r="B84">
        <f>DATE(YEAR(InicioEf),MONTH(InicioEf)+A84-1,1)</f>
        <v/>
      </c>
      <c r="C84">
        <f>MIN(C$6,ROUND(W83*(1+C$5),0))</f>
        <v/>
      </c>
      <c r="D84">
        <f>MIN(D$6,ROUND(X83*(1+D$5),0))</f>
        <v/>
      </c>
      <c r="E84">
        <f>MIN(E$6,ROUND(Y83*(1+E$5),0))</f>
        <v/>
      </c>
      <c r="F84">
        <f>MIN(F$6,ROUND(Z83*(1+F$5),0))</f>
        <v/>
      </c>
      <c r="G84">
        <f>MIN(G$6,ROUND(AA83*(1+G$5),0))</f>
        <v/>
      </c>
      <c r="H84">
        <f>MIN(H$6,ROUND(AB83*(1+H$5),0))</f>
        <v/>
      </c>
      <c r="I84">
        <f>MIN(I$6,ROUND(AC83*(1+I$5),0))</f>
        <v/>
      </c>
      <c r="J84">
        <f>MIN(J$6,ROUND(AD83*(1+J$5),0))</f>
        <v/>
      </c>
      <c r="K84">
        <f>MIN(K$6,ROUND(AE83*(1+K$5),0))</f>
        <v/>
      </c>
      <c r="L84">
        <f>MIN(L$6,ROUND(AF83*(1+L$5),0))</f>
        <v/>
      </c>
      <c r="M84">
        <f>MAX(0,MIN(ROUND(W83*(1+C$5),0)-C84,$AJ84-0))</f>
        <v/>
      </c>
      <c r="N84">
        <f>MAX(0,MIN(ROUND(X83*(1+D$5),0)-D84,$AJ84-SUM($M84:M84)))</f>
        <v/>
      </c>
      <c r="O84">
        <f>MAX(0,MIN(ROUND(Y83*(1+E$5),0)-E84,$AJ84-SUM($M84:N84)))</f>
        <v/>
      </c>
      <c r="P84">
        <f>MAX(0,MIN(ROUND(Z83*(1+F$5),0)-F84,$AJ84-SUM($M84:O84)))</f>
        <v/>
      </c>
      <c r="Q84">
        <f>MAX(0,MIN(ROUND(AA83*(1+G$5),0)-G84,$AJ84-SUM($M84:P84)))</f>
        <v/>
      </c>
      <c r="R84">
        <f>MAX(0,MIN(ROUND(AB83*(1+H$5),0)-H84,$AJ84-SUM($M84:Q84)))</f>
        <v/>
      </c>
      <c r="S84">
        <f>MAX(0,MIN(ROUND(AC83*(1+I$5),0)-I84,$AJ84-SUM($M84:R84)))</f>
        <v/>
      </c>
      <c r="T84">
        <f>MAX(0,MIN(ROUND(AD83*(1+J$5),0)-J84,$AJ84-SUM($M84:S84)))</f>
        <v/>
      </c>
      <c r="U84">
        <f>MAX(0,MIN(ROUND(AE83*(1+K$5),0)-K84,$AJ84-SUM($M84:T84)))</f>
        <v/>
      </c>
      <c r="V84">
        <f>MAX(0,MIN(ROUND(AF83*(1+L$5),0)-L84,$AJ84-SUM($M84:U84)))</f>
        <v/>
      </c>
      <c r="W84">
        <f>MAX(0,ROUND(W83*(1+C$5),0)-C84-M84)</f>
        <v/>
      </c>
      <c r="X84">
        <f>MAX(0,ROUND(X83*(1+D$5),0)-D84-N84)</f>
        <v/>
      </c>
      <c r="Y84">
        <f>MAX(0,ROUND(Y83*(1+E$5),0)-E84-O84)</f>
        <v/>
      </c>
      <c r="Z84">
        <f>MAX(0,ROUND(Z83*(1+F$5),0)-F84-P84)</f>
        <v/>
      </c>
      <c r="AA84">
        <f>MAX(0,ROUND(AA83*(1+G$5),0)-G84-Q84)</f>
        <v/>
      </c>
      <c r="AB84">
        <f>MAX(0,ROUND(AB83*(1+H$5),0)-H84-R84)</f>
        <v/>
      </c>
      <c r="AC84">
        <f>MAX(0,ROUND(AC83*(1+I$5),0)-I84-S84)</f>
        <v/>
      </c>
      <c r="AD84">
        <f>MAX(0,ROUND(AD83*(1+J$5),0)-J84-T84)</f>
        <v/>
      </c>
      <c r="AE84">
        <f>MAX(0,ROUND(AE83*(1+K$5),0)-K84-U84)</f>
        <v/>
      </c>
      <c r="AF84">
        <f>MAX(0,ROUND(AF83*(1+L$5),0)-L84-V84)</f>
        <v/>
      </c>
      <c r="AG84">
        <f>AH84-(AI83-AI84)</f>
        <v/>
      </c>
      <c r="AH84">
        <f>SUM(C84:V84)</f>
        <v/>
      </c>
      <c r="AI84">
        <f>SUM(W84:AF84)</f>
        <v/>
      </c>
      <c r="AJ84">
        <f>MAX(0,PresTot-SUM(C84:L84))</f>
        <v/>
      </c>
      <c r="AK84">
        <f>IF(AI83&lt;=0,0,11-SUMPRODUCT(MAX((W83:AF83&gt;0)*(11-(COLUMN(W83:AF83)-COLUMN($V83))))))</f>
        <v/>
      </c>
    </row>
    <row r="85">
      <c r="A85" t="n">
        <v>75</v>
      </c>
      <c r="B85">
        <f>DATE(YEAR(InicioEf),MONTH(InicioEf)+A85-1,1)</f>
        <v/>
      </c>
      <c r="C85">
        <f>MIN(C$6,ROUND(W84*(1+C$5),0))</f>
        <v/>
      </c>
      <c r="D85">
        <f>MIN(D$6,ROUND(X84*(1+D$5),0))</f>
        <v/>
      </c>
      <c r="E85">
        <f>MIN(E$6,ROUND(Y84*(1+E$5),0))</f>
        <v/>
      </c>
      <c r="F85">
        <f>MIN(F$6,ROUND(Z84*(1+F$5),0))</f>
        <v/>
      </c>
      <c r="G85">
        <f>MIN(G$6,ROUND(AA84*(1+G$5),0))</f>
        <v/>
      </c>
      <c r="H85">
        <f>MIN(H$6,ROUND(AB84*(1+H$5),0))</f>
        <v/>
      </c>
      <c r="I85">
        <f>MIN(I$6,ROUND(AC84*(1+I$5),0))</f>
        <v/>
      </c>
      <c r="J85">
        <f>MIN(J$6,ROUND(AD84*(1+J$5),0))</f>
        <v/>
      </c>
      <c r="K85">
        <f>MIN(K$6,ROUND(AE84*(1+K$5),0))</f>
        <v/>
      </c>
      <c r="L85">
        <f>MIN(L$6,ROUND(AF84*(1+L$5),0))</f>
        <v/>
      </c>
      <c r="M85">
        <f>MAX(0,MIN(ROUND(W84*(1+C$5),0)-C85,$AJ85-0))</f>
        <v/>
      </c>
      <c r="N85">
        <f>MAX(0,MIN(ROUND(X84*(1+D$5),0)-D85,$AJ85-SUM($M85:M85)))</f>
        <v/>
      </c>
      <c r="O85">
        <f>MAX(0,MIN(ROUND(Y84*(1+E$5),0)-E85,$AJ85-SUM($M85:N85)))</f>
        <v/>
      </c>
      <c r="P85">
        <f>MAX(0,MIN(ROUND(Z84*(1+F$5),0)-F85,$AJ85-SUM($M85:O85)))</f>
        <v/>
      </c>
      <c r="Q85">
        <f>MAX(0,MIN(ROUND(AA84*(1+G$5),0)-G85,$AJ85-SUM($M85:P85)))</f>
        <v/>
      </c>
      <c r="R85">
        <f>MAX(0,MIN(ROUND(AB84*(1+H$5),0)-H85,$AJ85-SUM($M85:Q85)))</f>
        <v/>
      </c>
      <c r="S85">
        <f>MAX(0,MIN(ROUND(AC84*(1+I$5),0)-I85,$AJ85-SUM($M85:R85)))</f>
        <v/>
      </c>
      <c r="T85">
        <f>MAX(0,MIN(ROUND(AD84*(1+J$5),0)-J85,$AJ85-SUM($M85:S85)))</f>
        <v/>
      </c>
      <c r="U85">
        <f>MAX(0,MIN(ROUND(AE84*(1+K$5),0)-K85,$AJ85-SUM($M85:T85)))</f>
        <v/>
      </c>
      <c r="V85">
        <f>MAX(0,MIN(ROUND(AF84*(1+L$5),0)-L85,$AJ85-SUM($M85:U85)))</f>
        <v/>
      </c>
      <c r="W85">
        <f>MAX(0,ROUND(W84*(1+C$5),0)-C85-M85)</f>
        <v/>
      </c>
      <c r="X85">
        <f>MAX(0,ROUND(X84*(1+D$5),0)-D85-N85)</f>
        <v/>
      </c>
      <c r="Y85">
        <f>MAX(0,ROUND(Y84*(1+E$5),0)-E85-O85)</f>
        <v/>
      </c>
      <c r="Z85">
        <f>MAX(0,ROUND(Z84*(1+F$5),0)-F85-P85)</f>
        <v/>
      </c>
      <c r="AA85">
        <f>MAX(0,ROUND(AA84*(1+G$5),0)-G85-Q85)</f>
        <v/>
      </c>
      <c r="AB85">
        <f>MAX(0,ROUND(AB84*(1+H$5),0)-H85-R85)</f>
        <v/>
      </c>
      <c r="AC85">
        <f>MAX(0,ROUND(AC84*(1+I$5),0)-I85-S85)</f>
        <v/>
      </c>
      <c r="AD85">
        <f>MAX(0,ROUND(AD84*(1+J$5),0)-J85-T85)</f>
        <v/>
      </c>
      <c r="AE85">
        <f>MAX(0,ROUND(AE84*(1+K$5),0)-K85-U85)</f>
        <v/>
      </c>
      <c r="AF85">
        <f>MAX(0,ROUND(AF84*(1+L$5),0)-L85-V85)</f>
        <v/>
      </c>
      <c r="AG85">
        <f>AH85-(AI84-AI85)</f>
        <v/>
      </c>
      <c r="AH85">
        <f>SUM(C85:V85)</f>
        <v/>
      </c>
      <c r="AI85">
        <f>SUM(W85:AF85)</f>
        <v/>
      </c>
      <c r="AJ85">
        <f>MAX(0,PresTot-SUM(C85:L85))</f>
        <v/>
      </c>
      <c r="AK85">
        <f>IF(AI84&lt;=0,0,11-SUMPRODUCT(MAX((W84:AF84&gt;0)*(11-(COLUMN(W84:AF84)-COLUMN($V84))))))</f>
        <v/>
      </c>
    </row>
    <row r="86">
      <c r="A86" t="n">
        <v>76</v>
      </c>
      <c r="B86">
        <f>DATE(YEAR(InicioEf),MONTH(InicioEf)+A86-1,1)</f>
        <v/>
      </c>
      <c r="C86">
        <f>MIN(C$6,ROUND(W85*(1+C$5),0))</f>
        <v/>
      </c>
      <c r="D86">
        <f>MIN(D$6,ROUND(X85*(1+D$5),0))</f>
        <v/>
      </c>
      <c r="E86">
        <f>MIN(E$6,ROUND(Y85*(1+E$5),0))</f>
        <v/>
      </c>
      <c r="F86">
        <f>MIN(F$6,ROUND(Z85*(1+F$5),0))</f>
        <v/>
      </c>
      <c r="G86">
        <f>MIN(G$6,ROUND(AA85*(1+G$5),0))</f>
        <v/>
      </c>
      <c r="H86">
        <f>MIN(H$6,ROUND(AB85*(1+H$5),0))</f>
        <v/>
      </c>
      <c r="I86">
        <f>MIN(I$6,ROUND(AC85*(1+I$5),0))</f>
        <v/>
      </c>
      <c r="J86">
        <f>MIN(J$6,ROUND(AD85*(1+J$5),0))</f>
        <v/>
      </c>
      <c r="K86">
        <f>MIN(K$6,ROUND(AE85*(1+K$5),0))</f>
        <v/>
      </c>
      <c r="L86">
        <f>MIN(L$6,ROUND(AF85*(1+L$5),0))</f>
        <v/>
      </c>
      <c r="M86">
        <f>MAX(0,MIN(ROUND(W85*(1+C$5),0)-C86,$AJ86-0))</f>
        <v/>
      </c>
      <c r="N86">
        <f>MAX(0,MIN(ROUND(X85*(1+D$5),0)-D86,$AJ86-SUM($M86:M86)))</f>
        <v/>
      </c>
      <c r="O86">
        <f>MAX(0,MIN(ROUND(Y85*(1+E$5),0)-E86,$AJ86-SUM($M86:N86)))</f>
        <v/>
      </c>
      <c r="P86">
        <f>MAX(0,MIN(ROUND(Z85*(1+F$5),0)-F86,$AJ86-SUM($M86:O86)))</f>
        <v/>
      </c>
      <c r="Q86">
        <f>MAX(0,MIN(ROUND(AA85*(1+G$5),0)-G86,$AJ86-SUM($M86:P86)))</f>
        <v/>
      </c>
      <c r="R86">
        <f>MAX(0,MIN(ROUND(AB85*(1+H$5),0)-H86,$AJ86-SUM($M86:Q86)))</f>
        <v/>
      </c>
      <c r="S86">
        <f>MAX(0,MIN(ROUND(AC85*(1+I$5),0)-I86,$AJ86-SUM($M86:R86)))</f>
        <v/>
      </c>
      <c r="T86">
        <f>MAX(0,MIN(ROUND(AD85*(1+J$5),0)-J86,$AJ86-SUM($M86:S86)))</f>
        <v/>
      </c>
      <c r="U86">
        <f>MAX(0,MIN(ROUND(AE85*(1+K$5),0)-K86,$AJ86-SUM($M86:T86)))</f>
        <v/>
      </c>
      <c r="V86">
        <f>MAX(0,MIN(ROUND(AF85*(1+L$5),0)-L86,$AJ86-SUM($M86:U86)))</f>
        <v/>
      </c>
      <c r="W86">
        <f>MAX(0,ROUND(W85*(1+C$5),0)-C86-M86)</f>
        <v/>
      </c>
      <c r="X86">
        <f>MAX(0,ROUND(X85*(1+D$5),0)-D86-N86)</f>
        <v/>
      </c>
      <c r="Y86">
        <f>MAX(0,ROUND(Y85*(1+E$5),0)-E86-O86)</f>
        <v/>
      </c>
      <c r="Z86">
        <f>MAX(0,ROUND(Z85*(1+F$5),0)-F86-P86)</f>
        <v/>
      </c>
      <c r="AA86">
        <f>MAX(0,ROUND(AA85*(1+G$5),0)-G86-Q86)</f>
        <v/>
      </c>
      <c r="AB86">
        <f>MAX(0,ROUND(AB85*(1+H$5),0)-H86-R86)</f>
        <v/>
      </c>
      <c r="AC86">
        <f>MAX(0,ROUND(AC85*(1+I$5),0)-I86-S86)</f>
        <v/>
      </c>
      <c r="AD86">
        <f>MAX(0,ROUND(AD85*(1+J$5),0)-J86-T86)</f>
        <v/>
      </c>
      <c r="AE86">
        <f>MAX(0,ROUND(AE85*(1+K$5),0)-K86-U86)</f>
        <v/>
      </c>
      <c r="AF86">
        <f>MAX(0,ROUND(AF85*(1+L$5),0)-L86-V86)</f>
        <v/>
      </c>
      <c r="AG86">
        <f>AH86-(AI85-AI86)</f>
        <v/>
      </c>
      <c r="AH86">
        <f>SUM(C86:V86)</f>
        <v/>
      </c>
      <c r="AI86">
        <f>SUM(W86:AF86)</f>
        <v/>
      </c>
      <c r="AJ86">
        <f>MAX(0,PresTot-SUM(C86:L86))</f>
        <v/>
      </c>
      <c r="AK86">
        <f>IF(AI85&lt;=0,0,11-SUMPRODUCT(MAX((W85:AF85&gt;0)*(11-(COLUMN(W85:AF85)-COLUMN($V85))))))</f>
        <v/>
      </c>
    </row>
    <row r="87">
      <c r="A87" t="n">
        <v>77</v>
      </c>
      <c r="B87">
        <f>DATE(YEAR(InicioEf),MONTH(InicioEf)+A87-1,1)</f>
        <v/>
      </c>
      <c r="C87">
        <f>MIN(C$6,ROUND(W86*(1+C$5),0))</f>
        <v/>
      </c>
      <c r="D87">
        <f>MIN(D$6,ROUND(X86*(1+D$5),0))</f>
        <v/>
      </c>
      <c r="E87">
        <f>MIN(E$6,ROUND(Y86*(1+E$5),0))</f>
        <v/>
      </c>
      <c r="F87">
        <f>MIN(F$6,ROUND(Z86*(1+F$5),0))</f>
        <v/>
      </c>
      <c r="G87">
        <f>MIN(G$6,ROUND(AA86*(1+G$5),0))</f>
        <v/>
      </c>
      <c r="H87">
        <f>MIN(H$6,ROUND(AB86*(1+H$5),0))</f>
        <v/>
      </c>
      <c r="I87">
        <f>MIN(I$6,ROUND(AC86*(1+I$5),0))</f>
        <v/>
      </c>
      <c r="J87">
        <f>MIN(J$6,ROUND(AD86*(1+J$5),0))</f>
        <v/>
      </c>
      <c r="K87">
        <f>MIN(K$6,ROUND(AE86*(1+K$5),0))</f>
        <v/>
      </c>
      <c r="L87">
        <f>MIN(L$6,ROUND(AF86*(1+L$5),0))</f>
        <v/>
      </c>
      <c r="M87">
        <f>MAX(0,MIN(ROUND(W86*(1+C$5),0)-C87,$AJ87-0))</f>
        <v/>
      </c>
      <c r="N87">
        <f>MAX(0,MIN(ROUND(X86*(1+D$5),0)-D87,$AJ87-SUM($M87:M87)))</f>
        <v/>
      </c>
      <c r="O87">
        <f>MAX(0,MIN(ROUND(Y86*(1+E$5),0)-E87,$AJ87-SUM($M87:N87)))</f>
        <v/>
      </c>
      <c r="P87">
        <f>MAX(0,MIN(ROUND(Z86*(1+F$5),0)-F87,$AJ87-SUM($M87:O87)))</f>
        <v/>
      </c>
      <c r="Q87">
        <f>MAX(0,MIN(ROUND(AA86*(1+G$5),0)-G87,$AJ87-SUM($M87:P87)))</f>
        <v/>
      </c>
      <c r="R87">
        <f>MAX(0,MIN(ROUND(AB86*(1+H$5),0)-H87,$AJ87-SUM($M87:Q87)))</f>
        <v/>
      </c>
      <c r="S87">
        <f>MAX(0,MIN(ROUND(AC86*(1+I$5),0)-I87,$AJ87-SUM($M87:R87)))</f>
        <v/>
      </c>
      <c r="T87">
        <f>MAX(0,MIN(ROUND(AD86*(1+J$5),0)-J87,$AJ87-SUM($M87:S87)))</f>
        <v/>
      </c>
      <c r="U87">
        <f>MAX(0,MIN(ROUND(AE86*(1+K$5),0)-K87,$AJ87-SUM($M87:T87)))</f>
        <v/>
      </c>
      <c r="V87">
        <f>MAX(0,MIN(ROUND(AF86*(1+L$5),0)-L87,$AJ87-SUM($M87:U87)))</f>
        <v/>
      </c>
      <c r="W87">
        <f>MAX(0,ROUND(W86*(1+C$5),0)-C87-M87)</f>
        <v/>
      </c>
      <c r="X87">
        <f>MAX(0,ROUND(X86*(1+D$5),0)-D87-N87)</f>
        <v/>
      </c>
      <c r="Y87">
        <f>MAX(0,ROUND(Y86*(1+E$5),0)-E87-O87)</f>
        <v/>
      </c>
      <c r="Z87">
        <f>MAX(0,ROUND(Z86*(1+F$5),0)-F87-P87)</f>
        <v/>
      </c>
      <c r="AA87">
        <f>MAX(0,ROUND(AA86*(1+G$5),0)-G87-Q87)</f>
        <v/>
      </c>
      <c r="AB87">
        <f>MAX(0,ROUND(AB86*(1+H$5),0)-H87-R87)</f>
        <v/>
      </c>
      <c r="AC87">
        <f>MAX(0,ROUND(AC86*(1+I$5),0)-I87-S87)</f>
        <v/>
      </c>
      <c r="AD87">
        <f>MAX(0,ROUND(AD86*(1+J$5),0)-J87-T87)</f>
        <v/>
      </c>
      <c r="AE87">
        <f>MAX(0,ROUND(AE86*(1+K$5),0)-K87-U87)</f>
        <v/>
      </c>
      <c r="AF87">
        <f>MAX(0,ROUND(AF86*(1+L$5),0)-L87-V87)</f>
        <v/>
      </c>
      <c r="AG87">
        <f>AH87-(AI86-AI87)</f>
        <v/>
      </c>
      <c r="AH87">
        <f>SUM(C87:V87)</f>
        <v/>
      </c>
      <c r="AI87">
        <f>SUM(W87:AF87)</f>
        <v/>
      </c>
      <c r="AJ87">
        <f>MAX(0,PresTot-SUM(C87:L87))</f>
        <v/>
      </c>
      <c r="AK87">
        <f>IF(AI86&lt;=0,0,11-SUMPRODUCT(MAX((W86:AF86&gt;0)*(11-(COLUMN(W86:AF86)-COLUMN($V86))))))</f>
        <v/>
      </c>
    </row>
    <row r="88">
      <c r="A88" t="n">
        <v>78</v>
      </c>
      <c r="B88">
        <f>DATE(YEAR(InicioEf),MONTH(InicioEf)+A88-1,1)</f>
        <v/>
      </c>
      <c r="C88">
        <f>MIN(C$6,ROUND(W87*(1+C$5),0))</f>
        <v/>
      </c>
      <c r="D88">
        <f>MIN(D$6,ROUND(X87*(1+D$5),0))</f>
        <v/>
      </c>
      <c r="E88">
        <f>MIN(E$6,ROUND(Y87*(1+E$5),0))</f>
        <v/>
      </c>
      <c r="F88">
        <f>MIN(F$6,ROUND(Z87*(1+F$5),0))</f>
        <v/>
      </c>
      <c r="G88">
        <f>MIN(G$6,ROUND(AA87*(1+G$5),0))</f>
        <v/>
      </c>
      <c r="H88">
        <f>MIN(H$6,ROUND(AB87*(1+H$5),0))</f>
        <v/>
      </c>
      <c r="I88">
        <f>MIN(I$6,ROUND(AC87*(1+I$5),0))</f>
        <v/>
      </c>
      <c r="J88">
        <f>MIN(J$6,ROUND(AD87*(1+J$5),0))</f>
        <v/>
      </c>
      <c r="K88">
        <f>MIN(K$6,ROUND(AE87*(1+K$5),0))</f>
        <v/>
      </c>
      <c r="L88">
        <f>MIN(L$6,ROUND(AF87*(1+L$5),0))</f>
        <v/>
      </c>
      <c r="M88">
        <f>MAX(0,MIN(ROUND(W87*(1+C$5),0)-C88,$AJ88-0))</f>
        <v/>
      </c>
      <c r="N88">
        <f>MAX(0,MIN(ROUND(X87*(1+D$5),0)-D88,$AJ88-SUM($M88:M88)))</f>
        <v/>
      </c>
      <c r="O88">
        <f>MAX(0,MIN(ROUND(Y87*(1+E$5),0)-E88,$AJ88-SUM($M88:N88)))</f>
        <v/>
      </c>
      <c r="P88">
        <f>MAX(0,MIN(ROUND(Z87*(1+F$5),0)-F88,$AJ88-SUM($M88:O88)))</f>
        <v/>
      </c>
      <c r="Q88">
        <f>MAX(0,MIN(ROUND(AA87*(1+G$5),0)-G88,$AJ88-SUM($M88:P88)))</f>
        <v/>
      </c>
      <c r="R88">
        <f>MAX(0,MIN(ROUND(AB87*(1+H$5),0)-H88,$AJ88-SUM($M88:Q88)))</f>
        <v/>
      </c>
      <c r="S88">
        <f>MAX(0,MIN(ROUND(AC87*(1+I$5),0)-I88,$AJ88-SUM($M88:R88)))</f>
        <v/>
      </c>
      <c r="T88">
        <f>MAX(0,MIN(ROUND(AD87*(1+J$5),0)-J88,$AJ88-SUM($M88:S88)))</f>
        <v/>
      </c>
      <c r="U88">
        <f>MAX(0,MIN(ROUND(AE87*(1+K$5),0)-K88,$AJ88-SUM($M88:T88)))</f>
        <v/>
      </c>
      <c r="V88">
        <f>MAX(0,MIN(ROUND(AF87*(1+L$5),0)-L88,$AJ88-SUM($M88:U88)))</f>
        <v/>
      </c>
      <c r="W88">
        <f>MAX(0,ROUND(W87*(1+C$5),0)-C88-M88)</f>
        <v/>
      </c>
      <c r="X88">
        <f>MAX(0,ROUND(X87*(1+D$5),0)-D88-N88)</f>
        <v/>
      </c>
      <c r="Y88">
        <f>MAX(0,ROUND(Y87*(1+E$5),0)-E88-O88)</f>
        <v/>
      </c>
      <c r="Z88">
        <f>MAX(0,ROUND(Z87*(1+F$5),0)-F88-P88)</f>
        <v/>
      </c>
      <c r="AA88">
        <f>MAX(0,ROUND(AA87*(1+G$5),0)-G88-Q88)</f>
        <v/>
      </c>
      <c r="AB88">
        <f>MAX(0,ROUND(AB87*(1+H$5),0)-H88-R88)</f>
        <v/>
      </c>
      <c r="AC88">
        <f>MAX(0,ROUND(AC87*(1+I$5),0)-I88-S88)</f>
        <v/>
      </c>
      <c r="AD88">
        <f>MAX(0,ROUND(AD87*(1+J$5),0)-J88-T88)</f>
        <v/>
      </c>
      <c r="AE88">
        <f>MAX(0,ROUND(AE87*(1+K$5),0)-K88-U88)</f>
        <v/>
      </c>
      <c r="AF88">
        <f>MAX(0,ROUND(AF87*(1+L$5),0)-L88-V88)</f>
        <v/>
      </c>
      <c r="AG88">
        <f>AH88-(AI87-AI88)</f>
        <v/>
      </c>
      <c r="AH88">
        <f>SUM(C88:V88)</f>
        <v/>
      </c>
      <c r="AI88">
        <f>SUM(W88:AF88)</f>
        <v/>
      </c>
      <c r="AJ88">
        <f>MAX(0,PresTot-SUM(C88:L88))</f>
        <v/>
      </c>
      <c r="AK88">
        <f>IF(AI87&lt;=0,0,11-SUMPRODUCT(MAX((W87:AF87&gt;0)*(11-(COLUMN(W87:AF87)-COLUMN($V87))))))</f>
        <v/>
      </c>
    </row>
    <row r="89">
      <c r="A89" t="n">
        <v>79</v>
      </c>
      <c r="B89">
        <f>DATE(YEAR(InicioEf),MONTH(InicioEf)+A89-1,1)</f>
        <v/>
      </c>
      <c r="C89">
        <f>MIN(C$6,ROUND(W88*(1+C$5),0))</f>
        <v/>
      </c>
      <c r="D89">
        <f>MIN(D$6,ROUND(X88*(1+D$5),0))</f>
        <v/>
      </c>
      <c r="E89">
        <f>MIN(E$6,ROUND(Y88*(1+E$5),0))</f>
        <v/>
      </c>
      <c r="F89">
        <f>MIN(F$6,ROUND(Z88*(1+F$5),0))</f>
        <v/>
      </c>
      <c r="G89">
        <f>MIN(G$6,ROUND(AA88*(1+G$5),0))</f>
        <v/>
      </c>
      <c r="H89">
        <f>MIN(H$6,ROUND(AB88*(1+H$5),0))</f>
        <v/>
      </c>
      <c r="I89">
        <f>MIN(I$6,ROUND(AC88*(1+I$5),0))</f>
        <v/>
      </c>
      <c r="J89">
        <f>MIN(J$6,ROUND(AD88*(1+J$5),0))</f>
        <v/>
      </c>
      <c r="K89">
        <f>MIN(K$6,ROUND(AE88*(1+K$5),0))</f>
        <v/>
      </c>
      <c r="L89">
        <f>MIN(L$6,ROUND(AF88*(1+L$5),0))</f>
        <v/>
      </c>
      <c r="M89">
        <f>MAX(0,MIN(ROUND(W88*(1+C$5),0)-C89,$AJ89-0))</f>
        <v/>
      </c>
      <c r="N89">
        <f>MAX(0,MIN(ROUND(X88*(1+D$5),0)-D89,$AJ89-SUM($M89:M89)))</f>
        <v/>
      </c>
      <c r="O89">
        <f>MAX(0,MIN(ROUND(Y88*(1+E$5),0)-E89,$AJ89-SUM($M89:N89)))</f>
        <v/>
      </c>
      <c r="P89">
        <f>MAX(0,MIN(ROUND(Z88*(1+F$5),0)-F89,$AJ89-SUM($M89:O89)))</f>
        <v/>
      </c>
      <c r="Q89">
        <f>MAX(0,MIN(ROUND(AA88*(1+G$5),0)-G89,$AJ89-SUM($M89:P89)))</f>
        <v/>
      </c>
      <c r="R89">
        <f>MAX(0,MIN(ROUND(AB88*(1+H$5),0)-H89,$AJ89-SUM($M89:Q89)))</f>
        <v/>
      </c>
      <c r="S89">
        <f>MAX(0,MIN(ROUND(AC88*(1+I$5),0)-I89,$AJ89-SUM($M89:R89)))</f>
        <v/>
      </c>
      <c r="T89">
        <f>MAX(0,MIN(ROUND(AD88*(1+J$5),0)-J89,$AJ89-SUM($M89:S89)))</f>
        <v/>
      </c>
      <c r="U89">
        <f>MAX(0,MIN(ROUND(AE88*(1+K$5),0)-K89,$AJ89-SUM($M89:T89)))</f>
        <v/>
      </c>
      <c r="V89">
        <f>MAX(0,MIN(ROUND(AF88*(1+L$5),0)-L89,$AJ89-SUM($M89:U89)))</f>
        <v/>
      </c>
      <c r="W89">
        <f>MAX(0,ROUND(W88*(1+C$5),0)-C89-M89)</f>
        <v/>
      </c>
      <c r="X89">
        <f>MAX(0,ROUND(X88*(1+D$5),0)-D89-N89)</f>
        <v/>
      </c>
      <c r="Y89">
        <f>MAX(0,ROUND(Y88*(1+E$5),0)-E89-O89)</f>
        <v/>
      </c>
      <c r="Z89">
        <f>MAX(0,ROUND(Z88*(1+F$5),0)-F89-P89)</f>
        <v/>
      </c>
      <c r="AA89">
        <f>MAX(0,ROUND(AA88*(1+G$5),0)-G89-Q89)</f>
        <v/>
      </c>
      <c r="AB89">
        <f>MAX(0,ROUND(AB88*(1+H$5),0)-H89-R89)</f>
        <v/>
      </c>
      <c r="AC89">
        <f>MAX(0,ROUND(AC88*(1+I$5),0)-I89-S89)</f>
        <v/>
      </c>
      <c r="AD89">
        <f>MAX(0,ROUND(AD88*(1+J$5),0)-J89-T89)</f>
        <v/>
      </c>
      <c r="AE89">
        <f>MAX(0,ROUND(AE88*(1+K$5),0)-K89-U89)</f>
        <v/>
      </c>
      <c r="AF89">
        <f>MAX(0,ROUND(AF88*(1+L$5),0)-L89-V89)</f>
        <v/>
      </c>
      <c r="AG89">
        <f>AH89-(AI88-AI89)</f>
        <v/>
      </c>
      <c r="AH89">
        <f>SUM(C89:V89)</f>
        <v/>
      </c>
      <c r="AI89">
        <f>SUM(W89:AF89)</f>
        <v/>
      </c>
      <c r="AJ89">
        <f>MAX(0,PresTot-SUM(C89:L89))</f>
        <v/>
      </c>
      <c r="AK89">
        <f>IF(AI88&lt;=0,0,11-SUMPRODUCT(MAX((W88:AF88&gt;0)*(11-(COLUMN(W88:AF88)-COLUMN($V88))))))</f>
        <v/>
      </c>
    </row>
    <row r="90">
      <c r="A90" t="n">
        <v>80</v>
      </c>
      <c r="B90">
        <f>DATE(YEAR(InicioEf),MONTH(InicioEf)+A90-1,1)</f>
        <v/>
      </c>
      <c r="C90">
        <f>MIN(C$6,ROUND(W89*(1+C$5),0))</f>
        <v/>
      </c>
      <c r="D90">
        <f>MIN(D$6,ROUND(X89*(1+D$5),0))</f>
        <v/>
      </c>
      <c r="E90">
        <f>MIN(E$6,ROUND(Y89*(1+E$5),0))</f>
        <v/>
      </c>
      <c r="F90">
        <f>MIN(F$6,ROUND(Z89*(1+F$5),0))</f>
        <v/>
      </c>
      <c r="G90">
        <f>MIN(G$6,ROUND(AA89*(1+G$5),0))</f>
        <v/>
      </c>
      <c r="H90">
        <f>MIN(H$6,ROUND(AB89*(1+H$5),0))</f>
        <v/>
      </c>
      <c r="I90">
        <f>MIN(I$6,ROUND(AC89*(1+I$5),0))</f>
        <v/>
      </c>
      <c r="J90">
        <f>MIN(J$6,ROUND(AD89*(1+J$5),0))</f>
        <v/>
      </c>
      <c r="K90">
        <f>MIN(K$6,ROUND(AE89*(1+K$5),0))</f>
        <v/>
      </c>
      <c r="L90">
        <f>MIN(L$6,ROUND(AF89*(1+L$5),0))</f>
        <v/>
      </c>
      <c r="M90">
        <f>MAX(0,MIN(ROUND(W89*(1+C$5),0)-C90,$AJ90-0))</f>
        <v/>
      </c>
      <c r="N90">
        <f>MAX(0,MIN(ROUND(X89*(1+D$5),0)-D90,$AJ90-SUM($M90:M90)))</f>
        <v/>
      </c>
      <c r="O90">
        <f>MAX(0,MIN(ROUND(Y89*(1+E$5),0)-E90,$AJ90-SUM($M90:N90)))</f>
        <v/>
      </c>
      <c r="P90">
        <f>MAX(0,MIN(ROUND(Z89*(1+F$5),0)-F90,$AJ90-SUM($M90:O90)))</f>
        <v/>
      </c>
      <c r="Q90">
        <f>MAX(0,MIN(ROUND(AA89*(1+G$5),0)-G90,$AJ90-SUM($M90:P90)))</f>
        <v/>
      </c>
      <c r="R90">
        <f>MAX(0,MIN(ROUND(AB89*(1+H$5),0)-H90,$AJ90-SUM($M90:Q90)))</f>
        <v/>
      </c>
      <c r="S90">
        <f>MAX(0,MIN(ROUND(AC89*(1+I$5),0)-I90,$AJ90-SUM($M90:R90)))</f>
        <v/>
      </c>
      <c r="T90">
        <f>MAX(0,MIN(ROUND(AD89*(1+J$5),0)-J90,$AJ90-SUM($M90:S90)))</f>
        <v/>
      </c>
      <c r="U90">
        <f>MAX(0,MIN(ROUND(AE89*(1+K$5),0)-K90,$AJ90-SUM($M90:T90)))</f>
        <v/>
      </c>
      <c r="V90">
        <f>MAX(0,MIN(ROUND(AF89*(1+L$5),0)-L90,$AJ90-SUM($M90:U90)))</f>
        <v/>
      </c>
      <c r="W90">
        <f>MAX(0,ROUND(W89*(1+C$5),0)-C90-M90)</f>
        <v/>
      </c>
      <c r="X90">
        <f>MAX(0,ROUND(X89*(1+D$5),0)-D90-N90)</f>
        <v/>
      </c>
      <c r="Y90">
        <f>MAX(0,ROUND(Y89*(1+E$5),0)-E90-O90)</f>
        <v/>
      </c>
      <c r="Z90">
        <f>MAX(0,ROUND(Z89*(1+F$5),0)-F90-P90)</f>
        <v/>
      </c>
      <c r="AA90">
        <f>MAX(0,ROUND(AA89*(1+G$5),0)-G90-Q90)</f>
        <v/>
      </c>
      <c r="AB90">
        <f>MAX(0,ROUND(AB89*(1+H$5),0)-H90-R90)</f>
        <v/>
      </c>
      <c r="AC90">
        <f>MAX(0,ROUND(AC89*(1+I$5),0)-I90-S90)</f>
        <v/>
      </c>
      <c r="AD90">
        <f>MAX(0,ROUND(AD89*(1+J$5),0)-J90-T90)</f>
        <v/>
      </c>
      <c r="AE90">
        <f>MAX(0,ROUND(AE89*(1+K$5),0)-K90-U90)</f>
        <v/>
      </c>
      <c r="AF90">
        <f>MAX(0,ROUND(AF89*(1+L$5),0)-L90-V90)</f>
        <v/>
      </c>
      <c r="AG90">
        <f>AH90-(AI89-AI90)</f>
        <v/>
      </c>
      <c r="AH90">
        <f>SUM(C90:V90)</f>
        <v/>
      </c>
      <c r="AI90">
        <f>SUM(W90:AF90)</f>
        <v/>
      </c>
      <c r="AJ90">
        <f>MAX(0,PresTot-SUM(C90:L90))</f>
        <v/>
      </c>
      <c r="AK90">
        <f>IF(AI89&lt;=0,0,11-SUMPRODUCT(MAX((W89:AF89&gt;0)*(11-(COLUMN(W89:AF89)-COLUMN($V89))))))</f>
        <v/>
      </c>
    </row>
    <row r="91">
      <c r="A91" t="n">
        <v>81</v>
      </c>
      <c r="B91">
        <f>DATE(YEAR(InicioEf),MONTH(InicioEf)+A91-1,1)</f>
        <v/>
      </c>
      <c r="C91">
        <f>MIN(C$6,ROUND(W90*(1+C$5),0))</f>
        <v/>
      </c>
      <c r="D91">
        <f>MIN(D$6,ROUND(X90*(1+D$5),0))</f>
        <v/>
      </c>
      <c r="E91">
        <f>MIN(E$6,ROUND(Y90*(1+E$5),0))</f>
        <v/>
      </c>
      <c r="F91">
        <f>MIN(F$6,ROUND(Z90*(1+F$5),0))</f>
        <v/>
      </c>
      <c r="G91">
        <f>MIN(G$6,ROUND(AA90*(1+G$5),0))</f>
        <v/>
      </c>
      <c r="H91">
        <f>MIN(H$6,ROUND(AB90*(1+H$5),0))</f>
        <v/>
      </c>
      <c r="I91">
        <f>MIN(I$6,ROUND(AC90*(1+I$5),0))</f>
        <v/>
      </c>
      <c r="J91">
        <f>MIN(J$6,ROUND(AD90*(1+J$5),0))</f>
        <v/>
      </c>
      <c r="K91">
        <f>MIN(K$6,ROUND(AE90*(1+K$5),0))</f>
        <v/>
      </c>
      <c r="L91">
        <f>MIN(L$6,ROUND(AF90*(1+L$5),0))</f>
        <v/>
      </c>
      <c r="M91">
        <f>MAX(0,MIN(ROUND(W90*(1+C$5),0)-C91,$AJ91-0))</f>
        <v/>
      </c>
      <c r="N91">
        <f>MAX(0,MIN(ROUND(X90*(1+D$5),0)-D91,$AJ91-SUM($M91:M91)))</f>
        <v/>
      </c>
      <c r="O91">
        <f>MAX(0,MIN(ROUND(Y90*(1+E$5),0)-E91,$AJ91-SUM($M91:N91)))</f>
        <v/>
      </c>
      <c r="P91">
        <f>MAX(0,MIN(ROUND(Z90*(1+F$5),0)-F91,$AJ91-SUM($M91:O91)))</f>
        <v/>
      </c>
      <c r="Q91">
        <f>MAX(0,MIN(ROUND(AA90*(1+G$5),0)-G91,$AJ91-SUM($M91:P91)))</f>
        <v/>
      </c>
      <c r="R91">
        <f>MAX(0,MIN(ROUND(AB90*(1+H$5),0)-H91,$AJ91-SUM($M91:Q91)))</f>
        <v/>
      </c>
      <c r="S91">
        <f>MAX(0,MIN(ROUND(AC90*(1+I$5),0)-I91,$AJ91-SUM($M91:R91)))</f>
        <v/>
      </c>
      <c r="T91">
        <f>MAX(0,MIN(ROUND(AD90*(1+J$5),0)-J91,$AJ91-SUM($M91:S91)))</f>
        <v/>
      </c>
      <c r="U91">
        <f>MAX(0,MIN(ROUND(AE90*(1+K$5),0)-K91,$AJ91-SUM($M91:T91)))</f>
        <v/>
      </c>
      <c r="V91">
        <f>MAX(0,MIN(ROUND(AF90*(1+L$5),0)-L91,$AJ91-SUM($M91:U91)))</f>
        <v/>
      </c>
      <c r="W91">
        <f>MAX(0,ROUND(W90*(1+C$5),0)-C91-M91)</f>
        <v/>
      </c>
      <c r="X91">
        <f>MAX(0,ROUND(X90*(1+D$5),0)-D91-N91)</f>
        <v/>
      </c>
      <c r="Y91">
        <f>MAX(0,ROUND(Y90*(1+E$5),0)-E91-O91)</f>
        <v/>
      </c>
      <c r="Z91">
        <f>MAX(0,ROUND(Z90*(1+F$5),0)-F91-P91)</f>
        <v/>
      </c>
      <c r="AA91">
        <f>MAX(0,ROUND(AA90*(1+G$5),0)-G91-Q91)</f>
        <v/>
      </c>
      <c r="AB91">
        <f>MAX(0,ROUND(AB90*(1+H$5),0)-H91-R91)</f>
        <v/>
      </c>
      <c r="AC91">
        <f>MAX(0,ROUND(AC90*(1+I$5),0)-I91-S91)</f>
        <v/>
      </c>
      <c r="AD91">
        <f>MAX(0,ROUND(AD90*(1+J$5),0)-J91-T91)</f>
        <v/>
      </c>
      <c r="AE91">
        <f>MAX(0,ROUND(AE90*(1+K$5),0)-K91-U91)</f>
        <v/>
      </c>
      <c r="AF91">
        <f>MAX(0,ROUND(AF90*(1+L$5),0)-L91-V91)</f>
        <v/>
      </c>
      <c r="AG91">
        <f>AH91-(AI90-AI91)</f>
        <v/>
      </c>
      <c r="AH91">
        <f>SUM(C91:V91)</f>
        <v/>
      </c>
      <c r="AI91">
        <f>SUM(W91:AF91)</f>
        <v/>
      </c>
      <c r="AJ91">
        <f>MAX(0,PresTot-SUM(C91:L91))</f>
        <v/>
      </c>
      <c r="AK91">
        <f>IF(AI90&lt;=0,0,11-SUMPRODUCT(MAX((W90:AF90&gt;0)*(11-(COLUMN(W90:AF90)-COLUMN($V90))))))</f>
        <v/>
      </c>
    </row>
    <row r="92">
      <c r="A92" t="n">
        <v>82</v>
      </c>
      <c r="B92">
        <f>DATE(YEAR(InicioEf),MONTH(InicioEf)+A92-1,1)</f>
        <v/>
      </c>
      <c r="C92">
        <f>MIN(C$6,ROUND(W91*(1+C$5),0))</f>
        <v/>
      </c>
      <c r="D92">
        <f>MIN(D$6,ROUND(X91*(1+D$5),0))</f>
        <v/>
      </c>
      <c r="E92">
        <f>MIN(E$6,ROUND(Y91*(1+E$5),0))</f>
        <v/>
      </c>
      <c r="F92">
        <f>MIN(F$6,ROUND(Z91*(1+F$5),0))</f>
        <v/>
      </c>
      <c r="G92">
        <f>MIN(G$6,ROUND(AA91*(1+G$5),0))</f>
        <v/>
      </c>
      <c r="H92">
        <f>MIN(H$6,ROUND(AB91*(1+H$5),0))</f>
        <v/>
      </c>
      <c r="I92">
        <f>MIN(I$6,ROUND(AC91*(1+I$5),0))</f>
        <v/>
      </c>
      <c r="J92">
        <f>MIN(J$6,ROUND(AD91*(1+J$5),0))</f>
        <v/>
      </c>
      <c r="K92">
        <f>MIN(K$6,ROUND(AE91*(1+K$5),0))</f>
        <v/>
      </c>
      <c r="L92">
        <f>MIN(L$6,ROUND(AF91*(1+L$5),0))</f>
        <v/>
      </c>
      <c r="M92">
        <f>MAX(0,MIN(ROUND(W91*(1+C$5),0)-C92,$AJ92-0))</f>
        <v/>
      </c>
      <c r="N92">
        <f>MAX(0,MIN(ROUND(X91*(1+D$5),0)-D92,$AJ92-SUM($M92:M92)))</f>
        <v/>
      </c>
      <c r="O92">
        <f>MAX(0,MIN(ROUND(Y91*(1+E$5),0)-E92,$AJ92-SUM($M92:N92)))</f>
        <v/>
      </c>
      <c r="P92">
        <f>MAX(0,MIN(ROUND(Z91*(1+F$5),0)-F92,$AJ92-SUM($M92:O92)))</f>
        <v/>
      </c>
      <c r="Q92">
        <f>MAX(0,MIN(ROUND(AA91*(1+G$5),0)-G92,$AJ92-SUM($M92:P92)))</f>
        <v/>
      </c>
      <c r="R92">
        <f>MAX(0,MIN(ROUND(AB91*(1+H$5),0)-H92,$AJ92-SUM($M92:Q92)))</f>
        <v/>
      </c>
      <c r="S92">
        <f>MAX(0,MIN(ROUND(AC91*(1+I$5),0)-I92,$AJ92-SUM($M92:R92)))</f>
        <v/>
      </c>
      <c r="T92">
        <f>MAX(0,MIN(ROUND(AD91*(1+J$5),0)-J92,$AJ92-SUM($M92:S92)))</f>
        <v/>
      </c>
      <c r="U92">
        <f>MAX(0,MIN(ROUND(AE91*(1+K$5),0)-K92,$AJ92-SUM($M92:T92)))</f>
        <v/>
      </c>
      <c r="V92">
        <f>MAX(0,MIN(ROUND(AF91*(1+L$5),0)-L92,$AJ92-SUM($M92:U92)))</f>
        <v/>
      </c>
      <c r="W92">
        <f>MAX(0,ROUND(W91*(1+C$5),0)-C92-M92)</f>
        <v/>
      </c>
      <c r="X92">
        <f>MAX(0,ROUND(X91*(1+D$5),0)-D92-N92)</f>
        <v/>
      </c>
      <c r="Y92">
        <f>MAX(0,ROUND(Y91*(1+E$5),0)-E92-O92)</f>
        <v/>
      </c>
      <c r="Z92">
        <f>MAX(0,ROUND(Z91*(1+F$5),0)-F92-P92)</f>
        <v/>
      </c>
      <c r="AA92">
        <f>MAX(0,ROUND(AA91*(1+G$5),0)-G92-Q92)</f>
        <v/>
      </c>
      <c r="AB92">
        <f>MAX(0,ROUND(AB91*(1+H$5),0)-H92-R92)</f>
        <v/>
      </c>
      <c r="AC92">
        <f>MAX(0,ROUND(AC91*(1+I$5),0)-I92-S92)</f>
        <v/>
      </c>
      <c r="AD92">
        <f>MAX(0,ROUND(AD91*(1+J$5),0)-J92-T92)</f>
        <v/>
      </c>
      <c r="AE92">
        <f>MAX(0,ROUND(AE91*(1+K$5),0)-K92-U92)</f>
        <v/>
      </c>
      <c r="AF92">
        <f>MAX(0,ROUND(AF91*(1+L$5),0)-L92-V92)</f>
        <v/>
      </c>
      <c r="AG92">
        <f>AH92-(AI91-AI92)</f>
        <v/>
      </c>
      <c r="AH92">
        <f>SUM(C92:V92)</f>
        <v/>
      </c>
      <c r="AI92">
        <f>SUM(W92:AF92)</f>
        <v/>
      </c>
      <c r="AJ92">
        <f>MAX(0,PresTot-SUM(C92:L92))</f>
        <v/>
      </c>
      <c r="AK92">
        <f>IF(AI91&lt;=0,0,11-SUMPRODUCT(MAX((W91:AF91&gt;0)*(11-(COLUMN(W91:AF91)-COLUMN($V91))))))</f>
        <v/>
      </c>
    </row>
    <row r="93">
      <c r="A93" t="n">
        <v>83</v>
      </c>
      <c r="B93">
        <f>DATE(YEAR(InicioEf),MONTH(InicioEf)+A93-1,1)</f>
        <v/>
      </c>
      <c r="C93">
        <f>MIN(C$6,ROUND(W92*(1+C$5),0))</f>
        <v/>
      </c>
      <c r="D93">
        <f>MIN(D$6,ROUND(X92*(1+D$5),0))</f>
        <v/>
      </c>
      <c r="E93">
        <f>MIN(E$6,ROUND(Y92*(1+E$5),0))</f>
        <v/>
      </c>
      <c r="F93">
        <f>MIN(F$6,ROUND(Z92*(1+F$5),0))</f>
        <v/>
      </c>
      <c r="G93">
        <f>MIN(G$6,ROUND(AA92*(1+G$5),0))</f>
        <v/>
      </c>
      <c r="H93">
        <f>MIN(H$6,ROUND(AB92*(1+H$5),0))</f>
        <v/>
      </c>
      <c r="I93">
        <f>MIN(I$6,ROUND(AC92*(1+I$5),0))</f>
        <v/>
      </c>
      <c r="J93">
        <f>MIN(J$6,ROUND(AD92*(1+J$5),0))</f>
        <v/>
      </c>
      <c r="K93">
        <f>MIN(K$6,ROUND(AE92*(1+K$5),0))</f>
        <v/>
      </c>
      <c r="L93">
        <f>MIN(L$6,ROUND(AF92*(1+L$5),0))</f>
        <v/>
      </c>
      <c r="M93">
        <f>MAX(0,MIN(ROUND(W92*(1+C$5),0)-C93,$AJ93-0))</f>
        <v/>
      </c>
      <c r="N93">
        <f>MAX(0,MIN(ROUND(X92*(1+D$5),0)-D93,$AJ93-SUM($M93:M93)))</f>
        <v/>
      </c>
      <c r="O93">
        <f>MAX(0,MIN(ROUND(Y92*(1+E$5),0)-E93,$AJ93-SUM($M93:N93)))</f>
        <v/>
      </c>
      <c r="P93">
        <f>MAX(0,MIN(ROUND(Z92*(1+F$5),0)-F93,$AJ93-SUM($M93:O93)))</f>
        <v/>
      </c>
      <c r="Q93">
        <f>MAX(0,MIN(ROUND(AA92*(1+G$5),0)-G93,$AJ93-SUM($M93:P93)))</f>
        <v/>
      </c>
      <c r="R93">
        <f>MAX(0,MIN(ROUND(AB92*(1+H$5),0)-H93,$AJ93-SUM($M93:Q93)))</f>
        <v/>
      </c>
      <c r="S93">
        <f>MAX(0,MIN(ROUND(AC92*(1+I$5),0)-I93,$AJ93-SUM($M93:R93)))</f>
        <v/>
      </c>
      <c r="T93">
        <f>MAX(0,MIN(ROUND(AD92*(1+J$5),0)-J93,$AJ93-SUM($M93:S93)))</f>
        <v/>
      </c>
      <c r="U93">
        <f>MAX(0,MIN(ROUND(AE92*(1+K$5),0)-K93,$AJ93-SUM($M93:T93)))</f>
        <v/>
      </c>
      <c r="V93">
        <f>MAX(0,MIN(ROUND(AF92*(1+L$5),0)-L93,$AJ93-SUM($M93:U93)))</f>
        <v/>
      </c>
      <c r="W93">
        <f>MAX(0,ROUND(W92*(1+C$5),0)-C93-M93)</f>
        <v/>
      </c>
      <c r="X93">
        <f>MAX(0,ROUND(X92*(1+D$5),0)-D93-N93)</f>
        <v/>
      </c>
      <c r="Y93">
        <f>MAX(0,ROUND(Y92*(1+E$5),0)-E93-O93)</f>
        <v/>
      </c>
      <c r="Z93">
        <f>MAX(0,ROUND(Z92*(1+F$5),0)-F93-P93)</f>
        <v/>
      </c>
      <c r="AA93">
        <f>MAX(0,ROUND(AA92*(1+G$5),0)-G93-Q93)</f>
        <v/>
      </c>
      <c r="AB93">
        <f>MAX(0,ROUND(AB92*(1+H$5),0)-H93-R93)</f>
        <v/>
      </c>
      <c r="AC93">
        <f>MAX(0,ROUND(AC92*(1+I$5),0)-I93-S93)</f>
        <v/>
      </c>
      <c r="AD93">
        <f>MAX(0,ROUND(AD92*(1+J$5),0)-J93-T93)</f>
        <v/>
      </c>
      <c r="AE93">
        <f>MAX(0,ROUND(AE92*(1+K$5),0)-K93-U93)</f>
        <v/>
      </c>
      <c r="AF93">
        <f>MAX(0,ROUND(AF92*(1+L$5),0)-L93-V93)</f>
        <v/>
      </c>
      <c r="AG93">
        <f>AH93-(AI92-AI93)</f>
        <v/>
      </c>
      <c r="AH93">
        <f>SUM(C93:V93)</f>
        <v/>
      </c>
      <c r="AI93">
        <f>SUM(W93:AF93)</f>
        <v/>
      </c>
      <c r="AJ93">
        <f>MAX(0,PresTot-SUM(C93:L93))</f>
        <v/>
      </c>
      <c r="AK93">
        <f>IF(AI92&lt;=0,0,11-SUMPRODUCT(MAX((W92:AF92&gt;0)*(11-(COLUMN(W92:AF92)-COLUMN($V92))))))</f>
        <v/>
      </c>
    </row>
    <row r="94">
      <c r="A94" t="n">
        <v>84</v>
      </c>
      <c r="B94">
        <f>DATE(YEAR(InicioEf),MONTH(InicioEf)+A94-1,1)</f>
        <v/>
      </c>
      <c r="C94">
        <f>MIN(C$6,ROUND(W93*(1+C$5),0))</f>
        <v/>
      </c>
      <c r="D94">
        <f>MIN(D$6,ROUND(X93*(1+D$5),0))</f>
        <v/>
      </c>
      <c r="E94">
        <f>MIN(E$6,ROUND(Y93*(1+E$5),0))</f>
        <v/>
      </c>
      <c r="F94">
        <f>MIN(F$6,ROUND(Z93*(1+F$5),0))</f>
        <v/>
      </c>
      <c r="G94">
        <f>MIN(G$6,ROUND(AA93*(1+G$5),0))</f>
        <v/>
      </c>
      <c r="H94">
        <f>MIN(H$6,ROUND(AB93*(1+H$5),0))</f>
        <v/>
      </c>
      <c r="I94">
        <f>MIN(I$6,ROUND(AC93*(1+I$5),0))</f>
        <v/>
      </c>
      <c r="J94">
        <f>MIN(J$6,ROUND(AD93*(1+J$5),0))</f>
        <v/>
      </c>
      <c r="K94">
        <f>MIN(K$6,ROUND(AE93*(1+K$5),0))</f>
        <v/>
      </c>
      <c r="L94">
        <f>MIN(L$6,ROUND(AF93*(1+L$5),0))</f>
        <v/>
      </c>
      <c r="M94">
        <f>MAX(0,MIN(ROUND(W93*(1+C$5),0)-C94,$AJ94-0))</f>
        <v/>
      </c>
      <c r="N94">
        <f>MAX(0,MIN(ROUND(X93*(1+D$5),0)-D94,$AJ94-SUM($M94:M94)))</f>
        <v/>
      </c>
      <c r="O94">
        <f>MAX(0,MIN(ROUND(Y93*(1+E$5),0)-E94,$AJ94-SUM($M94:N94)))</f>
        <v/>
      </c>
      <c r="P94">
        <f>MAX(0,MIN(ROUND(Z93*(1+F$5),0)-F94,$AJ94-SUM($M94:O94)))</f>
        <v/>
      </c>
      <c r="Q94">
        <f>MAX(0,MIN(ROUND(AA93*(1+G$5),0)-G94,$AJ94-SUM($M94:P94)))</f>
        <v/>
      </c>
      <c r="R94">
        <f>MAX(0,MIN(ROUND(AB93*(1+H$5),0)-H94,$AJ94-SUM($M94:Q94)))</f>
        <v/>
      </c>
      <c r="S94">
        <f>MAX(0,MIN(ROUND(AC93*(1+I$5),0)-I94,$AJ94-SUM($M94:R94)))</f>
        <v/>
      </c>
      <c r="T94">
        <f>MAX(0,MIN(ROUND(AD93*(1+J$5),0)-J94,$AJ94-SUM($M94:S94)))</f>
        <v/>
      </c>
      <c r="U94">
        <f>MAX(0,MIN(ROUND(AE93*(1+K$5),0)-K94,$AJ94-SUM($M94:T94)))</f>
        <v/>
      </c>
      <c r="V94">
        <f>MAX(0,MIN(ROUND(AF93*(1+L$5),0)-L94,$AJ94-SUM($M94:U94)))</f>
        <v/>
      </c>
      <c r="W94">
        <f>MAX(0,ROUND(W93*(1+C$5),0)-C94-M94)</f>
        <v/>
      </c>
      <c r="X94">
        <f>MAX(0,ROUND(X93*(1+D$5),0)-D94-N94)</f>
        <v/>
      </c>
      <c r="Y94">
        <f>MAX(0,ROUND(Y93*(1+E$5),0)-E94-O94)</f>
        <v/>
      </c>
      <c r="Z94">
        <f>MAX(0,ROUND(Z93*(1+F$5),0)-F94-P94)</f>
        <v/>
      </c>
      <c r="AA94">
        <f>MAX(0,ROUND(AA93*(1+G$5),0)-G94-Q94)</f>
        <v/>
      </c>
      <c r="AB94">
        <f>MAX(0,ROUND(AB93*(1+H$5),0)-H94-R94)</f>
        <v/>
      </c>
      <c r="AC94">
        <f>MAX(0,ROUND(AC93*(1+I$5),0)-I94-S94)</f>
        <v/>
      </c>
      <c r="AD94">
        <f>MAX(0,ROUND(AD93*(1+J$5),0)-J94-T94)</f>
        <v/>
      </c>
      <c r="AE94">
        <f>MAX(0,ROUND(AE93*(1+K$5),0)-K94-U94)</f>
        <v/>
      </c>
      <c r="AF94">
        <f>MAX(0,ROUND(AF93*(1+L$5),0)-L94-V94)</f>
        <v/>
      </c>
      <c r="AG94">
        <f>AH94-(AI93-AI94)</f>
        <v/>
      </c>
      <c r="AH94">
        <f>SUM(C94:V94)</f>
        <v/>
      </c>
      <c r="AI94">
        <f>SUM(W94:AF94)</f>
        <v/>
      </c>
      <c r="AJ94">
        <f>MAX(0,PresTot-SUM(C94:L94))</f>
        <v/>
      </c>
      <c r="AK94">
        <f>IF(AI93&lt;=0,0,11-SUMPRODUCT(MAX((W93:AF93&gt;0)*(11-(COLUMN(W93:AF93)-COLUMN($V93))))))</f>
        <v/>
      </c>
    </row>
    <row r="95">
      <c r="A95" t="n">
        <v>85</v>
      </c>
      <c r="B95">
        <f>DATE(YEAR(InicioEf),MONTH(InicioEf)+A95-1,1)</f>
        <v/>
      </c>
      <c r="C95">
        <f>MIN(C$6,ROUND(W94*(1+C$5),0))</f>
        <v/>
      </c>
      <c r="D95">
        <f>MIN(D$6,ROUND(X94*(1+D$5),0))</f>
        <v/>
      </c>
      <c r="E95">
        <f>MIN(E$6,ROUND(Y94*(1+E$5),0))</f>
        <v/>
      </c>
      <c r="F95">
        <f>MIN(F$6,ROUND(Z94*(1+F$5),0))</f>
        <v/>
      </c>
      <c r="G95">
        <f>MIN(G$6,ROUND(AA94*(1+G$5),0))</f>
        <v/>
      </c>
      <c r="H95">
        <f>MIN(H$6,ROUND(AB94*(1+H$5),0))</f>
        <v/>
      </c>
      <c r="I95">
        <f>MIN(I$6,ROUND(AC94*(1+I$5),0))</f>
        <v/>
      </c>
      <c r="J95">
        <f>MIN(J$6,ROUND(AD94*(1+J$5),0))</f>
        <v/>
      </c>
      <c r="K95">
        <f>MIN(K$6,ROUND(AE94*(1+K$5),0))</f>
        <v/>
      </c>
      <c r="L95">
        <f>MIN(L$6,ROUND(AF94*(1+L$5),0))</f>
        <v/>
      </c>
      <c r="M95">
        <f>MAX(0,MIN(ROUND(W94*(1+C$5),0)-C95,$AJ95-0))</f>
        <v/>
      </c>
      <c r="N95">
        <f>MAX(0,MIN(ROUND(X94*(1+D$5),0)-D95,$AJ95-SUM($M95:M95)))</f>
        <v/>
      </c>
      <c r="O95">
        <f>MAX(0,MIN(ROUND(Y94*(1+E$5),0)-E95,$AJ95-SUM($M95:N95)))</f>
        <v/>
      </c>
      <c r="P95">
        <f>MAX(0,MIN(ROUND(Z94*(1+F$5),0)-F95,$AJ95-SUM($M95:O95)))</f>
        <v/>
      </c>
      <c r="Q95">
        <f>MAX(0,MIN(ROUND(AA94*(1+G$5),0)-G95,$AJ95-SUM($M95:P95)))</f>
        <v/>
      </c>
      <c r="R95">
        <f>MAX(0,MIN(ROUND(AB94*(1+H$5),0)-H95,$AJ95-SUM($M95:Q95)))</f>
        <v/>
      </c>
      <c r="S95">
        <f>MAX(0,MIN(ROUND(AC94*(1+I$5),0)-I95,$AJ95-SUM($M95:R95)))</f>
        <v/>
      </c>
      <c r="T95">
        <f>MAX(0,MIN(ROUND(AD94*(1+J$5),0)-J95,$AJ95-SUM($M95:S95)))</f>
        <v/>
      </c>
      <c r="U95">
        <f>MAX(0,MIN(ROUND(AE94*(1+K$5),0)-K95,$AJ95-SUM($M95:T95)))</f>
        <v/>
      </c>
      <c r="V95">
        <f>MAX(0,MIN(ROUND(AF94*(1+L$5),0)-L95,$AJ95-SUM($M95:U95)))</f>
        <v/>
      </c>
      <c r="W95">
        <f>MAX(0,ROUND(W94*(1+C$5),0)-C95-M95)</f>
        <v/>
      </c>
      <c r="X95">
        <f>MAX(0,ROUND(X94*(1+D$5),0)-D95-N95)</f>
        <v/>
      </c>
      <c r="Y95">
        <f>MAX(0,ROUND(Y94*(1+E$5),0)-E95-O95)</f>
        <v/>
      </c>
      <c r="Z95">
        <f>MAX(0,ROUND(Z94*(1+F$5),0)-F95-P95)</f>
        <v/>
      </c>
      <c r="AA95">
        <f>MAX(0,ROUND(AA94*(1+G$5),0)-G95-Q95)</f>
        <v/>
      </c>
      <c r="AB95">
        <f>MAX(0,ROUND(AB94*(1+H$5),0)-H95-R95)</f>
        <v/>
      </c>
      <c r="AC95">
        <f>MAX(0,ROUND(AC94*(1+I$5),0)-I95-S95)</f>
        <v/>
      </c>
      <c r="AD95">
        <f>MAX(0,ROUND(AD94*(1+J$5),0)-J95-T95)</f>
        <v/>
      </c>
      <c r="AE95">
        <f>MAX(0,ROUND(AE94*(1+K$5),0)-K95-U95)</f>
        <v/>
      </c>
      <c r="AF95">
        <f>MAX(0,ROUND(AF94*(1+L$5),0)-L95-V95)</f>
        <v/>
      </c>
      <c r="AG95">
        <f>AH95-(AI94-AI95)</f>
        <v/>
      </c>
      <c r="AH95">
        <f>SUM(C95:V95)</f>
        <v/>
      </c>
      <c r="AI95">
        <f>SUM(W95:AF95)</f>
        <v/>
      </c>
      <c r="AJ95">
        <f>MAX(0,PresTot-SUM(C95:L95))</f>
        <v/>
      </c>
      <c r="AK95">
        <f>IF(AI94&lt;=0,0,11-SUMPRODUCT(MAX((W94:AF94&gt;0)*(11-(COLUMN(W94:AF94)-COLUMN($V94))))))</f>
        <v/>
      </c>
    </row>
    <row r="96">
      <c r="A96" t="n">
        <v>86</v>
      </c>
      <c r="B96">
        <f>DATE(YEAR(InicioEf),MONTH(InicioEf)+A96-1,1)</f>
        <v/>
      </c>
      <c r="C96">
        <f>MIN(C$6,ROUND(W95*(1+C$5),0))</f>
        <v/>
      </c>
      <c r="D96">
        <f>MIN(D$6,ROUND(X95*(1+D$5),0))</f>
        <v/>
      </c>
      <c r="E96">
        <f>MIN(E$6,ROUND(Y95*(1+E$5),0))</f>
        <v/>
      </c>
      <c r="F96">
        <f>MIN(F$6,ROUND(Z95*(1+F$5),0))</f>
        <v/>
      </c>
      <c r="G96">
        <f>MIN(G$6,ROUND(AA95*(1+G$5),0))</f>
        <v/>
      </c>
      <c r="H96">
        <f>MIN(H$6,ROUND(AB95*(1+H$5),0))</f>
        <v/>
      </c>
      <c r="I96">
        <f>MIN(I$6,ROUND(AC95*(1+I$5),0))</f>
        <v/>
      </c>
      <c r="J96">
        <f>MIN(J$6,ROUND(AD95*(1+J$5),0))</f>
        <v/>
      </c>
      <c r="K96">
        <f>MIN(K$6,ROUND(AE95*(1+K$5),0))</f>
        <v/>
      </c>
      <c r="L96">
        <f>MIN(L$6,ROUND(AF95*(1+L$5),0))</f>
        <v/>
      </c>
      <c r="M96">
        <f>MAX(0,MIN(ROUND(W95*(1+C$5),0)-C96,$AJ96-0))</f>
        <v/>
      </c>
      <c r="N96">
        <f>MAX(0,MIN(ROUND(X95*(1+D$5),0)-D96,$AJ96-SUM($M96:M96)))</f>
        <v/>
      </c>
      <c r="O96">
        <f>MAX(0,MIN(ROUND(Y95*(1+E$5),0)-E96,$AJ96-SUM($M96:N96)))</f>
        <v/>
      </c>
      <c r="P96">
        <f>MAX(0,MIN(ROUND(Z95*(1+F$5),0)-F96,$AJ96-SUM($M96:O96)))</f>
        <v/>
      </c>
      <c r="Q96">
        <f>MAX(0,MIN(ROUND(AA95*(1+G$5),0)-G96,$AJ96-SUM($M96:P96)))</f>
        <v/>
      </c>
      <c r="R96">
        <f>MAX(0,MIN(ROUND(AB95*(1+H$5),0)-H96,$AJ96-SUM($M96:Q96)))</f>
        <v/>
      </c>
      <c r="S96">
        <f>MAX(0,MIN(ROUND(AC95*(1+I$5),0)-I96,$AJ96-SUM($M96:R96)))</f>
        <v/>
      </c>
      <c r="T96">
        <f>MAX(0,MIN(ROUND(AD95*(1+J$5),0)-J96,$AJ96-SUM($M96:S96)))</f>
        <v/>
      </c>
      <c r="U96">
        <f>MAX(0,MIN(ROUND(AE95*(1+K$5),0)-K96,$AJ96-SUM($M96:T96)))</f>
        <v/>
      </c>
      <c r="V96">
        <f>MAX(0,MIN(ROUND(AF95*(1+L$5),0)-L96,$AJ96-SUM($M96:U96)))</f>
        <v/>
      </c>
      <c r="W96">
        <f>MAX(0,ROUND(W95*(1+C$5),0)-C96-M96)</f>
        <v/>
      </c>
      <c r="X96">
        <f>MAX(0,ROUND(X95*(1+D$5),0)-D96-N96)</f>
        <v/>
      </c>
      <c r="Y96">
        <f>MAX(0,ROUND(Y95*(1+E$5),0)-E96-O96)</f>
        <v/>
      </c>
      <c r="Z96">
        <f>MAX(0,ROUND(Z95*(1+F$5),0)-F96-P96)</f>
        <v/>
      </c>
      <c r="AA96">
        <f>MAX(0,ROUND(AA95*(1+G$5),0)-G96-Q96)</f>
        <v/>
      </c>
      <c r="AB96">
        <f>MAX(0,ROUND(AB95*(1+H$5),0)-H96-R96)</f>
        <v/>
      </c>
      <c r="AC96">
        <f>MAX(0,ROUND(AC95*(1+I$5),0)-I96-S96)</f>
        <v/>
      </c>
      <c r="AD96">
        <f>MAX(0,ROUND(AD95*(1+J$5),0)-J96-T96)</f>
        <v/>
      </c>
      <c r="AE96">
        <f>MAX(0,ROUND(AE95*(1+K$5),0)-K96-U96)</f>
        <v/>
      </c>
      <c r="AF96">
        <f>MAX(0,ROUND(AF95*(1+L$5),0)-L96-V96)</f>
        <v/>
      </c>
      <c r="AG96">
        <f>AH96-(AI95-AI96)</f>
        <v/>
      </c>
      <c r="AH96">
        <f>SUM(C96:V96)</f>
        <v/>
      </c>
      <c r="AI96">
        <f>SUM(W96:AF96)</f>
        <v/>
      </c>
      <c r="AJ96">
        <f>MAX(0,PresTot-SUM(C96:L96))</f>
        <v/>
      </c>
      <c r="AK96">
        <f>IF(AI95&lt;=0,0,11-SUMPRODUCT(MAX((W95:AF95&gt;0)*(11-(COLUMN(W95:AF95)-COLUMN($V95))))))</f>
        <v/>
      </c>
    </row>
    <row r="97">
      <c r="A97" t="n">
        <v>87</v>
      </c>
      <c r="B97">
        <f>DATE(YEAR(InicioEf),MONTH(InicioEf)+A97-1,1)</f>
        <v/>
      </c>
      <c r="C97">
        <f>MIN(C$6,ROUND(W96*(1+C$5),0))</f>
        <v/>
      </c>
      <c r="D97">
        <f>MIN(D$6,ROUND(X96*(1+D$5),0))</f>
        <v/>
      </c>
      <c r="E97">
        <f>MIN(E$6,ROUND(Y96*(1+E$5),0))</f>
        <v/>
      </c>
      <c r="F97">
        <f>MIN(F$6,ROUND(Z96*(1+F$5),0))</f>
        <v/>
      </c>
      <c r="G97">
        <f>MIN(G$6,ROUND(AA96*(1+G$5),0))</f>
        <v/>
      </c>
      <c r="H97">
        <f>MIN(H$6,ROUND(AB96*(1+H$5),0))</f>
        <v/>
      </c>
      <c r="I97">
        <f>MIN(I$6,ROUND(AC96*(1+I$5),0))</f>
        <v/>
      </c>
      <c r="J97">
        <f>MIN(J$6,ROUND(AD96*(1+J$5),0))</f>
        <v/>
      </c>
      <c r="K97">
        <f>MIN(K$6,ROUND(AE96*(1+K$5),0))</f>
        <v/>
      </c>
      <c r="L97">
        <f>MIN(L$6,ROUND(AF96*(1+L$5),0))</f>
        <v/>
      </c>
      <c r="M97">
        <f>MAX(0,MIN(ROUND(W96*(1+C$5),0)-C97,$AJ97-0))</f>
        <v/>
      </c>
      <c r="N97">
        <f>MAX(0,MIN(ROUND(X96*(1+D$5),0)-D97,$AJ97-SUM($M97:M97)))</f>
        <v/>
      </c>
      <c r="O97">
        <f>MAX(0,MIN(ROUND(Y96*(1+E$5),0)-E97,$AJ97-SUM($M97:N97)))</f>
        <v/>
      </c>
      <c r="P97">
        <f>MAX(0,MIN(ROUND(Z96*(1+F$5),0)-F97,$AJ97-SUM($M97:O97)))</f>
        <v/>
      </c>
      <c r="Q97">
        <f>MAX(0,MIN(ROUND(AA96*(1+G$5),0)-G97,$AJ97-SUM($M97:P97)))</f>
        <v/>
      </c>
      <c r="R97">
        <f>MAX(0,MIN(ROUND(AB96*(1+H$5),0)-H97,$AJ97-SUM($M97:Q97)))</f>
        <v/>
      </c>
      <c r="S97">
        <f>MAX(0,MIN(ROUND(AC96*(1+I$5),0)-I97,$AJ97-SUM($M97:R97)))</f>
        <v/>
      </c>
      <c r="T97">
        <f>MAX(0,MIN(ROUND(AD96*(1+J$5),0)-J97,$AJ97-SUM($M97:S97)))</f>
        <v/>
      </c>
      <c r="U97">
        <f>MAX(0,MIN(ROUND(AE96*(1+K$5),0)-K97,$AJ97-SUM($M97:T97)))</f>
        <v/>
      </c>
      <c r="V97">
        <f>MAX(0,MIN(ROUND(AF96*(1+L$5),0)-L97,$AJ97-SUM($M97:U97)))</f>
        <v/>
      </c>
      <c r="W97">
        <f>MAX(0,ROUND(W96*(1+C$5),0)-C97-M97)</f>
        <v/>
      </c>
      <c r="X97">
        <f>MAX(0,ROUND(X96*(1+D$5),0)-D97-N97)</f>
        <v/>
      </c>
      <c r="Y97">
        <f>MAX(0,ROUND(Y96*(1+E$5),0)-E97-O97)</f>
        <v/>
      </c>
      <c r="Z97">
        <f>MAX(0,ROUND(Z96*(1+F$5),0)-F97-P97)</f>
        <v/>
      </c>
      <c r="AA97">
        <f>MAX(0,ROUND(AA96*(1+G$5),0)-G97-Q97)</f>
        <v/>
      </c>
      <c r="AB97">
        <f>MAX(0,ROUND(AB96*(1+H$5),0)-H97-R97)</f>
        <v/>
      </c>
      <c r="AC97">
        <f>MAX(0,ROUND(AC96*(1+I$5),0)-I97-S97)</f>
        <v/>
      </c>
      <c r="AD97">
        <f>MAX(0,ROUND(AD96*(1+J$5),0)-J97-T97)</f>
        <v/>
      </c>
      <c r="AE97">
        <f>MAX(0,ROUND(AE96*(1+K$5),0)-K97-U97)</f>
        <v/>
      </c>
      <c r="AF97">
        <f>MAX(0,ROUND(AF96*(1+L$5),0)-L97-V97)</f>
        <v/>
      </c>
      <c r="AG97">
        <f>AH97-(AI96-AI97)</f>
        <v/>
      </c>
      <c r="AH97">
        <f>SUM(C97:V97)</f>
        <v/>
      </c>
      <c r="AI97">
        <f>SUM(W97:AF97)</f>
        <v/>
      </c>
      <c r="AJ97">
        <f>MAX(0,PresTot-SUM(C97:L97))</f>
        <v/>
      </c>
      <c r="AK97">
        <f>IF(AI96&lt;=0,0,11-SUMPRODUCT(MAX((W96:AF96&gt;0)*(11-(COLUMN(W96:AF96)-COLUMN($V96))))))</f>
        <v/>
      </c>
    </row>
    <row r="98">
      <c r="A98" t="n">
        <v>88</v>
      </c>
      <c r="B98">
        <f>DATE(YEAR(InicioEf),MONTH(InicioEf)+A98-1,1)</f>
        <v/>
      </c>
      <c r="C98">
        <f>MIN(C$6,ROUND(W97*(1+C$5),0))</f>
        <v/>
      </c>
      <c r="D98">
        <f>MIN(D$6,ROUND(X97*(1+D$5),0))</f>
        <v/>
      </c>
      <c r="E98">
        <f>MIN(E$6,ROUND(Y97*(1+E$5),0))</f>
        <v/>
      </c>
      <c r="F98">
        <f>MIN(F$6,ROUND(Z97*(1+F$5),0))</f>
        <v/>
      </c>
      <c r="G98">
        <f>MIN(G$6,ROUND(AA97*(1+G$5),0))</f>
        <v/>
      </c>
      <c r="H98">
        <f>MIN(H$6,ROUND(AB97*(1+H$5),0))</f>
        <v/>
      </c>
      <c r="I98">
        <f>MIN(I$6,ROUND(AC97*(1+I$5),0))</f>
        <v/>
      </c>
      <c r="J98">
        <f>MIN(J$6,ROUND(AD97*(1+J$5),0))</f>
        <v/>
      </c>
      <c r="K98">
        <f>MIN(K$6,ROUND(AE97*(1+K$5),0))</f>
        <v/>
      </c>
      <c r="L98">
        <f>MIN(L$6,ROUND(AF97*(1+L$5),0))</f>
        <v/>
      </c>
      <c r="M98">
        <f>MAX(0,MIN(ROUND(W97*(1+C$5),0)-C98,$AJ98-0))</f>
        <v/>
      </c>
      <c r="N98">
        <f>MAX(0,MIN(ROUND(X97*(1+D$5),0)-D98,$AJ98-SUM($M98:M98)))</f>
        <v/>
      </c>
      <c r="O98">
        <f>MAX(0,MIN(ROUND(Y97*(1+E$5),0)-E98,$AJ98-SUM($M98:N98)))</f>
        <v/>
      </c>
      <c r="P98">
        <f>MAX(0,MIN(ROUND(Z97*(1+F$5),0)-F98,$AJ98-SUM($M98:O98)))</f>
        <v/>
      </c>
      <c r="Q98">
        <f>MAX(0,MIN(ROUND(AA97*(1+G$5),0)-G98,$AJ98-SUM($M98:P98)))</f>
        <v/>
      </c>
      <c r="R98">
        <f>MAX(0,MIN(ROUND(AB97*(1+H$5),0)-H98,$AJ98-SUM($M98:Q98)))</f>
        <v/>
      </c>
      <c r="S98">
        <f>MAX(0,MIN(ROUND(AC97*(1+I$5),0)-I98,$AJ98-SUM($M98:R98)))</f>
        <v/>
      </c>
      <c r="T98">
        <f>MAX(0,MIN(ROUND(AD97*(1+J$5),0)-J98,$AJ98-SUM($M98:S98)))</f>
        <v/>
      </c>
      <c r="U98">
        <f>MAX(0,MIN(ROUND(AE97*(1+K$5),0)-K98,$AJ98-SUM($M98:T98)))</f>
        <v/>
      </c>
      <c r="V98">
        <f>MAX(0,MIN(ROUND(AF97*(1+L$5),0)-L98,$AJ98-SUM($M98:U98)))</f>
        <v/>
      </c>
      <c r="W98">
        <f>MAX(0,ROUND(W97*(1+C$5),0)-C98-M98)</f>
        <v/>
      </c>
      <c r="X98">
        <f>MAX(0,ROUND(X97*(1+D$5),0)-D98-N98)</f>
        <v/>
      </c>
      <c r="Y98">
        <f>MAX(0,ROUND(Y97*(1+E$5),0)-E98-O98)</f>
        <v/>
      </c>
      <c r="Z98">
        <f>MAX(0,ROUND(Z97*(1+F$5),0)-F98-P98)</f>
        <v/>
      </c>
      <c r="AA98">
        <f>MAX(0,ROUND(AA97*(1+G$5),0)-G98-Q98)</f>
        <v/>
      </c>
      <c r="AB98">
        <f>MAX(0,ROUND(AB97*(1+H$5),0)-H98-R98)</f>
        <v/>
      </c>
      <c r="AC98">
        <f>MAX(0,ROUND(AC97*(1+I$5),0)-I98-S98)</f>
        <v/>
      </c>
      <c r="AD98">
        <f>MAX(0,ROUND(AD97*(1+J$5),0)-J98-T98)</f>
        <v/>
      </c>
      <c r="AE98">
        <f>MAX(0,ROUND(AE97*(1+K$5),0)-K98-U98)</f>
        <v/>
      </c>
      <c r="AF98">
        <f>MAX(0,ROUND(AF97*(1+L$5),0)-L98-V98)</f>
        <v/>
      </c>
      <c r="AG98">
        <f>AH98-(AI97-AI98)</f>
        <v/>
      </c>
      <c r="AH98">
        <f>SUM(C98:V98)</f>
        <v/>
      </c>
      <c r="AI98">
        <f>SUM(W98:AF98)</f>
        <v/>
      </c>
      <c r="AJ98">
        <f>MAX(0,PresTot-SUM(C98:L98))</f>
        <v/>
      </c>
      <c r="AK98">
        <f>IF(AI97&lt;=0,0,11-SUMPRODUCT(MAX((W97:AF97&gt;0)*(11-(COLUMN(W97:AF97)-COLUMN($V97))))))</f>
        <v/>
      </c>
    </row>
    <row r="99">
      <c r="A99" t="n">
        <v>89</v>
      </c>
      <c r="B99">
        <f>DATE(YEAR(InicioEf),MONTH(InicioEf)+A99-1,1)</f>
        <v/>
      </c>
      <c r="C99">
        <f>MIN(C$6,ROUND(W98*(1+C$5),0))</f>
        <v/>
      </c>
      <c r="D99">
        <f>MIN(D$6,ROUND(X98*(1+D$5),0))</f>
        <v/>
      </c>
      <c r="E99">
        <f>MIN(E$6,ROUND(Y98*(1+E$5),0))</f>
        <v/>
      </c>
      <c r="F99">
        <f>MIN(F$6,ROUND(Z98*(1+F$5),0))</f>
        <v/>
      </c>
      <c r="G99">
        <f>MIN(G$6,ROUND(AA98*(1+G$5),0))</f>
        <v/>
      </c>
      <c r="H99">
        <f>MIN(H$6,ROUND(AB98*(1+H$5),0))</f>
        <v/>
      </c>
      <c r="I99">
        <f>MIN(I$6,ROUND(AC98*(1+I$5),0))</f>
        <v/>
      </c>
      <c r="J99">
        <f>MIN(J$6,ROUND(AD98*(1+J$5),0))</f>
        <v/>
      </c>
      <c r="K99">
        <f>MIN(K$6,ROUND(AE98*(1+K$5),0))</f>
        <v/>
      </c>
      <c r="L99">
        <f>MIN(L$6,ROUND(AF98*(1+L$5),0))</f>
        <v/>
      </c>
      <c r="M99">
        <f>MAX(0,MIN(ROUND(W98*(1+C$5),0)-C99,$AJ99-0))</f>
        <v/>
      </c>
      <c r="N99">
        <f>MAX(0,MIN(ROUND(X98*(1+D$5),0)-D99,$AJ99-SUM($M99:M99)))</f>
        <v/>
      </c>
      <c r="O99">
        <f>MAX(0,MIN(ROUND(Y98*(1+E$5),0)-E99,$AJ99-SUM($M99:N99)))</f>
        <v/>
      </c>
      <c r="P99">
        <f>MAX(0,MIN(ROUND(Z98*(1+F$5),0)-F99,$AJ99-SUM($M99:O99)))</f>
        <v/>
      </c>
      <c r="Q99">
        <f>MAX(0,MIN(ROUND(AA98*(1+G$5),0)-G99,$AJ99-SUM($M99:P99)))</f>
        <v/>
      </c>
      <c r="R99">
        <f>MAX(0,MIN(ROUND(AB98*(1+H$5),0)-H99,$AJ99-SUM($M99:Q99)))</f>
        <v/>
      </c>
      <c r="S99">
        <f>MAX(0,MIN(ROUND(AC98*(1+I$5),0)-I99,$AJ99-SUM($M99:R99)))</f>
        <v/>
      </c>
      <c r="T99">
        <f>MAX(0,MIN(ROUND(AD98*(1+J$5),0)-J99,$AJ99-SUM($M99:S99)))</f>
        <v/>
      </c>
      <c r="U99">
        <f>MAX(0,MIN(ROUND(AE98*(1+K$5),0)-K99,$AJ99-SUM($M99:T99)))</f>
        <v/>
      </c>
      <c r="V99">
        <f>MAX(0,MIN(ROUND(AF98*(1+L$5),0)-L99,$AJ99-SUM($M99:U99)))</f>
        <v/>
      </c>
      <c r="W99">
        <f>MAX(0,ROUND(W98*(1+C$5),0)-C99-M99)</f>
        <v/>
      </c>
      <c r="X99">
        <f>MAX(0,ROUND(X98*(1+D$5),0)-D99-N99)</f>
        <v/>
      </c>
      <c r="Y99">
        <f>MAX(0,ROUND(Y98*(1+E$5),0)-E99-O99)</f>
        <v/>
      </c>
      <c r="Z99">
        <f>MAX(0,ROUND(Z98*(1+F$5),0)-F99-P99)</f>
        <v/>
      </c>
      <c r="AA99">
        <f>MAX(0,ROUND(AA98*(1+G$5),0)-G99-Q99)</f>
        <v/>
      </c>
      <c r="AB99">
        <f>MAX(0,ROUND(AB98*(1+H$5),0)-H99-R99)</f>
        <v/>
      </c>
      <c r="AC99">
        <f>MAX(0,ROUND(AC98*(1+I$5),0)-I99-S99)</f>
        <v/>
      </c>
      <c r="AD99">
        <f>MAX(0,ROUND(AD98*(1+J$5),0)-J99-T99)</f>
        <v/>
      </c>
      <c r="AE99">
        <f>MAX(0,ROUND(AE98*(1+K$5),0)-K99-U99)</f>
        <v/>
      </c>
      <c r="AF99">
        <f>MAX(0,ROUND(AF98*(1+L$5),0)-L99-V99)</f>
        <v/>
      </c>
      <c r="AG99">
        <f>AH99-(AI98-AI99)</f>
        <v/>
      </c>
      <c r="AH99">
        <f>SUM(C99:V99)</f>
        <v/>
      </c>
      <c r="AI99">
        <f>SUM(W99:AF99)</f>
        <v/>
      </c>
      <c r="AJ99">
        <f>MAX(0,PresTot-SUM(C99:L99))</f>
        <v/>
      </c>
      <c r="AK99">
        <f>IF(AI98&lt;=0,0,11-SUMPRODUCT(MAX((W98:AF98&gt;0)*(11-(COLUMN(W98:AF98)-COLUMN($V98))))))</f>
        <v/>
      </c>
    </row>
    <row r="100">
      <c r="A100" t="n">
        <v>90</v>
      </c>
      <c r="B100">
        <f>DATE(YEAR(InicioEf),MONTH(InicioEf)+A100-1,1)</f>
        <v/>
      </c>
      <c r="C100">
        <f>MIN(C$6,ROUND(W99*(1+C$5),0))</f>
        <v/>
      </c>
      <c r="D100">
        <f>MIN(D$6,ROUND(X99*(1+D$5),0))</f>
        <v/>
      </c>
      <c r="E100">
        <f>MIN(E$6,ROUND(Y99*(1+E$5),0))</f>
        <v/>
      </c>
      <c r="F100">
        <f>MIN(F$6,ROUND(Z99*(1+F$5),0))</f>
        <v/>
      </c>
      <c r="G100">
        <f>MIN(G$6,ROUND(AA99*(1+G$5),0))</f>
        <v/>
      </c>
      <c r="H100">
        <f>MIN(H$6,ROUND(AB99*(1+H$5),0))</f>
        <v/>
      </c>
      <c r="I100">
        <f>MIN(I$6,ROUND(AC99*(1+I$5),0))</f>
        <v/>
      </c>
      <c r="J100">
        <f>MIN(J$6,ROUND(AD99*(1+J$5),0))</f>
        <v/>
      </c>
      <c r="K100">
        <f>MIN(K$6,ROUND(AE99*(1+K$5),0))</f>
        <v/>
      </c>
      <c r="L100">
        <f>MIN(L$6,ROUND(AF99*(1+L$5),0))</f>
        <v/>
      </c>
      <c r="M100">
        <f>MAX(0,MIN(ROUND(W99*(1+C$5),0)-C100,$AJ100-0))</f>
        <v/>
      </c>
      <c r="N100">
        <f>MAX(0,MIN(ROUND(X99*(1+D$5),0)-D100,$AJ100-SUM($M100:M100)))</f>
        <v/>
      </c>
      <c r="O100">
        <f>MAX(0,MIN(ROUND(Y99*(1+E$5),0)-E100,$AJ100-SUM($M100:N100)))</f>
        <v/>
      </c>
      <c r="P100">
        <f>MAX(0,MIN(ROUND(Z99*(1+F$5),0)-F100,$AJ100-SUM($M100:O100)))</f>
        <v/>
      </c>
      <c r="Q100">
        <f>MAX(0,MIN(ROUND(AA99*(1+G$5),0)-G100,$AJ100-SUM($M100:P100)))</f>
        <v/>
      </c>
      <c r="R100">
        <f>MAX(0,MIN(ROUND(AB99*(1+H$5),0)-H100,$AJ100-SUM($M100:Q100)))</f>
        <v/>
      </c>
      <c r="S100">
        <f>MAX(0,MIN(ROUND(AC99*(1+I$5),0)-I100,$AJ100-SUM($M100:R100)))</f>
        <v/>
      </c>
      <c r="T100">
        <f>MAX(0,MIN(ROUND(AD99*(1+J$5),0)-J100,$AJ100-SUM($M100:S100)))</f>
        <v/>
      </c>
      <c r="U100">
        <f>MAX(0,MIN(ROUND(AE99*(1+K$5),0)-K100,$AJ100-SUM($M100:T100)))</f>
        <v/>
      </c>
      <c r="V100">
        <f>MAX(0,MIN(ROUND(AF99*(1+L$5),0)-L100,$AJ100-SUM($M100:U100)))</f>
        <v/>
      </c>
      <c r="W100">
        <f>MAX(0,ROUND(W99*(1+C$5),0)-C100-M100)</f>
        <v/>
      </c>
      <c r="X100">
        <f>MAX(0,ROUND(X99*(1+D$5),0)-D100-N100)</f>
        <v/>
      </c>
      <c r="Y100">
        <f>MAX(0,ROUND(Y99*(1+E$5),0)-E100-O100)</f>
        <v/>
      </c>
      <c r="Z100">
        <f>MAX(0,ROUND(Z99*(1+F$5),0)-F100-P100)</f>
        <v/>
      </c>
      <c r="AA100">
        <f>MAX(0,ROUND(AA99*(1+G$5),0)-G100-Q100)</f>
        <v/>
      </c>
      <c r="AB100">
        <f>MAX(0,ROUND(AB99*(1+H$5),0)-H100-R100)</f>
        <v/>
      </c>
      <c r="AC100">
        <f>MAX(0,ROUND(AC99*(1+I$5),0)-I100-S100)</f>
        <v/>
      </c>
      <c r="AD100">
        <f>MAX(0,ROUND(AD99*(1+J$5),0)-J100-T100)</f>
        <v/>
      </c>
      <c r="AE100">
        <f>MAX(0,ROUND(AE99*(1+K$5),0)-K100-U100)</f>
        <v/>
      </c>
      <c r="AF100">
        <f>MAX(0,ROUND(AF99*(1+L$5),0)-L100-V100)</f>
        <v/>
      </c>
      <c r="AG100">
        <f>AH100-(AI99-AI100)</f>
        <v/>
      </c>
      <c r="AH100">
        <f>SUM(C100:V100)</f>
        <v/>
      </c>
      <c r="AI100">
        <f>SUM(W100:AF100)</f>
        <v/>
      </c>
      <c r="AJ100">
        <f>MAX(0,PresTot-SUM(C100:L100))</f>
        <v/>
      </c>
      <c r="AK100">
        <f>IF(AI99&lt;=0,0,11-SUMPRODUCT(MAX((W99:AF99&gt;0)*(11-(COLUMN(W99:AF99)-COLUMN($V99))))))</f>
        <v/>
      </c>
    </row>
    <row r="101">
      <c r="A101" t="n">
        <v>91</v>
      </c>
      <c r="B101">
        <f>DATE(YEAR(InicioEf),MONTH(InicioEf)+A101-1,1)</f>
        <v/>
      </c>
      <c r="C101">
        <f>MIN(C$6,ROUND(W100*(1+C$5),0))</f>
        <v/>
      </c>
      <c r="D101">
        <f>MIN(D$6,ROUND(X100*(1+D$5),0))</f>
        <v/>
      </c>
      <c r="E101">
        <f>MIN(E$6,ROUND(Y100*(1+E$5),0))</f>
        <v/>
      </c>
      <c r="F101">
        <f>MIN(F$6,ROUND(Z100*(1+F$5),0))</f>
        <v/>
      </c>
      <c r="G101">
        <f>MIN(G$6,ROUND(AA100*(1+G$5),0))</f>
        <v/>
      </c>
      <c r="H101">
        <f>MIN(H$6,ROUND(AB100*(1+H$5),0))</f>
        <v/>
      </c>
      <c r="I101">
        <f>MIN(I$6,ROUND(AC100*(1+I$5),0))</f>
        <v/>
      </c>
      <c r="J101">
        <f>MIN(J$6,ROUND(AD100*(1+J$5),0))</f>
        <v/>
      </c>
      <c r="K101">
        <f>MIN(K$6,ROUND(AE100*(1+K$5),0))</f>
        <v/>
      </c>
      <c r="L101">
        <f>MIN(L$6,ROUND(AF100*(1+L$5),0))</f>
        <v/>
      </c>
      <c r="M101">
        <f>MAX(0,MIN(ROUND(W100*(1+C$5),0)-C101,$AJ101-0))</f>
        <v/>
      </c>
      <c r="N101">
        <f>MAX(0,MIN(ROUND(X100*(1+D$5),0)-D101,$AJ101-SUM($M101:M101)))</f>
        <v/>
      </c>
      <c r="O101">
        <f>MAX(0,MIN(ROUND(Y100*(1+E$5),0)-E101,$AJ101-SUM($M101:N101)))</f>
        <v/>
      </c>
      <c r="P101">
        <f>MAX(0,MIN(ROUND(Z100*(1+F$5),0)-F101,$AJ101-SUM($M101:O101)))</f>
        <v/>
      </c>
      <c r="Q101">
        <f>MAX(0,MIN(ROUND(AA100*(1+G$5),0)-G101,$AJ101-SUM($M101:P101)))</f>
        <v/>
      </c>
      <c r="R101">
        <f>MAX(0,MIN(ROUND(AB100*(1+H$5),0)-H101,$AJ101-SUM($M101:Q101)))</f>
        <v/>
      </c>
      <c r="S101">
        <f>MAX(0,MIN(ROUND(AC100*(1+I$5),0)-I101,$AJ101-SUM($M101:R101)))</f>
        <v/>
      </c>
      <c r="T101">
        <f>MAX(0,MIN(ROUND(AD100*(1+J$5),0)-J101,$AJ101-SUM($M101:S101)))</f>
        <v/>
      </c>
      <c r="U101">
        <f>MAX(0,MIN(ROUND(AE100*(1+K$5),0)-K101,$AJ101-SUM($M101:T101)))</f>
        <v/>
      </c>
      <c r="V101">
        <f>MAX(0,MIN(ROUND(AF100*(1+L$5),0)-L101,$AJ101-SUM($M101:U101)))</f>
        <v/>
      </c>
      <c r="W101">
        <f>MAX(0,ROUND(W100*(1+C$5),0)-C101-M101)</f>
        <v/>
      </c>
      <c r="X101">
        <f>MAX(0,ROUND(X100*(1+D$5),0)-D101-N101)</f>
        <v/>
      </c>
      <c r="Y101">
        <f>MAX(0,ROUND(Y100*(1+E$5),0)-E101-O101)</f>
        <v/>
      </c>
      <c r="Z101">
        <f>MAX(0,ROUND(Z100*(1+F$5),0)-F101-P101)</f>
        <v/>
      </c>
      <c r="AA101">
        <f>MAX(0,ROUND(AA100*(1+G$5),0)-G101-Q101)</f>
        <v/>
      </c>
      <c r="AB101">
        <f>MAX(0,ROUND(AB100*(1+H$5),0)-H101-R101)</f>
        <v/>
      </c>
      <c r="AC101">
        <f>MAX(0,ROUND(AC100*(1+I$5),0)-I101-S101)</f>
        <v/>
      </c>
      <c r="AD101">
        <f>MAX(0,ROUND(AD100*(1+J$5),0)-J101-T101)</f>
        <v/>
      </c>
      <c r="AE101">
        <f>MAX(0,ROUND(AE100*(1+K$5),0)-K101-U101)</f>
        <v/>
      </c>
      <c r="AF101">
        <f>MAX(0,ROUND(AF100*(1+L$5),0)-L101-V101)</f>
        <v/>
      </c>
      <c r="AG101">
        <f>AH101-(AI100-AI101)</f>
        <v/>
      </c>
      <c r="AH101">
        <f>SUM(C101:V101)</f>
        <v/>
      </c>
      <c r="AI101">
        <f>SUM(W101:AF101)</f>
        <v/>
      </c>
      <c r="AJ101">
        <f>MAX(0,PresTot-SUM(C101:L101))</f>
        <v/>
      </c>
      <c r="AK101">
        <f>IF(AI100&lt;=0,0,11-SUMPRODUCT(MAX((W100:AF100&gt;0)*(11-(COLUMN(W100:AF100)-COLUMN($V100))))))</f>
        <v/>
      </c>
    </row>
    <row r="102">
      <c r="A102" t="n">
        <v>92</v>
      </c>
      <c r="B102">
        <f>DATE(YEAR(InicioEf),MONTH(InicioEf)+A102-1,1)</f>
        <v/>
      </c>
      <c r="C102">
        <f>MIN(C$6,ROUND(W101*(1+C$5),0))</f>
        <v/>
      </c>
      <c r="D102">
        <f>MIN(D$6,ROUND(X101*(1+D$5),0))</f>
        <v/>
      </c>
      <c r="E102">
        <f>MIN(E$6,ROUND(Y101*(1+E$5),0))</f>
        <v/>
      </c>
      <c r="F102">
        <f>MIN(F$6,ROUND(Z101*(1+F$5),0))</f>
        <v/>
      </c>
      <c r="G102">
        <f>MIN(G$6,ROUND(AA101*(1+G$5),0))</f>
        <v/>
      </c>
      <c r="H102">
        <f>MIN(H$6,ROUND(AB101*(1+H$5),0))</f>
        <v/>
      </c>
      <c r="I102">
        <f>MIN(I$6,ROUND(AC101*(1+I$5),0))</f>
        <v/>
      </c>
      <c r="J102">
        <f>MIN(J$6,ROUND(AD101*(1+J$5),0))</f>
        <v/>
      </c>
      <c r="K102">
        <f>MIN(K$6,ROUND(AE101*(1+K$5),0))</f>
        <v/>
      </c>
      <c r="L102">
        <f>MIN(L$6,ROUND(AF101*(1+L$5),0))</f>
        <v/>
      </c>
      <c r="M102">
        <f>MAX(0,MIN(ROUND(W101*(1+C$5),0)-C102,$AJ102-0))</f>
        <v/>
      </c>
      <c r="N102">
        <f>MAX(0,MIN(ROUND(X101*(1+D$5),0)-D102,$AJ102-SUM($M102:M102)))</f>
        <v/>
      </c>
      <c r="O102">
        <f>MAX(0,MIN(ROUND(Y101*(1+E$5),0)-E102,$AJ102-SUM($M102:N102)))</f>
        <v/>
      </c>
      <c r="P102">
        <f>MAX(0,MIN(ROUND(Z101*(1+F$5),0)-F102,$AJ102-SUM($M102:O102)))</f>
        <v/>
      </c>
      <c r="Q102">
        <f>MAX(0,MIN(ROUND(AA101*(1+G$5),0)-G102,$AJ102-SUM($M102:P102)))</f>
        <v/>
      </c>
      <c r="R102">
        <f>MAX(0,MIN(ROUND(AB101*(1+H$5),0)-H102,$AJ102-SUM($M102:Q102)))</f>
        <v/>
      </c>
      <c r="S102">
        <f>MAX(0,MIN(ROUND(AC101*(1+I$5),0)-I102,$AJ102-SUM($M102:R102)))</f>
        <v/>
      </c>
      <c r="T102">
        <f>MAX(0,MIN(ROUND(AD101*(1+J$5),0)-J102,$AJ102-SUM($M102:S102)))</f>
        <v/>
      </c>
      <c r="U102">
        <f>MAX(0,MIN(ROUND(AE101*(1+K$5),0)-K102,$AJ102-SUM($M102:T102)))</f>
        <v/>
      </c>
      <c r="V102">
        <f>MAX(0,MIN(ROUND(AF101*(1+L$5),0)-L102,$AJ102-SUM($M102:U102)))</f>
        <v/>
      </c>
      <c r="W102">
        <f>MAX(0,ROUND(W101*(1+C$5),0)-C102-M102)</f>
        <v/>
      </c>
      <c r="X102">
        <f>MAX(0,ROUND(X101*(1+D$5),0)-D102-N102)</f>
        <v/>
      </c>
      <c r="Y102">
        <f>MAX(0,ROUND(Y101*(1+E$5),0)-E102-O102)</f>
        <v/>
      </c>
      <c r="Z102">
        <f>MAX(0,ROUND(Z101*(1+F$5),0)-F102-P102)</f>
        <v/>
      </c>
      <c r="AA102">
        <f>MAX(0,ROUND(AA101*(1+G$5),0)-G102-Q102)</f>
        <v/>
      </c>
      <c r="AB102">
        <f>MAX(0,ROUND(AB101*(1+H$5),0)-H102-R102)</f>
        <v/>
      </c>
      <c r="AC102">
        <f>MAX(0,ROUND(AC101*(1+I$5),0)-I102-S102)</f>
        <v/>
      </c>
      <c r="AD102">
        <f>MAX(0,ROUND(AD101*(1+J$5),0)-J102-T102)</f>
        <v/>
      </c>
      <c r="AE102">
        <f>MAX(0,ROUND(AE101*(1+K$5),0)-K102-U102)</f>
        <v/>
      </c>
      <c r="AF102">
        <f>MAX(0,ROUND(AF101*(1+L$5),0)-L102-V102)</f>
        <v/>
      </c>
      <c r="AG102">
        <f>AH102-(AI101-AI102)</f>
        <v/>
      </c>
      <c r="AH102">
        <f>SUM(C102:V102)</f>
        <v/>
      </c>
      <c r="AI102">
        <f>SUM(W102:AF102)</f>
        <v/>
      </c>
      <c r="AJ102">
        <f>MAX(0,PresTot-SUM(C102:L102))</f>
        <v/>
      </c>
      <c r="AK102">
        <f>IF(AI101&lt;=0,0,11-SUMPRODUCT(MAX((W101:AF101&gt;0)*(11-(COLUMN(W101:AF101)-COLUMN($V101))))))</f>
        <v/>
      </c>
    </row>
    <row r="103">
      <c r="A103" t="n">
        <v>93</v>
      </c>
      <c r="B103">
        <f>DATE(YEAR(InicioEf),MONTH(InicioEf)+A103-1,1)</f>
        <v/>
      </c>
      <c r="C103">
        <f>MIN(C$6,ROUND(W102*(1+C$5),0))</f>
        <v/>
      </c>
      <c r="D103">
        <f>MIN(D$6,ROUND(X102*(1+D$5),0))</f>
        <v/>
      </c>
      <c r="E103">
        <f>MIN(E$6,ROUND(Y102*(1+E$5),0))</f>
        <v/>
      </c>
      <c r="F103">
        <f>MIN(F$6,ROUND(Z102*(1+F$5),0))</f>
        <v/>
      </c>
      <c r="G103">
        <f>MIN(G$6,ROUND(AA102*(1+G$5),0))</f>
        <v/>
      </c>
      <c r="H103">
        <f>MIN(H$6,ROUND(AB102*(1+H$5),0))</f>
        <v/>
      </c>
      <c r="I103">
        <f>MIN(I$6,ROUND(AC102*(1+I$5),0))</f>
        <v/>
      </c>
      <c r="J103">
        <f>MIN(J$6,ROUND(AD102*(1+J$5),0))</f>
        <v/>
      </c>
      <c r="K103">
        <f>MIN(K$6,ROUND(AE102*(1+K$5),0))</f>
        <v/>
      </c>
      <c r="L103">
        <f>MIN(L$6,ROUND(AF102*(1+L$5),0))</f>
        <v/>
      </c>
      <c r="M103">
        <f>MAX(0,MIN(ROUND(W102*(1+C$5),0)-C103,$AJ103-0))</f>
        <v/>
      </c>
      <c r="N103">
        <f>MAX(0,MIN(ROUND(X102*(1+D$5),0)-D103,$AJ103-SUM($M103:M103)))</f>
        <v/>
      </c>
      <c r="O103">
        <f>MAX(0,MIN(ROUND(Y102*(1+E$5),0)-E103,$AJ103-SUM($M103:N103)))</f>
        <v/>
      </c>
      <c r="P103">
        <f>MAX(0,MIN(ROUND(Z102*(1+F$5),0)-F103,$AJ103-SUM($M103:O103)))</f>
        <v/>
      </c>
      <c r="Q103">
        <f>MAX(0,MIN(ROUND(AA102*(1+G$5),0)-G103,$AJ103-SUM($M103:P103)))</f>
        <v/>
      </c>
      <c r="R103">
        <f>MAX(0,MIN(ROUND(AB102*(1+H$5),0)-H103,$AJ103-SUM($M103:Q103)))</f>
        <v/>
      </c>
      <c r="S103">
        <f>MAX(0,MIN(ROUND(AC102*(1+I$5),0)-I103,$AJ103-SUM($M103:R103)))</f>
        <v/>
      </c>
      <c r="T103">
        <f>MAX(0,MIN(ROUND(AD102*(1+J$5),0)-J103,$AJ103-SUM($M103:S103)))</f>
        <v/>
      </c>
      <c r="U103">
        <f>MAX(0,MIN(ROUND(AE102*(1+K$5),0)-K103,$AJ103-SUM($M103:T103)))</f>
        <v/>
      </c>
      <c r="V103">
        <f>MAX(0,MIN(ROUND(AF102*(1+L$5),0)-L103,$AJ103-SUM($M103:U103)))</f>
        <v/>
      </c>
      <c r="W103">
        <f>MAX(0,ROUND(W102*(1+C$5),0)-C103-M103)</f>
        <v/>
      </c>
      <c r="X103">
        <f>MAX(0,ROUND(X102*(1+D$5),0)-D103-N103)</f>
        <v/>
      </c>
      <c r="Y103">
        <f>MAX(0,ROUND(Y102*(1+E$5),0)-E103-O103)</f>
        <v/>
      </c>
      <c r="Z103">
        <f>MAX(0,ROUND(Z102*(1+F$5),0)-F103-P103)</f>
        <v/>
      </c>
      <c r="AA103">
        <f>MAX(0,ROUND(AA102*(1+G$5),0)-G103-Q103)</f>
        <v/>
      </c>
      <c r="AB103">
        <f>MAX(0,ROUND(AB102*(1+H$5),0)-H103-R103)</f>
        <v/>
      </c>
      <c r="AC103">
        <f>MAX(0,ROUND(AC102*(1+I$5),0)-I103-S103)</f>
        <v/>
      </c>
      <c r="AD103">
        <f>MAX(0,ROUND(AD102*(1+J$5),0)-J103-T103)</f>
        <v/>
      </c>
      <c r="AE103">
        <f>MAX(0,ROUND(AE102*(1+K$5),0)-K103-U103)</f>
        <v/>
      </c>
      <c r="AF103">
        <f>MAX(0,ROUND(AF102*(1+L$5),0)-L103-V103)</f>
        <v/>
      </c>
      <c r="AG103">
        <f>AH103-(AI102-AI103)</f>
        <v/>
      </c>
      <c r="AH103">
        <f>SUM(C103:V103)</f>
        <v/>
      </c>
      <c r="AI103">
        <f>SUM(W103:AF103)</f>
        <v/>
      </c>
      <c r="AJ103">
        <f>MAX(0,PresTot-SUM(C103:L103))</f>
        <v/>
      </c>
      <c r="AK103">
        <f>IF(AI102&lt;=0,0,11-SUMPRODUCT(MAX((W102:AF102&gt;0)*(11-(COLUMN(W102:AF102)-COLUMN($V102))))))</f>
        <v/>
      </c>
    </row>
    <row r="104">
      <c r="A104" t="n">
        <v>94</v>
      </c>
      <c r="B104">
        <f>DATE(YEAR(InicioEf),MONTH(InicioEf)+A104-1,1)</f>
        <v/>
      </c>
      <c r="C104">
        <f>MIN(C$6,ROUND(W103*(1+C$5),0))</f>
        <v/>
      </c>
      <c r="D104">
        <f>MIN(D$6,ROUND(X103*(1+D$5),0))</f>
        <v/>
      </c>
      <c r="E104">
        <f>MIN(E$6,ROUND(Y103*(1+E$5),0))</f>
        <v/>
      </c>
      <c r="F104">
        <f>MIN(F$6,ROUND(Z103*(1+F$5),0))</f>
        <v/>
      </c>
      <c r="G104">
        <f>MIN(G$6,ROUND(AA103*(1+G$5),0))</f>
        <v/>
      </c>
      <c r="H104">
        <f>MIN(H$6,ROUND(AB103*(1+H$5),0))</f>
        <v/>
      </c>
      <c r="I104">
        <f>MIN(I$6,ROUND(AC103*(1+I$5),0))</f>
        <v/>
      </c>
      <c r="J104">
        <f>MIN(J$6,ROUND(AD103*(1+J$5),0))</f>
        <v/>
      </c>
      <c r="K104">
        <f>MIN(K$6,ROUND(AE103*(1+K$5),0))</f>
        <v/>
      </c>
      <c r="L104">
        <f>MIN(L$6,ROUND(AF103*(1+L$5),0))</f>
        <v/>
      </c>
      <c r="M104">
        <f>MAX(0,MIN(ROUND(W103*(1+C$5),0)-C104,$AJ104-0))</f>
        <v/>
      </c>
      <c r="N104">
        <f>MAX(0,MIN(ROUND(X103*(1+D$5),0)-D104,$AJ104-SUM($M104:M104)))</f>
        <v/>
      </c>
      <c r="O104">
        <f>MAX(0,MIN(ROUND(Y103*(1+E$5),0)-E104,$AJ104-SUM($M104:N104)))</f>
        <v/>
      </c>
      <c r="P104">
        <f>MAX(0,MIN(ROUND(Z103*(1+F$5),0)-F104,$AJ104-SUM($M104:O104)))</f>
        <v/>
      </c>
      <c r="Q104">
        <f>MAX(0,MIN(ROUND(AA103*(1+G$5),0)-G104,$AJ104-SUM($M104:P104)))</f>
        <v/>
      </c>
      <c r="R104">
        <f>MAX(0,MIN(ROUND(AB103*(1+H$5),0)-H104,$AJ104-SUM($M104:Q104)))</f>
        <v/>
      </c>
      <c r="S104">
        <f>MAX(0,MIN(ROUND(AC103*(1+I$5),0)-I104,$AJ104-SUM($M104:R104)))</f>
        <v/>
      </c>
      <c r="T104">
        <f>MAX(0,MIN(ROUND(AD103*(1+J$5),0)-J104,$AJ104-SUM($M104:S104)))</f>
        <v/>
      </c>
      <c r="U104">
        <f>MAX(0,MIN(ROUND(AE103*(1+K$5),0)-K104,$AJ104-SUM($M104:T104)))</f>
        <v/>
      </c>
      <c r="V104">
        <f>MAX(0,MIN(ROUND(AF103*(1+L$5),0)-L104,$AJ104-SUM($M104:U104)))</f>
        <v/>
      </c>
      <c r="W104">
        <f>MAX(0,ROUND(W103*(1+C$5),0)-C104-M104)</f>
        <v/>
      </c>
      <c r="X104">
        <f>MAX(0,ROUND(X103*(1+D$5),0)-D104-N104)</f>
        <v/>
      </c>
      <c r="Y104">
        <f>MAX(0,ROUND(Y103*(1+E$5),0)-E104-O104)</f>
        <v/>
      </c>
      <c r="Z104">
        <f>MAX(0,ROUND(Z103*(1+F$5),0)-F104-P104)</f>
        <v/>
      </c>
      <c r="AA104">
        <f>MAX(0,ROUND(AA103*(1+G$5),0)-G104-Q104)</f>
        <v/>
      </c>
      <c r="AB104">
        <f>MAX(0,ROUND(AB103*(1+H$5),0)-H104-R104)</f>
        <v/>
      </c>
      <c r="AC104">
        <f>MAX(0,ROUND(AC103*(1+I$5),0)-I104-S104)</f>
        <v/>
      </c>
      <c r="AD104">
        <f>MAX(0,ROUND(AD103*(1+J$5),0)-J104-T104)</f>
        <v/>
      </c>
      <c r="AE104">
        <f>MAX(0,ROUND(AE103*(1+K$5),0)-K104-U104)</f>
        <v/>
      </c>
      <c r="AF104">
        <f>MAX(0,ROUND(AF103*(1+L$5),0)-L104-V104)</f>
        <v/>
      </c>
      <c r="AG104">
        <f>AH104-(AI103-AI104)</f>
        <v/>
      </c>
      <c r="AH104">
        <f>SUM(C104:V104)</f>
        <v/>
      </c>
      <c r="AI104">
        <f>SUM(W104:AF104)</f>
        <v/>
      </c>
      <c r="AJ104">
        <f>MAX(0,PresTot-SUM(C104:L104))</f>
        <v/>
      </c>
      <c r="AK104">
        <f>IF(AI103&lt;=0,0,11-SUMPRODUCT(MAX((W103:AF103&gt;0)*(11-(COLUMN(W103:AF103)-COLUMN($V103))))))</f>
        <v/>
      </c>
    </row>
    <row r="105">
      <c r="A105" t="n">
        <v>95</v>
      </c>
      <c r="B105">
        <f>DATE(YEAR(InicioEf),MONTH(InicioEf)+A105-1,1)</f>
        <v/>
      </c>
      <c r="C105">
        <f>MIN(C$6,ROUND(W104*(1+C$5),0))</f>
        <v/>
      </c>
      <c r="D105">
        <f>MIN(D$6,ROUND(X104*(1+D$5),0))</f>
        <v/>
      </c>
      <c r="E105">
        <f>MIN(E$6,ROUND(Y104*(1+E$5),0))</f>
        <v/>
      </c>
      <c r="F105">
        <f>MIN(F$6,ROUND(Z104*(1+F$5),0))</f>
        <v/>
      </c>
      <c r="G105">
        <f>MIN(G$6,ROUND(AA104*(1+G$5),0))</f>
        <v/>
      </c>
      <c r="H105">
        <f>MIN(H$6,ROUND(AB104*(1+H$5),0))</f>
        <v/>
      </c>
      <c r="I105">
        <f>MIN(I$6,ROUND(AC104*(1+I$5),0))</f>
        <v/>
      </c>
      <c r="J105">
        <f>MIN(J$6,ROUND(AD104*(1+J$5),0))</f>
        <v/>
      </c>
      <c r="K105">
        <f>MIN(K$6,ROUND(AE104*(1+K$5),0))</f>
        <v/>
      </c>
      <c r="L105">
        <f>MIN(L$6,ROUND(AF104*(1+L$5),0))</f>
        <v/>
      </c>
      <c r="M105">
        <f>MAX(0,MIN(ROUND(W104*(1+C$5),0)-C105,$AJ105-0))</f>
        <v/>
      </c>
      <c r="N105">
        <f>MAX(0,MIN(ROUND(X104*(1+D$5),0)-D105,$AJ105-SUM($M105:M105)))</f>
        <v/>
      </c>
      <c r="O105">
        <f>MAX(0,MIN(ROUND(Y104*(1+E$5),0)-E105,$AJ105-SUM($M105:N105)))</f>
        <v/>
      </c>
      <c r="P105">
        <f>MAX(0,MIN(ROUND(Z104*(1+F$5),0)-F105,$AJ105-SUM($M105:O105)))</f>
        <v/>
      </c>
      <c r="Q105">
        <f>MAX(0,MIN(ROUND(AA104*(1+G$5),0)-G105,$AJ105-SUM($M105:P105)))</f>
        <v/>
      </c>
      <c r="R105">
        <f>MAX(0,MIN(ROUND(AB104*(1+H$5),0)-H105,$AJ105-SUM($M105:Q105)))</f>
        <v/>
      </c>
      <c r="S105">
        <f>MAX(0,MIN(ROUND(AC104*(1+I$5),0)-I105,$AJ105-SUM($M105:R105)))</f>
        <v/>
      </c>
      <c r="T105">
        <f>MAX(0,MIN(ROUND(AD104*(1+J$5),0)-J105,$AJ105-SUM($M105:S105)))</f>
        <v/>
      </c>
      <c r="U105">
        <f>MAX(0,MIN(ROUND(AE104*(1+K$5),0)-K105,$AJ105-SUM($M105:T105)))</f>
        <v/>
      </c>
      <c r="V105">
        <f>MAX(0,MIN(ROUND(AF104*(1+L$5),0)-L105,$AJ105-SUM($M105:U105)))</f>
        <v/>
      </c>
      <c r="W105">
        <f>MAX(0,ROUND(W104*(1+C$5),0)-C105-M105)</f>
        <v/>
      </c>
      <c r="X105">
        <f>MAX(0,ROUND(X104*(1+D$5),0)-D105-N105)</f>
        <v/>
      </c>
      <c r="Y105">
        <f>MAX(0,ROUND(Y104*(1+E$5),0)-E105-O105)</f>
        <v/>
      </c>
      <c r="Z105">
        <f>MAX(0,ROUND(Z104*(1+F$5),0)-F105-P105)</f>
        <v/>
      </c>
      <c r="AA105">
        <f>MAX(0,ROUND(AA104*(1+G$5),0)-G105-Q105)</f>
        <v/>
      </c>
      <c r="AB105">
        <f>MAX(0,ROUND(AB104*(1+H$5),0)-H105-R105)</f>
        <v/>
      </c>
      <c r="AC105">
        <f>MAX(0,ROUND(AC104*(1+I$5),0)-I105-S105)</f>
        <v/>
      </c>
      <c r="AD105">
        <f>MAX(0,ROUND(AD104*(1+J$5),0)-J105-T105)</f>
        <v/>
      </c>
      <c r="AE105">
        <f>MAX(0,ROUND(AE104*(1+K$5),0)-K105-U105)</f>
        <v/>
      </c>
      <c r="AF105">
        <f>MAX(0,ROUND(AF104*(1+L$5),0)-L105-V105)</f>
        <v/>
      </c>
      <c r="AG105">
        <f>AH105-(AI104-AI105)</f>
        <v/>
      </c>
      <c r="AH105">
        <f>SUM(C105:V105)</f>
        <v/>
      </c>
      <c r="AI105">
        <f>SUM(W105:AF105)</f>
        <v/>
      </c>
      <c r="AJ105">
        <f>MAX(0,PresTot-SUM(C105:L105))</f>
        <v/>
      </c>
      <c r="AK105">
        <f>IF(AI104&lt;=0,0,11-SUMPRODUCT(MAX((W104:AF104&gt;0)*(11-(COLUMN(W104:AF104)-COLUMN($V104))))))</f>
        <v/>
      </c>
    </row>
    <row r="106">
      <c r="A106" t="n">
        <v>96</v>
      </c>
      <c r="B106">
        <f>DATE(YEAR(InicioEf),MONTH(InicioEf)+A106-1,1)</f>
        <v/>
      </c>
      <c r="C106">
        <f>MIN(C$6,ROUND(W105*(1+C$5),0))</f>
        <v/>
      </c>
      <c r="D106">
        <f>MIN(D$6,ROUND(X105*(1+D$5),0))</f>
        <v/>
      </c>
      <c r="E106">
        <f>MIN(E$6,ROUND(Y105*(1+E$5),0))</f>
        <v/>
      </c>
      <c r="F106">
        <f>MIN(F$6,ROUND(Z105*(1+F$5),0))</f>
        <v/>
      </c>
      <c r="G106">
        <f>MIN(G$6,ROUND(AA105*(1+G$5),0))</f>
        <v/>
      </c>
      <c r="H106">
        <f>MIN(H$6,ROUND(AB105*(1+H$5),0))</f>
        <v/>
      </c>
      <c r="I106">
        <f>MIN(I$6,ROUND(AC105*(1+I$5),0))</f>
        <v/>
      </c>
      <c r="J106">
        <f>MIN(J$6,ROUND(AD105*(1+J$5),0))</f>
        <v/>
      </c>
      <c r="K106">
        <f>MIN(K$6,ROUND(AE105*(1+K$5),0))</f>
        <v/>
      </c>
      <c r="L106">
        <f>MIN(L$6,ROUND(AF105*(1+L$5),0))</f>
        <v/>
      </c>
      <c r="M106">
        <f>MAX(0,MIN(ROUND(W105*(1+C$5),0)-C106,$AJ106-0))</f>
        <v/>
      </c>
      <c r="N106">
        <f>MAX(0,MIN(ROUND(X105*(1+D$5),0)-D106,$AJ106-SUM($M106:M106)))</f>
        <v/>
      </c>
      <c r="O106">
        <f>MAX(0,MIN(ROUND(Y105*(1+E$5),0)-E106,$AJ106-SUM($M106:N106)))</f>
        <v/>
      </c>
      <c r="P106">
        <f>MAX(0,MIN(ROUND(Z105*(1+F$5),0)-F106,$AJ106-SUM($M106:O106)))</f>
        <v/>
      </c>
      <c r="Q106">
        <f>MAX(0,MIN(ROUND(AA105*(1+G$5),0)-G106,$AJ106-SUM($M106:P106)))</f>
        <v/>
      </c>
      <c r="R106">
        <f>MAX(0,MIN(ROUND(AB105*(1+H$5),0)-H106,$AJ106-SUM($M106:Q106)))</f>
        <v/>
      </c>
      <c r="S106">
        <f>MAX(0,MIN(ROUND(AC105*(1+I$5),0)-I106,$AJ106-SUM($M106:R106)))</f>
        <v/>
      </c>
      <c r="T106">
        <f>MAX(0,MIN(ROUND(AD105*(1+J$5),0)-J106,$AJ106-SUM($M106:S106)))</f>
        <v/>
      </c>
      <c r="U106">
        <f>MAX(0,MIN(ROUND(AE105*(1+K$5),0)-K106,$AJ106-SUM($M106:T106)))</f>
        <v/>
      </c>
      <c r="V106">
        <f>MAX(0,MIN(ROUND(AF105*(1+L$5),0)-L106,$AJ106-SUM($M106:U106)))</f>
        <v/>
      </c>
      <c r="W106">
        <f>MAX(0,ROUND(W105*(1+C$5),0)-C106-M106)</f>
        <v/>
      </c>
      <c r="X106">
        <f>MAX(0,ROUND(X105*(1+D$5),0)-D106-N106)</f>
        <v/>
      </c>
      <c r="Y106">
        <f>MAX(0,ROUND(Y105*(1+E$5),0)-E106-O106)</f>
        <v/>
      </c>
      <c r="Z106">
        <f>MAX(0,ROUND(Z105*(1+F$5),0)-F106-P106)</f>
        <v/>
      </c>
      <c r="AA106">
        <f>MAX(0,ROUND(AA105*(1+G$5),0)-G106-Q106)</f>
        <v/>
      </c>
      <c r="AB106">
        <f>MAX(0,ROUND(AB105*(1+H$5),0)-H106-R106)</f>
        <v/>
      </c>
      <c r="AC106">
        <f>MAX(0,ROUND(AC105*(1+I$5),0)-I106-S106)</f>
        <v/>
      </c>
      <c r="AD106">
        <f>MAX(0,ROUND(AD105*(1+J$5),0)-J106-T106)</f>
        <v/>
      </c>
      <c r="AE106">
        <f>MAX(0,ROUND(AE105*(1+K$5),0)-K106-U106)</f>
        <v/>
      </c>
      <c r="AF106">
        <f>MAX(0,ROUND(AF105*(1+L$5),0)-L106-V106)</f>
        <v/>
      </c>
      <c r="AG106">
        <f>AH106-(AI105-AI106)</f>
        <v/>
      </c>
      <c r="AH106">
        <f>SUM(C106:V106)</f>
        <v/>
      </c>
      <c r="AI106">
        <f>SUM(W106:AF106)</f>
        <v/>
      </c>
      <c r="AJ106">
        <f>MAX(0,PresTot-SUM(C106:L106))</f>
        <v/>
      </c>
      <c r="AK106">
        <f>IF(AI105&lt;=0,0,11-SUMPRODUCT(MAX((W105:AF105&gt;0)*(11-(COLUMN(W105:AF105)-COLUMN($V105))))))</f>
        <v/>
      </c>
    </row>
    <row r="107">
      <c r="A107" t="n">
        <v>97</v>
      </c>
      <c r="B107">
        <f>DATE(YEAR(InicioEf),MONTH(InicioEf)+A107-1,1)</f>
        <v/>
      </c>
      <c r="C107">
        <f>MIN(C$6,ROUND(W106*(1+C$5),0))</f>
        <v/>
      </c>
      <c r="D107">
        <f>MIN(D$6,ROUND(X106*(1+D$5),0))</f>
        <v/>
      </c>
      <c r="E107">
        <f>MIN(E$6,ROUND(Y106*(1+E$5),0))</f>
        <v/>
      </c>
      <c r="F107">
        <f>MIN(F$6,ROUND(Z106*(1+F$5),0))</f>
        <v/>
      </c>
      <c r="G107">
        <f>MIN(G$6,ROUND(AA106*(1+G$5),0))</f>
        <v/>
      </c>
      <c r="H107">
        <f>MIN(H$6,ROUND(AB106*(1+H$5),0))</f>
        <v/>
      </c>
      <c r="I107">
        <f>MIN(I$6,ROUND(AC106*(1+I$5),0))</f>
        <v/>
      </c>
      <c r="J107">
        <f>MIN(J$6,ROUND(AD106*(1+J$5),0))</f>
        <v/>
      </c>
      <c r="K107">
        <f>MIN(K$6,ROUND(AE106*(1+K$5),0))</f>
        <v/>
      </c>
      <c r="L107">
        <f>MIN(L$6,ROUND(AF106*(1+L$5),0))</f>
        <v/>
      </c>
      <c r="M107">
        <f>MAX(0,MIN(ROUND(W106*(1+C$5),0)-C107,$AJ107-0))</f>
        <v/>
      </c>
      <c r="N107">
        <f>MAX(0,MIN(ROUND(X106*(1+D$5),0)-D107,$AJ107-SUM($M107:M107)))</f>
        <v/>
      </c>
      <c r="O107">
        <f>MAX(0,MIN(ROUND(Y106*(1+E$5),0)-E107,$AJ107-SUM($M107:N107)))</f>
        <v/>
      </c>
      <c r="P107">
        <f>MAX(0,MIN(ROUND(Z106*(1+F$5),0)-F107,$AJ107-SUM($M107:O107)))</f>
        <v/>
      </c>
      <c r="Q107">
        <f>MAX(0,MIN(ROUND(AA106*(1+G$5),0)-G107,$AJ107-SUM($M107:P107)))</f>
        <v/>
      </c>
      <c r="R107">
        <f>MAX(0,MIN(ROUND(AB106*(1+H$5),0)-H107,$AJ107-SUM($M107:Q107)))</f>
        <v/>
      </c>
      <c r="S107">
        <f>MAX(0,MIN(ROUND(AC106*(1+I$5),0)-I107,$AJ107-SUM($M107:R107)))</f>
        <v/>
      </c>
      <c r="T107">
        <f>MAX(0,MIN(ROUND(AD106*(1+J$5),0)-J107,$AJ107-SUM($M107:S107)))</f>
        <v/>
      </c>
      <c r="U107">
        <f>MAX(0,MIN(ROUND(AE106*(1+K$5),0)-K107,$AJ107-SUM($M107:T107)))</f>
        <v/>
      </c>
      <c r="V107">
        <f>MAX(0,MIN(ROUND(AF106*(1+L$5),0)-L107,$AJ107-SUM($M107:U107)))</f>
        <v/>
      </c>
      <c r="W107">
        <f>MAX(0,ROUND(W106*(1+C$5),0)-C107-M107)</f>
        <v/>
      </c>
      <c r="X107">
        <f>MAX(0,ROUND(X106*(1+D$5),0)-D107-N107)</f>
        <v/>
      </c>
      <c r="Y107">
        <f>MAX(0,ROUND(Y106*(1+E$5),0)-E107-O107)</f>
        <v/>
      </c>
      <c r="Z107">
        <f>MAX(0,ROUND(Z106*(1+F$5),0)-F107-P107)</f>
        <v/>
      </c>
      <c r="AA107">
        <f>MAX(0,ROUND(AA106*(1+G$5),0)-G107-Q107)</f>
        <v/>
      </c>
      <c r="AB107">
        <f>MAX(0,ROUND(AB106*(1+H$5),0)-H107-R107)</f>
        <v/>
      </c>
      <c r="AC107">
        <f>MAX(0,ROUND(AC106*(1+I$5),0)-I107-S107)</f>
        <v/>
      </c>
      <c r="AD107">
        <f>MAX(0,ROUND(AD106*(1+J$5),0)-J107-T107)</f>
        <v/>
      </c>
      <c r="AE107">
        <f>MAX(0,ROUND(AE106*(1+K$5),0)-K107-U107)</f>
        <v/>
      </c>
      <c r="AF107">
        <f>MAX(0,ROUND(AF106*(1+L$5),0)-L107-V107)</f>
        <v/>
      </c>
      <c r="AG107">
        <f>AH107-(AI106-AI107)</f>
        <v/>
      </c>
      <c r="AH107">
        <f>SUM(C107:V107)</f>
        <v/>
      </c>
      <c r="AI107">
        <f>SUM(W107:AF107)</f>
        <v/>
      </c>
      <c r="AJ107">
        <f>MAX(0,PresTot-SUM(C107:L107))</f>
        <v/>
      </c>
      <c r="AK107">
        <f>IF(AI106&lt;=0,0,11-SUMPRODUCT(MAX((W106:AF106&gt;0)*(11-(COLUMN(W106:AF106)-COLUMN($V106))))))</f>
        <v/>
      </c>
    </row>
    <row r="108">
      <c r="A108" t="n">
        <v>98</v>
      </c>
      <c r="B108">
        <f>DATE(YEAR(InicioEf),MONTH(InicioEf)+A108-1,1)</f>
        <v/>
      </c>
      <c r="C108">
        <f>MIN(C$6,ROUND(W107*(1+C$5),0))</f>
        <v/>
      </c>
      <c r="D108">
        <f>MIN(D$6,ROUND(X107*(1+D$5),0))</f>
        <v/>
      </c>
      <c r="E108">
        <f>MIN(E$6,ROUND(Y107*(1+E$5),0))</f>
        <v/>
      </c>
      <c r="F108">
        <f>MIN(F$6,ROUND(Z107*(1+F$5),0))</f>
        <v/>
      </c>
      <c r="G108">
        <f>MIN(G$6,ROUND(AA107*(1+G$5),0))</f>
        <v/>
      </c>
      <c r="H108">
        <f>MIN(H$6,ROUND(AB107*(1+H$5),0))</f>
        <v/>
      </c>
      <c r="I108">
        <f>MIN(I$6,ROUND(AC107*(1+I$5),0))</f>
        <v/>
      </c>
      <c r="J108">
        <f>MIN(J$6,ROUND(AD107*(1+J$5),0))</f>
        <v/>
      </c>
      <c r="K108">
        <f>MIN(K$6,ROUND(AE107*(1+K$5),0))</f>
        <v/>
      </c>
      <c r="L108">
        <f>MIN(L$6,ROUND(AF107*(1+L$5),0))</f>
        <v/>
      </c>
      <c r="M108">
        <f>MAX(0,MIN(ROUND(W107*(1+C$5),0)-C108,$AJ108-0))</f>
        <v/>
      </c>
      <c r="N108">
        <f>MAX(0,MIN(ROUND(X107*(1+D$5),0)-D108,$AJ108-SUM($M108:M108)))</f>
        <v/>
      </c>
      <c r="O108">
        <f>MAX(0,MIN(ROUND(Y107*(1+E$5),0)-E108,$AJ108-SUM($M108:N108)))</f>
        <v/>
      </c>
      <c r="P108">
        <f>MAX(0,MIN(ROUND(Z107*(1+F$5),0)-F108,$AJ108-SUM($M108:O108)))</f>
        <v/>
      </c>
      <c r="Q108">
        <f>MAX(0,MIN(ROUND(AA107*(1+G$5),0)-G108,$AJ108-SUM($M108:P108)))</f>
        <v/>
      </c>
      <c r="R108">
        <f>MAX(0,MIN(ROUND(AB107*(1+H$5),0)-H108,$AJ108-SUM($M108:Q108)))</f>
        <v/>
      </c>
      <c r="S108">
        <f>MAX(0,MIN(ROUND(AC107*(1+I$5),0)-I108,$AJ108-SUM($M108:R108)))</f>
        <v/>
      </c>
      <c r="T108">
        <f>MAX(0,MIN(ROUND(AD107*(1+J$5),0)-J108,$AJ108-SUM($M108:S108)))</f>
        <v/>
      </c>
      <c r="U108">
        <f>MAX(0,MIN(ROUND(AE107*(1+K$5),0)-K108,$AJ108-SUM($M108:T108)))</f>
        <v/>
      </c>
      <c r="V108">
        <f>MAX(0,MIN(ROUND(AF107*(1+L$5),0)-L108,$AJ108-SUM($M108:U108)))</f>
        <v/>
      </c>
      <c r="W108">
        <f>MAX(0,ROUND(W107*(1+C$5),0)-C108-M108)</f>
        <v/>
      </c>
      <c r="X108">
        <f>MAX(0,ROUND(X107*(1+D$5),0)-D108-N108)</f>
        <v/>
      </c>
      <c r="Y108">
        <f>MAX(0,ROUND(Y107*(1+E$5),0)-E108-O108)</f>
        <v/>
      </c>
      <c r="Z108">
        <f>MAX(0,ROUND(Z107*(1+F$5),0)-F108-P108)</f>
        <v/>
      </c>
      <c r="AA108">
        <f>MAX(0,ROUND(AA107*(1+G$5),0)-G108-Q108)</f>
        <v/>
      </c>
      <c r="AB108">
        <f>MAX(0,ROUND(AB107*(1+H$5),0)-H108-R108)</f>
        <v/>
      </c>
      <c r="AC108">
        <f>MAX(0,ROUND(AC107*(1+I$5),0)-I108-S108)</f>
        <v/>
      </c>
      <c r="AD108">
        <f>MAX(0,ROUND(AD107*(1+J$5),0)-J108-T108)</f>
        <v/>
      </c>
      <c r="AE108">
        <f>MAX(0,ROUND(AE107*(1+K$5),0)-K108-U108)</f>
        <v/>
      </c>
      <c r="AF108">
        <f>MAX(0,ROUND(AF107*(1+L$5),0)-L108-V108)</f>
        <v/>
      </c>
      <c r="AG108">
        <f>AH108-(AI107-AI108)</f>
        <v/>
      </c>
      <c r="AH108">
        <f>SUM(C108:V108)</f>
        <v/>
      </c>
      <c r="AI108">
        <f>SUM(W108:AF108)</f>
        <v/>
      </c>
      <c r="AJ108">
        <f>MAX(0,PresTot-SUM(C108:L108))</f>
        <v/>
      </c>
      <c r="AK108">
        <f>IF(AI107&lt;=0,0,11-SUMPRODUCT(MAX((W107:AF107&gt;0)*(11-(COLUMN(W107:AF107)-COLUMN($V107))))))</f>
        <v/>
      </c>
    </row>
    <row r="109">
      <c r="A109" t="n">
        <v>99</v>
      </c>
      <c r="B109">
        <f>DATE(YEAR(InicioEf),MONTH(InicioEf)+A109-1,1)</f>
        <v/>
      </c>
      <c r="C109">
        <f>MIN(C$6,ROUND(W108*(1+C$5),0))</f>
        <v/>
      </c>
      <c r="D109">
        <f>MIN(D$6,ROUND(X108*(1+D$5),0))</f>
        <v/>
      </c>
      <c r="E109">
        <f>MIN(E$6,ROUND(Y108*(1+E$5),0))</f>
        <v/>
      </c>
      <c r="F109">
        <f>MIN(F$6,ROUND(Z108*(1+F$5),0))</f>
        <v/>
      </c>
      <c r="G109">
        <f>MIN(G$6,ROUND(AA108*(1+G$5),0))</f>
        <v/>
      </c>
      <c r="H109">
        <f>MIN(H$6,ROUND(AB108*(1+H$5),0))</f>
        <v/>
      </c>
      <c r="I109">
        <f>MIN(I$6,ROUND(AC108*(1+I$5),0))</f>
        <v/>
      </c>
      <c r="J109">
        <f>MIN(J$6,ROUND(AD108*(1+J$5),0))</f>
        <v/>
      </c>
      <c r="K109">
        <f>MIN(K$6,ROUND(AE108*(1+K$5),0))</f>
        <v/>
      </c>
      <c r="L109">
        <f>MIN(L$6,ROUND(AF108*(1+L$5),0))</f>
        <v/>
      </c>
      <c r="M109">
        <f>MAX(0,MIN(ROUND(W108*(1+C$5),0)-C109,$AJ109-0))</f>
        <v/>
      </c>
      <c r="N109">
        <f>MAX(0,MIN(ROUND(X108*(1+D$5),0)-D109,$AJ109-SUM($M109:M109)))</f>
        <v/>
      </c>
      <c r="O109">
        <f>MAX(0,MIN(ROUND(Y108*(1+E$5),0)-E109,$AJ109-SUM($M109:N109)))</f>
        <v/>
      </c>
      <c r="P109">
        <f>MAX(0,MIN(ROUND(Z108*(1+F$5),0)-F109,$AJ109-SUM($M109:O109)))</f>
        <v/>
      </c>
      <c r="Q109">
        <f>MAX(0,MIN(ROUND(AA108*(1+G$5),0)-G109,$AJ109-SUM($M109:P109)))</f>
        <v/>
      </c>
      <c r="R109">
        <f>MAX(0,MIN(ROUND(AB108*(1+H$5),0)-H109,$AJ109-SUM($M109:Q109)))</f>
        <v/>
      </c>
      <c r="S109">
        <f>MAX(0,MIN(ROUND(AC108*(1+I$5),0)-I109,$AJ109-SUM($M109:R109)))</f>
        <v/>
      </c>
      <c r="T109">
        <f>MAX(0,MIN(ROUND(AD108*(1+J$5),0)-J109,$AJ109-SUM($M109:S109)))</f>
        <v/>
      </c>
      <c r="U109">
        <f>MAX(0,MIN(ROUND(AE108*(1+K$5),0)-K109,$AJ109-SUM($M109:T109)))</f>
        <v/>
      </c>
      <c r="V109">
        <f>MAX(0,MIN(ROUND(AF108*(1+L$5),0)-L109,$AJ109-SUM($M109:U109)))</f>
        <v/>
      </c>
      <c r="W109">
        <f>MAX(0,ROUND(W108*(1+C$5),0)-C109-M109)</f>
        <v/>
      </c>
      <c r="X109">
        <f>MAX(0,ROUND(X108*(1+D$5),0)-D109-N109)</f>
        <v/>
      </c>
      <c r="Y109">
        <f>MAX(0,ROUND(Y108*(1+E$5),0)-E109-O109)</f>
        <v/>
      </c>
      <c r="Z109">
        <f>MAX(0,ROUND(Z108*(1+F$5),0)-F109-P109)</f>
        <v/>
      </c>
      <c r="AA109">
        <f>MAX(0,ROUND(AA108*(1+G$5),0)-G109-Q109)</f>
        <v/>
      </c>
      <c r="AB109">
        <f>MAX(0,ROUND(AB108*(1+H$5),0)-H109-R109)</f>
        <v/>
      </c>
      <c r="AC109">
        <f>MAX(0,ROUND(AC108*(1+I$5),0)-I109-S109)</f>
        <v/>
      </c>
      <c r="AD109">
        <f>MAX(0,ROUND(AD108*(1+J$5),0)-J109-T109)</f>
        <v/>
      </c>
      <c r="AE109">
        <f>MAX(0,ROUND(AE108*(1+K$5),0)-K109-U109)</f>
        <v/>
      </c>
      <c r="AF109">
        <f>MAX(0,ROUND(AF108*(1+L$5),0)-L109-V109)</f>
        <v/>
      </c>
      <c r="AG109">
        <f>AH109-(AI108-AI109)</f>
        <v/>
      </c>
      <c r="AH109">
        <f>SUM(C109:V109)</f>
        <v/>
      </c>
      <c r="AI109">
        <f>SUM(W109:AF109)</f>
        <v/>
      </c>
      <c r="AJ109">
        <f>MAX(0,PresTot-SUM(C109:L109))</f>
        <v/>
      </c>
      <c r="AK109">
        <f>IF(AI108&lt;=0,0,11-SUMPRODUCT(MAX((W108:AF108&gt;0)*(11-(COLUMN(W108:AF108)-COLUMN($V108))))))</f>
        <v/>
      </c>
    </row>
    <row r="110">
      <c r="A110" t="n">
        <v>100</v>
      </c>
      <c r="B110">
        <f>DATE(YEAR(InicioEf),MONTH(InicioEf)+A110-1,1)</f>
        <v/>
      </c>
      <c r="C110">
        <f>MIN(C$6,ROUND(W109*(1+C$5),0))</f>
        <v/>
      </c>
      <c r="D110">
        <f>MIN(D$6,ROUND(X109*(1+D$5),0))</f>
        <v/>
      </c>
      <c r="E110">
        <f>MIN(E$6,ROUND(Y109*(1+E$5),0))</f>
        <v/>
      </c>
      <c r="F110">
        <f>MIN(F$6,ROUND(Z109*(1+F$5),0))</f>
        <v/>
      </c>
      <c r="G110">
        <f>MIN(G$6,ROUND(AA109*(1+G$5),0))</f>
        <v/>
      </c>
      <c r="H110">
        <f>MIN(H$6,ROUND(AB109*(1+H$5),0))</f>
        <v/>
      </c>
      <c r="I110">
        <f>MIN(I$6,ROUND(AC109*(1+I$5),0))</f>
        <v/>
      </c>
      <c r="J110">
        <f>MIN(J$6,ROUND(AD109*(1+J$5),0))</f>
        <v/>
      </c>
      <c r="K110">
        <f>MIN(K$6,ROUND(AE109*(1+K$5),0))</f>
        <v/>
      </c>
      <c r="L110">
        <f>MIN(L$6,ROUND(AF109*(1+L$5),0))</f>
        <v/>
      </c>
      <c r="M110">
        <f>MAX(0,MIN(ROUND(W109*(1+C$5),0)-C110,$AJ110-0))</f>
        <v/>
      </c>
      <c r="N110">
        <f>MAX(0,MIN(ROUND(X109*(1+D$5),0)-D110,$AJ110-SUM($M110:M110)))</f>
        <v/>
      </c>
      <c r="O110">
        <f>MAX(0,MIN(ROUND(Y109*(1+E$5),0)-E110,$AJ110-SUM($M110:N110)))</f>
        <v/>
      </c>
      <c r="P110">
        <f>MAX(0,MIN(ROUND(Z109*(1+F$5),0)-F110,$AJ110-SUM($M110:O110)))</f>
        <v/>
      </c>
      <c r="Q110">
        <f>MAX(0,MIN(ROUND(AA109*(1+G$5),0)-G110,$AJ110-SUM($M110:P110)))</f>
        <v/>
      </c>
      <c r="R110">
        <f>MAX(0,MIN(ROUND(AB109*(1+H$5),0)-H110,$AJ110-SUM($M110:Q110)))</f>
        <v/>
      </c>
      <c r="S110">
        <f>MAX(0,MIN(ROUND(AC109*(1+I$5),0)-I110,$AJ110-SUM($M110:R110)))</f>
        <v/>
      </c>
      <c r="T110">
        <f>MAX(0,MIN(ROUND(AD109*(1+J$5),0)-J110,$AJ110-SUM($M110:S110)))</f>
        <v/>
      </c>
      <c r="U110">
        <f>MAX(0,MIN(ROUND(AE109*(1+K$5),0)-K110,$AJ110-SUM($M110:T110)))</f>
        <v/>
      </c>
      <c r="V110">
        <f>MAX(0,MIN(ROUND(AF109*(1+L$5),0)-L110,$AJ110-SUM($M110:U110)))</f>
        <v/>
      </c>
      <c r="W110">
        <f>MAX(0,ROUND(W109*(1+C$5),0)-C110-M110)</f>
        <v/>
      </c>
      <c r="X110">
        <f>MAX(0,ROUND(X109*(1+D$5),0)-D110-N110)</f>
        <v/>
      </c>
      <c r="Y110">
        <f>MAX(0,ROUND(Y109*(1+E$5),0)-E110-O110)</f>
        <v/>
      </c>
      <c r="Z110">
        <f>MAX(0,ROUND(Z109*(1+F$5),0)-F110-P110)</f>
        <v/>
      </c>
      <c r="AA110">
        <f>MAX(0,ROUND(AA109*(1+G$5),0)-G110-Q110)</f>
        <v/>
      </c>
      <c r="AB110">
        <f>MAX(0,ROUND(AB109*(1+H$5),0)-H110-R110)</f>
        <v/>
      </c>
      <c r="AC110">
        <f>MAX(0,ROUND(AC109*(1+I$5),0)-I110-S110)</f>
        <v/>
      </c>
      <c r="AD110">
        <f>MAX(0,ROUND(AD109*(1+J$5),0)-J110-T110)</f>
        <v/>
      </c>
      <c r="AE110">
        <f>MAX(0,ROUND(AE109*(1+K$5),0)-K110-U110)</f>
        <v/>
      </c>
      <c r="AF110">
        <f>MAX(0,ROUND(AF109*(1+L$5),0)-L110-V110)</f>
        <v/>
      </c>
      <c r="AG110">
        <f>AH110-(AI109-AI110)</f>
        <v/>
      </c>
      <c r="AH110">
        <f>SUM(C110:V110)</f>
        <v/>
      </c>
      <c r="AI110">
        <f>SUM(W110:AF110)</f>
        <v/>
      </c>
      <c r="AJ110">
        <f>MAX(0,PresTot-SUM(C110:L110))</f>
        <v/>
      </c>
      <c r="AK110">
        <f>IF(AI109&lt;=0,0,11-SUMPRODUCT(MAX((W109:AF109&gt;0)*(11-(COLUMN(W109:AF109)-COLUMN($V109))))))</f>
        <v/>
      </c>
    </row>
    <row r="111">
      <c r="A111" t="n">
        <v>101</v>
      </c>
      <c r="B111">
        <f>DATE(YEAR(InicioEf),MONTH(InicioEf)+A111-1,1)</f>
        <v/>
      </c>
      <c r="C111">
        <f>MIN(C$6,ROUND(W110*(1+C$5),0))</f>
        <v/>
      </c>
      <c r="D111">
        <f>MIN(D$6,ROUND(X110*(1+D$5),0))</f>
        <v/>
      </c>
      <c r="E111">
        <f>MIN(E$6,ROUND(Y110*(1+E$5),0))</f>
        <v/>
      </c>
      <c r="F111">
        <f>MIN(F$6,ROUND(Z110*(1+F$5),0))</f>
        <v/>
      </c>
      <c r="G111">
        <f>MIN(G$6,ROUND(AA110*(1+G$5),0))</f>
        <v/>
      </c>
      <c r="H111">
        <f>MIN(H$6,ROUND(AB110*(1+H$5),0))</f>
        <v/>
      </c>
      <c r="I111">
        <f>MIN(I$6,ROUND(AC110*(1+I$5),0))</f>
        <v/>
      </c>
      <c r="J111">
        <f>MIN(J$6,ROUND(AD110*(1+J$5),0))</f>
        <v/>
      </c>
      <c r="K111">
        <f>MIN(K$6,ROUND(AE110*(1+K$5),0))</f>
        <v/>
      </c>
      <c r="L111">
        <f>MIN(L$6,ROUND(AF110*(1+L$5),0))</f>
        <v/>
      </c>
      <c r="M111">
        <f>MAX(0,MIN(ROUND(W110*(1+C$5),0)-C111,$AJ111-0))</f>
        <v/>
      </c>
      <c r="N111">
        <f>MAX(0,MIN(ROUND(X110*(1+D$5),0)-D111,$AJ111-SUM($M111:M111)))</f>
        <v/>
      </c>
      <c r="O111">
        <f>MAX(0,MIN(ROUND(Y110*(1+E$5),0)-E111,$AJ111-SUM($M111:N111)))</f>
        <v/>
      </c>
      <c r="P111">
        <f>MAX(0,MIN(ROUND(Z110*(1+F$5),0)-F111,$AJ111-SUM($M111:O111)))</f>
        <v/>
      </c>
      <c r="Q111">
        <f>MAX(0,MIN(ROUND(AA110*(1+G$5),0)-G111,$AJ111-SUM($M111:P111)))</f>
        <v/>
      </c>
      <c r="R111">
        <f>MAX(0,MIN(ROUND(AB110*(1+H$5),0)-H111,$AJ111-SUM($M111:Q111)))</f>
        <v/>
      </c>
      <c r="S111">
        <f>MAX(0,MIN(ROUND(AC110*(1+I$5),0)-I111,$AJ111-SUM($M111:R111)))</f>
        <v/>
      </c>
      <c r="T111">
        <f>MAX(0,MIN(ROUND(AD110*(1+J$5),0)-J111,$AJ111-SUM($M111:S111)))</f>
        <v/>
      </c>
      <c r="U111">
        <f>MAX(0,MIN(ROUND(AE110*(1+K$5),0)-K111,$AJ111-SUM($M111:T111)))</f>
        <v/>
      </c>
      <c r="V111">
        <f>MAX(0,MIN(ROUND(AF110*(1+L$5),0)-L111,$AJ111-SUM($M111:U111)))</f>
        <v/>
      </c>
      <c r="W111">
        <f>MAX(0,ROUND(W110*(1+C$5),0)-C111-M111)</f>
        <v/>
      </c>
      <c r="X111">
        <f>MAX(0,ROUND(X110*(1+D$5),0)-D111-N111)</f>
        <v/>
      </c>
      <c r="Y111">
        <f>MAX(0,ROUND(Y110*(1+E$5),0)-E111-O111)</f>
        <v/>
      </c>
      <c r="Z111">
        <f>MAX(0,ROUND(Z110*(1+F$5),0)-F111-P111)</f>
        <v/>
      </c>
      <c r="AA111">
        <f>MAX(0,ROUND(AA110*(1+G$5),0)-G111-Q111)</f>
        <v/>
      </c>
      <c r="AB111">
        <f>MAX(0,ROUND(AB110*(1+H$5),0)-H111-R111)</f>
        <v/>
      </c>
      <c r="AC111">
        <f>MAX(0,ROUND(AC110*(1+I$5),0)-I111-S111)</f>
        <v/>
      </c>
      <c r="AD111">
        <f>MAX(0,ROUND(AD110*(1+J$5),0)-J111-T111)</f>
        <v/>
      </c>
      <c r="AE111">
        <f>MAX(0,ROUND(AE110*(1+K$5),0)-K111-U111)</f>
        <v/>
      </c>
      <c r="AF111">
        <f>MAX(0,ROUND(AF110*(1+L$5),0)-L111-V111)</f>
        <v/>
      </c>
      <c r="AG111">
        <f>AH111-(AI110-AI111)</f>
        <v/>
      </c>
      <c r="AH111">
        <f>SUM(C111:V111)</f>
        <v/>
      </c>
      <c r="AI111">
        <f>SUM(W111:AF111)</f>
        <v/>
      </c>
      <c r="AJ111">
        <f>MAX(0,PresTot-SUM(C111:L111))</f>
        <v/>
      </c>
      <c r="AK111">
        <f>IF(AI110&lt;=0,0,11-SUMPRODUCT(MAX((W110:AF110&gt;0)*(11-(COLUMN(W110:AF110)-COLUMN($V110))))))</f>
        <v/>
      </c>
    </row>
    <row r="112">
      <c r="A112" t="n">
        <v>102</v>
      </c>
      <c r="B112">
        <f>DATE(YEAR(InicioEf),MONTH(InicioEf)+A112-1,1)</f>
        <v/>
      </c>
      <c r="C112">
        <f>MIN(C$6,ROUND(W111*(1+C$5),0))</f>
        <v/>
      </c>
      <c r="D112">
        <f>MIN(D$6,ROUND(X111*(1+D$5),0))</f>
        <v/>
      </c>
      <c r="E112">
        <f>MIN(E$6,ROUND(Y111*(1+E$5),0))</f>
        <v/>
      </c>
      <c r="F112">
        <f>MIN(F$6,ROUND(Z111*(1+F$5),0))</f>
        <v/>
      </c>
      <c r="G112">
        <f>MIN(G$6,ROUND(AA111*(1+G$5),0))</f>
        <v/>
      </c>
      <c r="H112">
        <f>MIN(H$6,ROUND(AB111*(1+H$5),0))</f>
        <v/>
      </c>
      <c r="I112">
        <f>MIN(I$6,ROUND(AC111*(1+I$5),0))</f>
        <v/>
      </c>
      <c r="J112">
        <f>MIN(J$6,ROUND(AD111*(1+J$5),0))</f>
        <v/>
      </c>
      <c r="K112">
        <f>MIN(K$6,ROUND(AE111*(1+K$5),0))</f>
        <v/>
      </c>
      <c r="L112">
        <f>MIN(L$6,ROUND(AF111*(1+L$5),0))</f>
        <v/>
      </c>
      <c r="M112">
        <f>MAX(0,MIN(ROUND(W111*(1+C$5),0)-C112,$AJ112-0))</f>
        <v/>
      </c>
      <c r="N112">
        <f>MAX(0,MIN(ROUND(X111*(1+D$5),0)-D112,$AJ112-SUM($M112:M112)))</f>
        <v/>
      </c>
      <c r="O112">
        <f>MAX(0,MIN(ROUND(Y111*(1+E$5),0)-E112,$AJ112-SUM($M112:N112)))</f>
        <v/>
      </c>
      <c r="P112">
        <f>MAX(0,MIN(ROUND(Z111*(1+F$5),0)-F112,$AJ112-SUM($M112:O112)))</f>
        <v/>
      </c>
      <c r="Q112">
        <f>MAX(0,MIN(ROUND(AA111*(1+G$5),0)-G112,$AJ112-SUM($M112:P112)))</f>
        <v/>
      </c>
      <c r="R112">
        <f>MAX(0,MIN(ROUND(AB111*(1+H$5),0)-H112,$AJ112-SUM($M112:Q112)))</f>
        <v/>
      </c>
      <c r="S112">
        <f>MAX(0,MIN(ROUND(AC111*(1+I$5),0)-I112,$AJ112-SUM($M112:R112)))</f>
        <v/>
      </c>
      <c r="T112">
        <f>MAX(0,MIN(ROUND(AD111*(1+J$5),0)-J112,$AJ112-SUM($M112:S112)))</f>
        <v/>
      </c>
      <c r="U112">
        <f>MAX(0,MIN(ROUND(AE111*(1+K$5),0)-K112,$AJ112-SUM($M112:T112)))</f>
        <v/>
      </c>
      <c r="V112">
        <f>MAX(0,MIN(ROUND(AF111*(1+L$5),0)-L112,$AJ112-SUM($M112:U112)))</f>
        <v/>
      </c>
      <c r="W112">
        <f>MAX(0,ROUND(W111*(1+C$5),0)-C112-M112)</f>
        <v/>
      </c>
      <c r="X112">
        <f>MAX(0,ROUND(X111*(1+D$5),0)-D112-N112)</f>
        <v/>
      </c>
      <c r="Y112">
        <f>MAX(0,ROUND(Y111*(1+E$5),0)-E112-O112)</f>
        <v/>
      </c>
      <c r="Z112">
        <f>MAX(0,ROUND(Z111*(1+F$5),0)-F112-P112)</f>
        <v/>
      </c>
      <c r="AA112">
        <f>MAX(0,ROUND(AA111*(1+G$5),0)-G112-Q112)</f>
        <v/>
      </c>
      <c r="AB112">
        <f>MAX(0,ROUND(AB111*(1+H$5),0)-H112-R112)</f>
        <v/>
      </c>
      <c r="AC112">
        <f>MAX(0,ROUND(AC111*(1+I$5),0)-I112-S112)</f>
        <v/>
      </c>
      <c r="AD112">
        <f>MAX(0,ROUND(AD111*(1+J$5),0)-J112-T112)</f>
        <v/>
      </c>
      <c r="AE112">
        <f>MAX(0,ROUND(AE111*(1+K$5),0)-K112-U112)</f>
        <v/>
      </c>
      <c r="AF112">
        <f>MAX(0,ROUND(AF111*(1+L$5),0)-L112-V112)</f>
        <v/>
      </c>
      <c r="AG112">
        <f>AH112-(AI111-AI112)</f>
        <v/>
      </c>
      <c r="AH112">
        <f>SUM(C112:V112)</f>
        <v/>
      </c>
      <c r="AI112">
        <f>SUM(W112:AF112)</f>
        <v/>
      </c>
      <c r="AJ112">
        <f>MAX(0,PresTot-SUM(C112:L112))</f>
        <v/>
      </c>
      <c r="AK112">
        <f>IF(AI111&lt;=0,0,11-SUMPRODUCT(MAX((W111:AF111&gt;0)*(11-(COLUMN(W111:AF111)-COLUMN($V111))))))</f>
        <v/>
      </c>
    </row>
    <row r="113">
      <c r="A113" t="n">
        <v>103</v>
      </c>
      <c r="B113">
        <f>DATE(YEAR(InicioEf),MONTH(InicioEf)+A113-1,1)</f>
        <v/>
      </c>
      <c r="C113">
        <f>MIN(C$6,ROUND(W112*(1+C$5),0))</f>
        <v/>
      </c>
      <c r="D113">
        <f>MIN(D$6,ROUND(X112*(1+D$5),0))</f>
        <v/>
      </c>
      <c r="E113">
        <f>MIN(E$6,ROUND(Y112*(1+E$5),0))</f>
        <v/>
      </c>
      <c r="F113">
        <f>MIN(F$6,ROUND(Z112*(1+F$5),0))</f>
        <v/>
      </c>
      <c r="G113">
        <f>MIN(G$6,ROUND(AA112*(1+G$5),0))</f>
        <v/>
      </c>
      <c r="H113">
        <f>MIN(H$6,ROUND(AB112*(1+H$5),0))</f>
        <v/>
      </c>
      <c r="I113">
        <f>MIN(I$6,ROUND(AC112*(1+I$5),0))</f>
        <v/>
      </c>
      <c r="J113">
        <f>MIN(J$6,ROUND(AD112*(1+J$5),0))</f>
        <v/>
      </c>
      <c r="K113">
        <f>MIN(K$6,ROUND(AE112*(1+K$5),0))</f>
        <v/>
      </c>
      <c r="L113">
        <f>MIN(L$6,ROUND(AF112*(1+L$5),0))</f>
        <v/>
      </c>
      <c r="M113">
        <f>MAX(0,MIN(ROUND(W112*(1+C$5),0)-C113,$AJ113-0))</f>
        <v/>
      </c>
      <c r="N113">
        <f>MAX(0,MIN(ROUND(X112*(1+D$5),0)-D113,$AJ113-SUM($M113:M113)))</f>
        <v/>
      </c>
      <c r="O113">
        <f>MAX(0,MIN(ROUND(Y112*(1+E$5),0)-E113,$AJ113-SUM($M113:N113)))</f>
        <v/>
      </c>
      <c r="P113">
        <f>MAX(0,MIN(ROUND(Z112*(1+F$5),0)-F113,$AJ113-SUM($M113:O113)))</f>
        <v/>
      </c>
      <c r="Q113">
        <f>MAX(0,MIN(ROUND(AA112*(1+G$5),0)-G113,$AJ113-SUM($M113:P113)))</f>
        <v/>
      </c>
      <c r="R113">
        <f>MAX(0,MIN(ROUND(AB112*(1+H$5),0)-H113,$AJ113-SUM($M113:Q113)))</f>
        <v/>
      </c>
      <c r="S113">
        <f>MAX(0,MIN(ROUND(AC112*(1+I$5),0)-I113,$AJ113-SUM($M113:R113)))</f>
        <v/>
      </c>
      <c r="T113">
        <f>MAX(0,MIN(ROUND(AD112*(1+J$5),0)-J113,$AJ113-SUM($M113:S113)))</f>
        <v/>
      </c>
      <c r="U113">
        <f>MAX(0,MIN(ROUND(AE112*(1+K$5),0)-K113,$AJ113-SUM($M113:T113)))</f>
        <v/>
      </c>
      <c r="V113">
        <f>MAX(0,MIN(ROUND(AF112*(1+L$5),0)-L113,$AJ113-SUM($M113:U113)))</f>
        <v/>
      </c>
      <c r="W113">
        <f>MAX(0,ROUND(W112*(1+C$5),0)-C113-M113)</f>
        <v/>
      </c>
      <c r="X113">
        <f>MAX(0,ROUND(X112*(1+D$5),0)-D113-N113)</f>
        <v/>
      </c>
      <c r="Y113">
        <f>MAX(0,ROUND(Y112*(1+E$5),0)-E113-O113)</f>
        <v/>
      </c>
      <c r="Z113">
        <f>MAX(0,ROUND(Z112*(1+F$5),0)-F113-P113)</f>
        <v/>
      </c>
      <c r="AA113">
        <f>MAX(0,ROUND(AA112*(1+G$5),0)-G113-Q113)</f>
        <v/>
      </c>
      <c r="AB113">
        <f>MAX(0,ROUND(AB112*(1+H$5),0)-H113-R113)</f>
        <v/>
      </c>
      <c r="AC113">
        <f>MAX(0,ROUND(AC112*(1+I$5),0)-I113-S113)</f>
        <v/>
      </c>
      <c r="AD113">
        <f>MAX(0,ROUND(AD112*(1+J$5),0)-J113-T113)</f>
        <v/>
      </c>
      <c r="AE113">
        <f>MAX(0,ROUND(AE112*(1+K$5),0)-K113-U113)</f>
        <v/>
      </c>
      <c r="AF113">
        <f>MAX(0,ROUND(AF112*(1+L$5),0)-L113-V113)</f>
        <v/>
      </c>
      <c r="AG113">
        <f>AH113-(AI112-AI113)</f>
        <v/>
      </c>
      <c r="AH113">
        <f>SUM(C113:V113)</f>
        <v/>
      </c>
      <c r="AI113">
        <f>SUM(W113:AF113)</f>
        <v/>
      </c>
      <c r="AJ113">
        <f>MAX(0,PresTot-SUM(C113:L113))</f>
        <v/>
      </c>
      <c r="AK113">
        <f>IF(AI112&lt;=0,0,11-SUMPRODUCT(MAX((W112:AF112&gt;0)*(11-(COLUMN(W112:AF112)-COLUMN($V112))))))</f>
        <v/>
      </c>
    </row>
    <row r="114">
      <c r="A114" t="n">
        <v>104</v>
      </c>
      <c r="B114">
        <f>DATE(YEAR(InicioEf),MONTH(InicioEf)+A114-1,1)</f>
        <v/>
      </c>
      <c r="C114">
        <f>MIN(C$6,ROUND(W113*(1+C$5),0))</f>
        <v/>
      </c>
      <c r="D114">
        <f>MIN(D$6,ROUND(X113*(1+D$5),0))</f>
        <v/>
      </c>
      <c r="E114">
        <f>MIN(E$6,ROUND(Y113*(1+E$5),0))</f>
        <v/>
      </c>
      <c r="F114">
        <f>MIN(F$6,ROUND(Z113*(1+F$5),0))</f>
        <v/>
      </c>
      <c r="G114">
        <f>MIN(G$6,ROUND(AA113*(1+G$5),0))</f>
        <v/>
      </c>
      <c r="H114">
        <f>MIN(H$6,ROUND(AB113*(1+H$5),0))</f>
        <v/>
      </c>
      <c r="I114">
        <f>MIN(I$6,ROUND(AC113*(1+I$5),0))</f>
        <v/>
      </c>
      <c r="J114">
        <f>MIN(J$6,ROUND(AD113*(1+J$5),0))</f>
        <v/>
      </c>
      <c r="K114">
        <f>MIN(K$6,ROUND(AE113*(1+K$5),0))</f>
        <v/>
      </c>
      <c r="L114">
        <f>MIN(L$6,ROUND(AF113*(1+L$5),0))</f>
        <v/>
      </c>
      <c r="M114">
        <f>MAX(0,MIN(ROUND(W113*(1+C$5),0)-C114,$AJ114-0))</f>
        <v/>
      </c>
      <c r="N114">
        <f>MAX(0,MIN(ROUND(X113*(1+D$5),0)-D114,$AJ114-SUM($M114:M114)))</f>
        <v/>
      </c>
      <c r="O114">
        <f>MAX(0,MIN(ROUND(Y113*(1+E$5),0)-E114,$AJ114-SUM($M114:N114)))</f>
        <v/>
      </c>
      <c r="P114">
        <f>MAX(0,MIN(ROUND(Z113*(1+F$5),0)-F114,$AJ114-SUM($M114:O114)))</f>
        <v/>
      </c>
      <c r="Q114">
        <f>MAX(0,MIN(ROUND(AA113*(1+G$5),0)-G114,$AJ114-SUM($M114:P114)))</f>
        <v/>
      </c>
      <c r="R114">
        <f>MAX(0,MIN(ROUND(AB113*(1+H$5),0)-H114,$AJ114-SUM($M114:Q114)))</f>
        <v/>
      </c>
      <c r="S114">
        <f>MAX(0,MIN(ROUND(AC113*(1+I$5),0)-I114,$AJ114-SUM($M114:R114)))</f>
        <v/>
      </c>
      <c r="T114">
        <f>MAX(0,MIN(ROUND(AD113*(1+J$5),0)-J114,$AJ114-SUM($M114:S114)))</f>
        <v/>
      </c>
      <c r="U114">
        <f>MAX(0,MIN(ROUND(AE113*(1+K$5),0)-K114,$AJ114-SUM($M114:T114)))</f>
        <v/>
      </c>
      <c r="V114">
        <f>MAX(0,MIN(ROUND(AF113*(1+L$5),0)-L114,$AJ114-SUM($M114:U114)))</f>
        <v/>
      </c>
      <c r="W114">
        <f>MAX(0,ROUND(W113*(1+C$5),0)-C114-M114)</f>
        <v/>
      </c>
      <c r="X114">
        <f>MAX(0,ROUND(X113*(1+D$5),0)-D114-N114)</f>
        <v/>
      </c>
      <c r="Y114">
        <f>MAX(0,ROUND(Y113*(1+E$5),0)-E114-O114)</f>
        <v/>
      </c>
      <c r="Z114">
        <f>MAX(0,ROUND(Z113*(1+F$5),0)-F114-P114)</f>
        <v/>
      </c>
      <c r="AA114">
        <f>MAX(0,ROUND(AA113*(1+G$5),0)-G114-Q114)</f>
        <v/>
      </c>
      <c r="AB114">
        <f>MAX(0,ROUND(AB113*(1+H$5),0)-H114-R114)</f>
        <v/>
      </c>
      <c r="AC114">
        <f>MAX(0,ROUND(AC113*(1+I$5),0)-I114-S114)</f>
        <v/>
      </c>
      <c r="AD114">
        <f>MAX(0,ROUND(AD113*(1+J$5),0)-J114-T114)</f>
        <v/>
      </c>
      <c r="AE114">
        <f>MAX(0,ROUND(AE113*(1+K$5),0)-K114-U114)</f>
        <v/>
      </c>
      <c r="AF114">
        <f>MAX(0,ROUND(AF113*(1+L$5),0)-L114-V114)</f>
        <v/>
      </c>
      <c r="AG114">
        <f>AH114-(AI113-AI114)</f>
        <v/>
      </c>
      <c r="AH114">
        <f>SUM(C114:V114)</f>
        <v/>
      </c>
      <c r="AI114">
        <f>SUM(W114:AF114)</f>
        <v/>
      </c>
      <c r="AJ114">
        <f>MAX(0,PresTot-SUM(C114:L114))</f>
        <v/>
      </c>
      <c r="AK114">
        <f>IF(AI113&lt;=0,0,11-SUMPRODUCT(MAX((W113:AF113&gt;0)*(11-(COLUMN(W113:AF113)-COLUMN($V113))))))</f>
        <v/>
      </c>
    </row>
    <row r="115">
      <c r="A115" t="n">
        <v>105</v>
      </c>
      <c r="B115">
        <f>DATE(YEAR(InicioEf),MONTH(InicioEf)+A115-1,1)</f>
        <v/>
      </c>
      <c r="C115">
        <f>MIN(C$6,ROUND(W114*(1+C$5),0))</f>
        <v/>
      </c>
      <c r="D115">
        <f>MIN(D$6,ROUND(X114*(1+D$5),0))</f>
        <v/>
      </c>
      <c r="E115">
        <f>MIN(E$6,ROUND(Y114*(1+E$5),0))</f>
        <v/>
      </c>
      <c r="F115">
        <f>MIN(F$6,ROUND(Z114*(1+F$5),0))</f>
        <v/>
      </c>
      <c r="G115">
        <f>MIN(G$6,ROUND(AA114*(1+G$5),0))</f>
        <v/>
      </c>
      <c r="H115">
        <f>MIN(H$6,ROUND(AB114*(1+H$5),0))</f>
        <v/>
      </c>
      <c r="I115">
        <f>MIN(I$6,ROUND(AC114*(1+I$5),0))</f>
        <v/>
      </c>
      <c r="J115">
        <f>MIN(J$6,ROUND(AD114*(1+J$5),0))</f>
        <v/>
      </c>
      <c r="K115">
        <f>MIN(K$6,ROUND(AE114*(1+K$5),0))</f>
        <v/>
      </c>
      <c r="L115">
        <f>MIN(L$6,ROUND(AF114*(1+L$5),0))</f>
        <v/>
      </c>
      <c r="M115">
        <f>MAX(0,MIN(ROUND(W114*(1+C$5),0)-C115,$AJ115-0))</f>
        <v/>
      </c>
      <c r="N115">
        <f>MAX(0,MIN(ROUND(X114*(1+D$5),0)-D115,$AJ115-SUM($M115:M115)))</f>
        <v/>
      </c>
      <c r="O115">
        <f>MAX(0,MIN(ROUND(Y114*(1+E$5),0)-E115,$AJ115-SUM($M115:N115)))</f>
        <v/>
      </c>
      <c r="P115">
        <f>MAX(0,MIN(ROUND(Z114*(1+F$5),0)-F115,$AJ115-SUM($M115:O115)))</f>
        <v/>
      </c>
      <c r="Q115">
        <f>MAX(0,MIN(ROUND(AA114*(1+G$5),0)-G115,$AJ115-SUM($M115:P115)))</f>
        <v/>
      </c>
      <c r="R115">
        <f>MAX(0,MIN(ROUND(AB114*(1+H$5),0)-H115,$AJ115-SUM($M115:Q115)))</f>
        <v/>
      </c>
      <c r="S115">
        <f>MAX(0,MIN(ROUND(AC114*(1+I$5),0)-I115,$AJ115-SUM($M115:R115)))</f>
        <v/>
      </c>
      <c r="T115">
        <f>MAX(0,MIN(ROUND(AD114*(1+J$5),0)-J115,$AJ115-SUM($M115:S115)))</f>
        <v/>
      </c>
      <c r="U115">
        <f>MAX(0,MIN(ROUND(AE114*(1+K$5),0)-K115,$AJ115-SUM($M115:T115)))</f>
        <v/>
      </c>
      <c r="V115">
        <f>MAX(0,MIN(ROUND(AF114*(1+L$5),0)-L115,$AJ115-SUM($M115:U115)))</f>
        <v/>
      </c>
      <c r="W115">
        <f>MAX(0,ROUND(W114*(1+C$5),0)-C115-M115)</f>
        <v/>
      </c>
      <c r="X115">
        <f>MAX(0,ROUND(X114*(1+D$5),0)-D115-N115)</f>
        <v/>
      </c>
      <c r="Y115">
        <f>MAX(0,ROUND(Y114*(1+E$5),0)-E115-O115)</f>
        <v/>
      </c>
      <c r="Z115">
        <f>MAX(0,ROUND(Z114*(1+F$5),0)-F115-P115)</f>
        <v/>
      </c>
      <c r="AA115">
        <f>MAX(0,ROUND(AA114*(1+G$5),0)-G115-Q115)</f>
        <v/>
      </c>
      <c r="AB115">
        <f>MAX(0,ROUND(AB114*(1+H$5),0)-H115-R115)</f>
        <v/>
      </c>
      <c r="AC115">
        <f>MAX(0,ROUND(AC114*(1+I$5),0)-I115-S115)</f>
        <v/>
      </c>
      <c r="AD115">
        <f>MAX(0,ROUND(AD114*(1+J$5),0)-J115-T115)</f>
        <v/>
      </c>
      <c r="AE115">
        <f>MAX(0,ROUND(AE114*(1+K$5),0)-K115-U115)</f>
        <v/>
      </c>
      <c r="AF115">
        <f>MAX(0,ROUND(AF114*(1+L$5),0)-L115-V115)</f>
        <v/>
      </c>
      <c r="AG115">
        <f>AH115-(AI114-AI115)</f>
        <v/>
      </c>
      <c r="AH115">
        <f>SUM(C115:V115)</f>
        <v/>
      </c>
      <c r="AI115">
        <f>SUM(W115:AF115)</f>
        <v/>
      </c>
      <c r="AJ115">
        <f>MAX(0,PresTot-SUM(C115:L115))</f>
        <v/>
      </c>
      <c r="AK115">
        <f>IF(AI114&lt;=0,0,11-SUMPRODUCT(MAX((W114:AF114&gt;0)*(11-(COLUMN(W114:AF114)-COLUMN($V114))))))</f>
        <v/>
      </c>
    </row>
    <row r="116">
      <c r="A116" t="n">
        <v>106</v>
      </c>
      <c r="B116">
        <f>DATE(YEAR(InicioEf),MONTH(InicioEf)+A116-1,1)</f>
        <v/>
      </c>
      <c r="C116">
        <f>MIN(C$6,ROUND(W115*(1+C$5),0))</f>
        <v/>
      </c>
      <c r="D116">
        <f>MIN(D$6,ROUND(X115*(1+D$5),0))</f>
        <v/>
      </c>
      <c r="E116">
        <f>MIN(E$6,ROUND(Y115*(1+E$5),0))</f>
        <v/>
      </c>
      <c r="F116">
        <f>MIN(F$6,ROUND(Z115*(1+F$5),0))</f>
        <v/>
      </c>
      <c r="G116">
        <f>MIN(G$6,ROUND(AA115*(1+G$5),0))</f>
        <v/>
      </c>
      <c r="H116">
        <f>MIN(H$6,ROUND(AB115*(1+H$5),0))</f>
        <v/>
      </c>
      <c r="I116">
        <f>MIN(I$6,ROUND(AC115*(1+I$5),0))</f>
        <v/>
      </c>
      <c r="J116">
        <f>MIN(J$6,ROUND(AD115*(1+J$5),0))</f>
        <v/>
      </c>
      <c r="K116">
        <f>MIN(K$6,ROUND(AE115*(1+K$5),0))</f>
        <v/>
      </c>
      <c r="L116">
        <f>MIN(L$6,ROUND(AF115*(1+L$5),0))</f>
        <v/>
      </c>
      <c r="M116">
        <f>MAX(0,MIN(ROUND(W115*(1+C$5),0)-C116,$AJ116-0))</f>
        <v/>
      </c>
      <c r="N116">
        <f>MAX(0,MIN(ROUND(X115*(1+D$5),0)-D116,$AJ116-SUM($M116:M116)))</f>
        <v/>
      </c>
      <c r="O116">
        <f>MAX(0,MIN(ROUND(Y115*(1+E$5),0)-E116,$AJ116-SUM($M116:N116)))</f>
        <v/>
      </c>
      <c r="P116">
        <f>MAX(0,MIN(ROUND(Z115*(1+F$5),0)-F116,$AJ116-SUM($M116:O116)))</f>
        <v/>
      </c>
      <c r="Q116">
        <f>MAX(0,MIN(ROUND(AA115*(1+G$5),0)-G116,$AJ116-SUM($M116:P116)))</f>
        <v/>
      </c>
      <c r="R116">
        <f>MAX(0,MIN(ROUND(AB115*(1+H$5),0)-H116,$AJ116-SUM($M116:Q116)))</f>
        <v/>
      </c>
      <c r="S116">
        <f>MAX(0,MIN(ROUND(AC115*(1+I$5),0)-I116,$AJ116-SUM($M116:R116)))</f>
        <v/>
      </c>
      <c r="T116">
        <f>MAX(0,MIN(ROUND(AD115*(1+J$5),0)-J116,$AJ116-SUM($M116:S116)))</f>
        <v/>
      </c>
      <c r="U116">
        <f>MAX(0,MIN(ROUND(AE115*(1+K$5),0)-K116,$AJ116-SUM($M116:T116)))</f>
        <v/>
      </c>
      <c r="V116">
        <f>MAX(0,MIN(ROUND(AF115*(1+L$5),0)-L116,$AJ116-SUM($M116:U116)))</f>
        <v/>
      </c>
      <c r="W116">
        <f>MAX(0,ROUND(W115*(1+C$5),0)-C116-M116)</f>
        <v/>
      </c>
      <c r="X116">
        <f>MAX(0,ROUND(X115*(1+D$5),0)-D116-N116)</f>
        <v/>
      </c>
      <c r="Y116">
        <f>MAX(0,ROUND(Y115*(1+E$5),0)-E116-O116)</f>
        <v/>
      </c>
      <c r="Z116">
        <f>MAX(0,ROUND(Z115*(1+F$5),0)-F116-P116)</f>
        <v/>
      </c>
      <c r="AA116">
        <f>MAX(0,ROUND(AA115*(1+G$5),0)-G116-Q116)</f>
        <v/>
      </c>
      <c r="AB116">
        <f>MAX(0,ROUND(AB115*(1+H$5),0)-H116-R116)</f>
        <v/>
      </c>
      <c r="AC116">
        <f>MAX(0,ROUND(AC115*(1+I$5),0)-I116-S116)</f>
        <v/>
      </c>
      <c r="AD116">
        <f>MAX(0,ROUND(AD115*(1+J$5),0)-J116-T116)</f>
        <v/>
      </c>
      <c r="AE116">
        <f>MAX(0,ROUND(AE115*(1+K$5),0)-K116-U116)</f>
        <v/>
      </c>
      <c r="AF116">
        <f>MAX(0,ROUND(AF115*(1+L$5),0)-L116-V116)</f>
        <v/>
      </c>
      <c r="AG116">
        <f>AH116-(AI115-AI116)</f>
        <v/>
      </c>
      <c r="AH116">
        <f>SUM(C116:V116)</f>
        <v/>
      </c>
      <c r="AI116">
        <f>SUM(W116:AF116)</f>
        <v/>
      </c>
      <c r="AJ116">
        <f>MAX(0,PresTot-SUM(C116:L116))</f>
        <v/>
      </c>
      <c r="AK116">
        <f>IF(AI115&lt;=0,0,11-SUMPRODUCT(MAX((W115:AF115&gt;0)*(11-(COLUMN(W115:AF115)-COLUMN($V115))))))</f>
        <v/>
      </c>
    </row>
    <row r="117">
      <c r="A117" t="n">
        <v>107</v>
      </c>
      <c r="B117">
        <f>DATE(YEAR(InicioEf),MONTH(InicioEf)+A117-1,1)</f>
        <v/>
      </c>
      <c r="C117">
        <f>MIN(C$6,ROUND(W116*(1+C$5),0))</f>
        <v/>
      </c>
      <c r="D117">
        <f>MIN(D$6,ROUND(X116*(1+D$5),0))</f>
        <v/>
      </c>
      <c r="E117">
        <f>MIN(E$6,ROUND(Y116*(1+E$5),0))</f>
        <v/>
      </c>
      <c r="F117">
        <f>MIN(F$6,ROUND(Z116*(1+F$5),0))</f>
        <v/>
      </c>
      <c r="G117">
        <f>MIN(G$6,ROUND(AA116*(1+G$5),0))</f>
        <v/>
      </c>
      <c r="H117">
        <f>MIN(H$6,ROUND(AB116*(1+H$5),0))</f>
        <v/>
      </c>
      <c r="I117">
        <f>MIN(I$6,ROUND(AC116*(1+I$5),0))</f>
        <v/>
      </c>
      <c r="J117">
        <f>MIN(J$6,ROUND(AD116*(1+J$5),0))</f>
        <v/>
      </c>
      <c r="K117">
        <f>MIN(K$6,ROUND(AE116*(1+K$5),0))</f>
        <v/>
      </c>
      <c r="L117">
        <f>MIN(L$6,ROUND(AF116*(1+L$5),0))</f>
        <v/>
      </c>
      <c r="M117">
        <f>MAX(0,MIN(ROUND(W116*(1+C$5),0)-C117,$AJ117-0))</f>
        <v/>
      </c>
      <c r="N117">
        <f>MAX(0,MIN(ROUND(X116*(1+D$5),0)-D117,$AJ117-SUM($M117:M117)))</f>
        <v/>
      </c>
      <c r="O117">
        <f>MAX(0,MIN(ROUND(Y116*(1+E$5),0)-E117,$AJ117-SUM($M117:N117)))</f>
        <v/>
      </c>
      <c r="P117">
        <f>MAX(0,MIN(ROUND(Z116*(1+F$5),0)-F117,$AJ117-SUM($M117:O117)))</f>
        <v/>
      </c>
      <c r="Q117">
        <f>MAX(0,MIN(ROUND(AA116*(1+G$5),0)-G117,$AJ117-SUM($M117:P117)))</f>
        <v/>
      </c>
      <c r="R117">
        <f>MAX(0,MIN(ROUND(AB116*(1+H$5),0)-H117,$AJ117-SUM($M117:Q117)))</f>
        <v/>
      </c>
      <c r="S117">
        <f>MAX(0,MIN(ROUND(AC116*(1+I$5),0)-I117,$AJ117-SUM($M117:R117)))</f>
        <v/>
      </c>
      <c r="T117">
        <f>MAX(0,MIN(ROUND(AD116*(1+J$5),0)-J117,$AJ117-SUM($M117:S117)))</f>
        <v/>
      </c>
      <c r="U117">
        <f>MAX(0,MIN(ROUND(AE116*(1+K$5),0)-K117,$AJ117-SUM($M117:T117)))</f>
        <v/>
      </c>
      <c r="V117">
        <f>MAX(0,MIN(ROUND(AF116*(1+L$5),0)-L117,$AJ117-SUM($M117:U117)))</f>
        <v/>
      </c>
      <c r="W117">
        <f>MAX(0,ROUND(W116*(1+C$5),0)-C117-M117)</f>
        <v/>
      </c>
      <c r="X117">
        <f>MAX(0,ROUND(X116*(1+D$5),0)-D117-N117)</f>
        <v/>
      </c>
      <c r="Y117">
        <f>MAX(0,ROUND(Y116*(1+E$5),0)-E117-O117)</f>
        <v/>
      </c>
      <c r="Z117">
        <f>MAX(0,ROUND(Z116*(1+F$5),0)-F117-P117)</f>
        <v/>
      </c>
      <c r="AA117">
        <f>MAX(0,ROUND(AA116*(1+G$5),0)-G117-Q117)</f>
        <v/>
      </c>
      <c r="AB117">
        <f>MAX(0,ROUND(AB116*(1+H$5),0)-H117-R117)</f>
        <v/>
      </c>
      <c r="AC117">
        <f>MAX(0,ROUND(AC116*(1+I$5),0)-I117-S117)</f>
        <v/>
      </c>
      <c r="AD117">
        <f>MAX(0,ROUND(AD116*(1+J$5),0)-J117-T117)</f>
        <v/>
      </c>
      <c r="AE117">
        <f>MAX(0,ROUND(AE116*(1+K$5),0)-K117-U117)</f>
        <v/>
      </c>
      <c r="AF117">
        <f>MAX(0,ROUND(AF116*(1+L$5),0)-L117-V117)</f>
        <v/>
      </c>
      <c r="AG117">
        <f>AH117-(AI116-AI117)</f>
        <v/>
      </c>
      <c r="AH117">
        <f>SUM(C117:V117)</f>
        <v/>
      </c>
      <c r="AI117">
        <f>SUM(W117:AF117)</f>
        <v/>
      </c>
      <c r="AJ117">
        <f>MAX(0,PresTot-SUM(C117:L117))</f>
        <v/>
      </c>
      <c r="AK117">
        <f>IF(AI116&lt;=0,0,11-SUMPRODUCT(MAX((W116:AF116&gt;0)*(11-(COLUMN(W116:AF116)-COLUMN($V116))))))</f>
        <v/>
      </c>
    </row>
    <row r="118">
      <c r="A118" t="n">
        <v>108</v>
      </c>
      <c r="B118">
        <f>DATE(YEAR(InicioEf),MONTH(InicioEf)+A118-1,1)</f>
        <v/>
      </c>
      <c r="C118">
        <f>MIN(C$6,ROUND(W117*(1+C$5),0))</f>
        <v/>
      </c>
      <c r="D118">
        <f>MIN(D$6,ROUND(X117*(1+D$5),0))</f>
        <v/>
      </c>
      <c r="E118">
        <f>MIN(E$6,ROUND(Y117*(1+E$5),0))</f>
        <v/>
      </c>
      <c r="F118">
        <f>MIN(F$6,ROUND(Z117*(1+F$5),0))</f>
        <v/>
      </c>
      <c r="G118">
        <f>MIN(G$6,ROUND(AA117*(1+G$5),0))</f>
        <v/>
      </c>
      <c r="H118">
        <f>MIN(H$6,ROUND(AB117*(1+H$5),0))</f>
        <v/>
      </c>
      <c r="I118">
        <f>MIN(I$6,ROUND(AC117*(1+I$5),0))</f>
        <v/>
      </c>
      <c r="J118">
        <f>MIN(J$6,ROUND(AD117*(1+J$5),0))</f>
        <v/>
      </c>
      <c r="K118">
        <f>MIN(K$6,ROUND(AE117*(1+K$5),0))</f>
        <v/>
      </c>
      <c r="L118">
        <f>MIN(L$6,ROUND(AF117*(1+L$5),0))</f>
        <v/>
      </c>
      <c r="M118">
        <f>MAX(0,MIN(ROUND(W117*(1+C$5),0)-C118,$AJ118-0))</f>
        <v/>
      </c>
      <c r="N118">
        <f>MAX(0,MIN(ROUND(X117*(1+D$5),0)-D118,$AJ118-SUM($M118:M118)))</f>
        <v/>
      </c>
      <c r="O118">
        <f>MAX(0,MIN(ROUND(Y117*(1+E$5),0)-E118,$AJ118-SUM($M118:N118)))</f>
        <v/>
      </c>
      <c r="P118">
        <f>MAX(0,MIN(ROUND(Z117*(1+F$5),0)-F118,$AJ118-SUM($M118:O118)))</f>
        <v/>
      </c>
      <c r="Q118">
        <f>MAX(0,MIN(ROUND(AA117*(1+G$5),0)-G118,$AJ118-SUM($M118:P118)))</f>
        <v/>
      </c>
      <c r="R118">
        <f>MAX(0,MIN(ROUND(AB117*(1+H$5),0)-H118,$AJ118-SUM($M118:Q118)))</f>
        <v/>
      </c>
      <c r="S118">
        <f>MAX(0,MIN(ROUND(AC117*(1+I$5),0)-I118,$AJ118-SUM($M118:R118)))</f>
        <v/>
      </c>
      <c r="T118">
        <f>MAX(0,MIN(ROUND(AD117*(1+J$5),0)-J118,$AJ118-SUM($M118:S118)))</f>
        <v/>
      </c>
      <c r="U118">
        <f>MAX(0,MIN(ROUND(AE117*(1+K$5),0)-K118,$AJ118-SUM($M118:T118)))</f>
        <v/>
      </c>
      <c r="V118">
        <f>MAX(0,MIN(ROUND(AF117*(1+L$5),0)-L118,$AJ118-SUM($M118:U118)))</f>
        <v/>
      </c>
      <c r="W118">
        <f>MAX(0,ROUND(W117*(1+C$5),0)-C118-M118)</f>
        <v/>
      </c>
      <c r="X118">
        <f>MAX(0,ROUND(X117*(1+D$5),0)-D118-N118)</f>
        <v/>
      </c>
      <c r="Y118">
        <f>MAX(0,ROUND(Y117*(1+E$5),0)-E118-O118)</f>
        <v/>
      </c>
      <c r="Z118">
        <f>MAX(0,ROUND(Z117*(1+F$5),0)-F118-P118)</f>
        <v/>
      </c>
      <c r="AA118">
        <f>MAX(0,ROUND(AA117*(1+G$5),0)-G118-Q118)</f>
        <v/>
      </c>
      <c r="AB118">
        <f>MAX(0,ROUND(AB117*(1+H$5),0)-H118-R118)</f>
        <v/>
      </c>
      <c r="AC118">
        <f>MAX(0,ROUND(AC117*(1+I$5),0)-I118-S118)</f>
        <v/>
      </c>
      <c r="AD118">
        <f>MAX(0,ROUND(AD117*(1+J$5),0)-J118-T118)</f>
        <v/>
      </c>
      <c r="AE118">
        <f>MAX(0,ROUND(AE117*(1+K$5),0)-K118-U118)</f>
        <v/>
      </c>
      <c r="AF118">
        <f>MAX(0,ROUND(AF117*(1+L$5),0)-L118-V118)</f>
        <v/>
      </c>
      <c r="AG118">
        <f>AH118-(AI117-AI118)</f>
        <v/>
      </c>
      <c r="AH118">
        <f>SUM(C118:V118)</f>
        <v/>
      </c>
      <c r="AI118">
        <f>SUM(W118:AF118)</f>
        <v/>
      </c>
      <c r="AJ118">
        <f>MAX(0,PresTot-SUM(C118:L118))</f>
        <v/>
      </c>
      <c r="AK118">
        <f>IF(AI117&lt;=0,0,11-SUMPRODUCT(MAX((W117:AF117&gt;0)*(11-(COLUMN(W117:AF117)-COLUMN($V117))))))</f>
        <v/>
      </c>
    </row>
    <row r="119">
      <c r="A119" t="n">
        <v>109</v>
      </c>
      <c r="B119">
        <f>DATE(YEAR(InicioEf),MONTH(InicioEf)+A119-1,1)</f>
        <v/>
      </c>
      <c r="C119">
        <f>MIN(C$6,ROUND(W118*(1+C$5),0))</f>
        <v/>
      </c>
      <c r="D119">
        <f>MIN(D$6,ROUND(X118*(1+D$5),0))</f>
        <v/>
      </c>
      <c r="E119">
        <f>MIN(E$6,ROUND(Y118*(1+E$5),0))</f>
        <v/>
      </c>
      <c r="F119">
        <f>MIN(F$6,ROUND(Z118*(1+F$5),0))</f>
        <v/>
      </c>
      <c r="G119">
        <f>MIN(G$6,ROUND(AA118*(1+G$5),0))</f>
        <v/>
      </c>
      <c r="H119">
        <f>MIN(H$6,ROUND(AB118*(1+H$5),0))</f>
        <v/>
      </c>
      <c r="I119">
        <f>MIN(I$6,ROUND(AC118*(1+I$5),0))</f>
        <v/>
      </c>
      <c r="J119">
        <f>MIN(J$6,ROUND(AD118*(1+J$5),0))</f>
        <v/>
      </c>
      <c r="K119">
        <f>MIN(K$6,ROUND(AE118*(1+K$5),0))</f>
        <v/>
      </c>
      <c r="L119">
        <f>MIN(L$6,ROUND(AF118*(1+L$5),0))</f>
        <v/>
      </c>
      <c r="M119">
        <f>MAX(0,MIN(ROUND(W118*(1+C$5),0)-C119,$AJ119-0))</f>
        <v/>
      </c>
      <c r="N119">
        <f>MAX(0,MIN(ROUND(X118*(1+D$5),0)-D119,$AJ119-SUM($M119:M119)))</f>
        <v/>
      </c>
      <c r="O119">
        <f>MAX(0,MIN(ROUND(Y118*(1+E$5),0)-E119,$AJ119-SUM($M119:N119)))</f>
        <v/>
      </c>
      <c r="P119">
        <f>MAX(0,MIN(ROUND(Z118*(1+F$5),0)-F119,$AJ119-SUM($M119:O119)))</f>
        <v/>
      </c>
      <c r="Q119">
        <f>MAX(0,MIN(ROUND(AA118*(1+G$5),0)-G119,$AJ119-SUM($M119:P119)))</f>
        <v/>
      </c>
      <c r="R119">
        <f>MAX(0,MIN(ROUND(AB118*(1+H$5),0)-H119,$AJ119-SUM($M119:Q119)))</f>
        <v/>
      </c>
      <c r="S119">
        <f>MAX(0,MIN(ROUND(AC118*(1+I$5),0)-I119,$AJ119-SUM($M119:R119)))</f>
        <v/>
      </c>
      <c r="T119">
        <f>MAX(0,MIN(ROUND(AD118*(1+J$5),0)-J119,$AJ119-SUM($M119:S119)))</f>
        <v/>
      </c>
      <c r="U119">
        <f>MAX(0,MIN(ROUND(AE118*(1+K$5),0)-K119,$AJ119-SUM($M119:T119)))</f>
        <v/>
      </c>
      <c r="V119">
        <f>MAX(0,MIN(ROUND(AF118*(1+L$5),0)-L119,$AJ119-SUM($M119:U119)))</f>
        <v/>
      </c>
      <c r="W119">
        <f>MAX(0,ROUND(W118*(1+C$5),0)-C119-M119)</f>
        <v/>
      </c>
      <c r="X119">
        <f>MAX(0,ROUND(X118*(1+D$5),0)-D119-N119)</f>
        <v/>
      </c>
      <c r="Y119">
        <f>MAX(0,ROUND(Y118*(1+E$5),0)-E119-O119)</f>
        <v/>
      </c>
      <c r="Z119">
        <f>MAX(0,ROUND(Z118*(1+F$5),0)-F119-P119)</f>
        <v/>
      </c>
      <c r="AA119">
        <f>MAX(0,ROUND(AA118*(1+G$5),0)-G119-Q119)</f>
        <v/>
      </c>
      <c r="AB119">
        <f>MAX(0,ROUND(AB118*(1+H$5),0)-H119-R119)</f>
        <v/>
      </c>
      <c r="AC119">
        <f>MAX(0,ROUND(AC118*(1+I$5),0)-I119-S119)</f>
        <v/>
      </c>
      <c r="AD119">
        <f>MAX(0,ROUND(AD118*(1+J$5),0)-J119-T119)</f>
        <v/>
      </c>
      <c r="AE119">
        <f>MAX(0,ROUND(AE118*(1+K$5),0)-K119-U119)</f>
        <v/>
      </c>
      <c r="AF119">
        <f>MAX(0,ROUND(AF118*(1+L$5),0)-L119-V119)</f>
        <v/>
      </c>
      <c r="AG119">
        <f>AH119-(AI118-AI119)</f>
        <v/>
      </c>
      <c r="AH119">
        <f>SUM(C119:V119)</f>
        <v/>
      </c>
      <c r="AI119">
        <f>SUM(W119:AF119)</f>
        <v/>
      </c>
      <c r="AJ119">
        <f>MAX(0,PresTot-SUM(C119:L119))</f>
        <v/>
      </c>
      <c r="AK119">
        <f>IF(AI118&lt;=0,0,11-SUMPRODUCT(MAX((W118:AF118&gt;0)*(11-(COLUMN(W118:AF118)-COLUMN($V118))))))</f>
        <v/>
      </c>
    </row>
    <row r="120">
      <c r="A120" t="n">
        <v>110</v>
      </c>
      <c r="B120">
        <f>DATE(YEAR(InicioEf),MONTH(InicioEf)+A120-1,1)</f>
        <v/>
      </c>
      <c r="C120">
        <f>MIN(C$6,ROUND(W119*(1+C$5),0))</f>
        <v/>
      </c>
      <c r="D120">
        <f>MIN(D$6,ROUND(X119*(1+D$5),0))</f>
        <v/>
      </c>
      <c r="E120">
        <f>MIN(E$6,ROUND(Y119*(1+E$5),0))</f>
        <v/>
      </c>
      <c r="F120">
        <f>MIN(F$6,ROUND(Z119*(1+F$5),0))</f>
        <v/>
      </c>
      <c r="G120">
        <f>MIN(G$6,ROUND(AA119*(1+G$5),0))</f>
        <v/>
      </c>
      <c r="H120">
        <f>MIN(H$6,ROUND(AB119*(1+H$5),0))</f>
        <v/>
      </c>
      <c r="I120">
        <f>MIN(I$6,ROUND(AC119*(1+I$5),0))</f>
        <v/>
      </c>
      <c r="J120">
        <f>MIN(J$6,ROUND(AD119*(1+J$5),0))</f>
        <v/>
      </c>
      <c r="K120">
        <f>MIN(K$6,ROUND(AE119*(1+K$5),0))</f>
        <v/>
      </c>
      <c r="L120">
        <f>MIN(L$6,ROUND(AF119*(1+L$5),0))</f>
        <v/>
      </c>
      <c r="M120">
        <f>MAX(0,MIN(ROUND(W119*(1+C$5),0)-C120,$AJ120-0))</f>
        <v/>
      </c>
      <c r="N120">
        <f>MAX(0,MIN(ROUND(X119*(1+D$5),0)-D120,$AJ120-SUM($M120:M120)))</f>
        <v/>
      </c>
      <c r="O120">
        <f>MAX(0,MIN(ROUND(Y119*(1+E$5),0)-E120,$AJ120-SUM($M120:N120)))</f>
        <v/>
      </c>
      <c r="P120">
        <f>MAX(0,MIN(ROUND(Z119*(1+F$5),0)-F120,$AJ120-SUM($M120:O120)))</f>
        <v/>
      </c>
      <c r="Q120">
        <f>MAX(0,MIN(ROUND(AA119*(1+G$5),0)-G120,$AJ120-SUM($M120:P120)))</f>
        <v/>
      </c>
      <c r="R120">
        <f>MAX(0,MIN(ROUND(AB119*(1+H$5),0)-H120,$AJ120-SUM($M120:Q120)))</f>
        <v/>
      </c>
      <c r="S120">
        <f>MAX(0,MIN(ROUND(AC119*(1+I$5),0)-I120,$AJ120-SUM($M120:R120)))</f>
        <v/>
      </c>
      <c r="T120">
        <f>MAX(0,MIN(ROUND(AD119*(1+J$5),0)-J120,$AJ120-SUM($M120:S120)))</f>
        <v/>
      </c>
      <c r="U120">
        <f>MAX(0,MIN(ROUND(AE119*(1+K$5),0)-K120,$AJ120-SUM($M120:T120)))</f>
        <v/>
      </c>
      <c r="V120">
        <f>MAX(0,MIN(ROUND(AF119*(1+L$5),0)-L120,$AJ120-SUM($M120:U120)))</f>
        <v/>
      </c>
      <c r="W120">
        <f>MAX(0,ROUND(W119*(1+C$5),0)-C120-M120)</f>
        <v/>
      </c>
      <c r="X120">
        <f>MAX(0,ROUND(X119*(1+D$5),0)-D120-N120)</f>
        <v/>
      </c>
      <c r="Y120">
        <f>MAX(0,ROUND(Y119*(1+E$5),0)-E120-O120)</f>
        <v/>
      </c>
      <c r="Z120">
        <f>MAX(0,ROUND(Z119*(1+F$5),0)-F120-P120)</f>
        <v/>
      </c>
      <c r="AA120">
        <f>MAX(0,ROUND(AA119*(1+G$5),0)-G120-Q120)</f>
        <v/>
      </c>
      <c r="AB120">
        <f>MAX(0,ROUND(AB119*(1+H$5),0)-H120-R120)</f>
        <v/>
      </c>
      <c r="AC120">
        <f>MAX(0,ROUND(AC119*(1+I$5),0)-I120-S120)</f>
        <v/>
      </c>
      <c r="AD120">
        <f>MAX(0,ROUND(AD119*(1+J$5),0)-J120-T120)</f>
        <v/>
      </c>
      <c r="AE120">
        <f>MAX(0,ROUND(AE119*(1+K$5),0)-K120-U120)</f>
        <v/>
      </c>
      <c r="AF120">
        <f>MAX(0,ROUND(AF119*(1+L$5),0)-L120-V120)</f>
        <v/>
      </c>
      <c r="AG120">
        <f>AH120-(AI119-AI120)</f>
        <v/>
      </c>
      <c r="AH120">
        <f>SUM(C120:V120)</f>
        <v/>
      </c>
      <c r="AI120">
        <f>SUM(W120:AF120)</f>
        <v/>
      </c>
      <c r="AJ120">
        <f>MAX(0,PresTot-SUM(C120:L120))</f>
        <v/>
      </c>
      <c r="AK120">
        <f>IF(AI119&lt;=0,0,11-SUMPRODUCT(MAX((W119:AF119&gt;0)*(11-(COLUMN(W119:AF119)-COLUMN($V119))))))</f>
        <v/>
      </c>
    </row>
    <row r="121">
      <c r="A121" t="n">
        <v>111</v>
      </c>
      <c r="B121">
        <f>DATE(YEAR(InicioEf),MONTH(InicioEf)+A121-1,1)</f>
        <v/>
      </c>
      <c r="C121">
        <f>MIN(C$6,ROUND(W120*(1+C$5),0))</f>
        <v/>
      </c>
      <c r="D121">
        <f>MIN(D$6,ROUND(X120*(1+D$5),0))</f>
        <v/>
      </c>
      <c r="E121">
        <f>MIN(E$6,ROUND(Y120*(1+E$5),0))</f>
        <v/>
      </c>
      <c r="F121">
        <f>MIN(F$6,ROUND(Z120*(1+F$5),0))</f>
        <v/>
      </c>
      <c r="G121">
        <f>MIN(G$6,ROUND(AA120*(1+G$5),0))</f>
        <v/>
      </c>
      <c r="H121">
        <f>MIN(H$6,ROUND(AB120*(1+H$5),0))</f>
        <v/>
      </c>
      <c r="I121">
        <f>MIN(I$6,ROUND(AC120*(1+I$5),0))</f>
        <v/>
      </c>
      <c r="J121">
        <f>MIN(J$6,ROUND(AD120*(1+J$5),0))</f>
        <v/>
      </c>
      <c r="K121">
        <f>MIN(K$6,ROUND(AE120*(1+K$5),0))</f>
        <v/>
      </c>
      <c r="L121">
        <f>MIN(L$6,ROUND(AF120*(1+L$5),0))</f>
        <v/>
      </c>
      <c r="M121">
        <f>MAX(0,MIN(ROUND(W120*(1+C$5),0)-C121,$AJ121-0))</f>
        <v/>
      </c>
      <c r="N121">
        <f>MAX(0,MIN(ROUND(X120*(1+D$5),0)-D121,$AJ121-SUM($M121:M121)))</f>
        <v/>
      </c>
      <c r="O121">
        <f>MAX(0,MIN(ROUND(Y120*(1+E$5),0)-E121,$AJ121-SUM($M121:N121)))</f>
        <v/>
      </c>
      <c r="P121">
        <f>MAX(0,MIN(ROUND(Z120*(1+F$5),0)-F121,$AJ121-SUM($M121:O121)))</f>
        <v/>
      </c>
      <c r="Q121">
        <f>MAX(0,MIN(ROUND(AA120*(1+G$5),0)-G121,$AJ121-SUM($M121:P121)))</f>
        <v/>
      </c>
      <c r="R121">
        <f>MAX(0,MIN(ROUND(AB120*(1+H$5),0)-H121,$AJ121-SUM($M121:Q121)))</f>
        <v/>
      </c>
      <c r="S121">
        <f>MAX(0,MIN(ROUND(AC120*(1+I$5),0)-I121,$AJ121-SUM($M121:R121)))</f>
        <v/>
      </c>
      <c r="T121">
        <f>MAX(0,MIN(ROUND(AD120*(1+J$5),0)-J121,$AJ121-SUM($M121:S121)))</f>
        <v/>
      </c>
      <c r="U121">
        <f>MAX(0,MIN(ROUND(AE120*(1+K$5),0)-K121,$AJ121-SUM($M121:T121)))</f>
        <v/>
      </c>
      <c r="V121">
        <f>MAX(0,MIN(ROUND(AF120*(1+L$5),0)-L121,$AJ121-SUM($M121:U121)))</f>
        <v/>
      </c>
      <c r="W121">
        <f>MAX(0,ROUND(W120*(1+C$5),0)-C121-M121)</f>
        <v/>
      </c>
      <c r="X121">
        <f>MAX(0,ROUND(X120*(1+D$5),0)-D121-N121)</f>
        <v/>
      </c>
      <c r="Y121">
        <f>MAX(0,ROUND(Y120*(1+E$5),0)-E121-O121)</f>
        <v/>
      </c>
      <c r="Z121">
        <f>MAX(0,ROUND(Z120*(1+F$5),0)-F121-P121)</f>
        <v/>
      </c>
      <c r="AA121">
        <f>MAX(0,ROUND(AA120*(1+G$5),0)-G121-Q121)</f>
        <v/>
      </c>
      <c r="AB121">
        <f>MAX(0,ROUND(AB120*(1+H$5),0)-H121-R121)</f>
        <v/>
      </c>
      <c r="AC121">
        <f>MAX(0,ROUND(AC120*(1+I$5),0)-I121-S121)</f>
        <v/>
      </c>
      <c r="AD121">
        <f>MAX(0,ROUND(AD120*(1+J$5),0)-J121-T121)</f>
        <v/>
      </c>
      <c r="AE121">
        <f>MAX(0,ROUND(AE120*(1+K$5),0)-K121-U121)</f>
        <v/>
      </c>
      <c r="AF121">
        <f>MAX(0,ROUND(AF120*(1+L$5),0)-L121-V121)</f>
        <v/>
      </c>
      <c r="AG121">
        <f>AH121-(AI120-AI121)</f>
        <v/>
      </c>
      <c r="AH121">
        <f>SUM(C121:V121)</f>
        <v/>
      </c>
      <c r="AI121">
        <f>SUM(W121:AF121)</f>
        <v/>
      </c>
      <c r="AJ121">
        <f>MAX(0,PresTot-SUM(C121:L121))</f>
        <v/>
      </c>
      <c r="AK121">
        <f>IF(AI120&lt;=0,0,11-SUMPRODUCT(MAX((W120:AF120&gt;0)*(11-(COLUMN(W120:AF120)-COLUMN($V120))))))</f>
        <v/>
      </c>
    </row>
    <row r="122">
      <c r="A122" t="n">
        <v>112</v>
      </c>
      <c r="B122">
        <f>DATE(YEAR(InicioEf),MONTH(InicioEf)+A122-1,1)</f>
        <v/>
      </c>
      <c r="C122">
        <f>MIN(C$6,ROUND(W121*(1+C$5),0))</f>
        <v/>
      </c>
      <c r="D122">
        <f>MIN(D$6,ROUND(X121*(1+D$5),0))</f>
        <v/>
      </c>
      <c r="E122">
        <f>MIN(E$6,ROUND(Y121*(1+E$5),0))</f>
        <v/>
      </c>
      <c r="F122">
        <f>MIN(F$6,ROUND(Z121*(1+F$5),0))</f>
        <v/>
      </c>
      <c r="G122">
        <f>MIN(G$6,ROUND(AA121*(1+G$5),0))</f>
        <v/>
      </c>
      <c r="H122">
        <f>MIN(H$6,ROUND(AB121*(1+H$5),0))</f>
        <v/>
      </c>
      <c r="I122">
        <f>MIN(I$6,ROUND(AC121*(1+I$5),0))</f>
        <v/>
      </c>
      <c r="J122">
        <f>MIN(J$6,ROUND(AD121*(1+J$5),0))</f>
        <v/>
      </c>
      <c r="K122">
        <f>MIN(K$6,ROUND(AE121*(1+K$5),0))</f>
        <v/>
      </c>
      <c r="L122">
        <f>MIN(L$6,ROUND(AF121*(1+L$5),0))</f>
        <v/>
      </c>
      <c r="M122">
        <f>MAX(0,MIN(ROUND(W121*(1+C$5),0)-C122,$AJ122-0))</f>
        <v/>
      </c>
      <c r="N122">
        <f>MAX(0,MIN(ROUND(X121*(1+D$5),0)-D122,$AJ122-SUM($M122:M122)))</f>
        <v/>
      </c>
      <c r="O122">
        <f>MAX(0,MIN(ROUND(Y121*(1+E$5),0)-E122,$AJ122-SUM($M122:N122)))</f>
        <v/>
      </c>
      <c r="P122">
        <f>MAX(0,MIN(ROUND(Z121*(1+F$5),0)-F122,$AJ122-SUM($M122:O122)))</f>
        <v/>
      </c>
      <c r="Q122">
        <f>MAX(0,MIN(ROUND(AA121*(1+G$5),0)-G122,$AJ122-SUM($M122:P122)))</f>
        <v/>
      </c>
      <c r="R122">
        <f>MAX(0,MIN(ROUND(AB121*(1+H$5),0)-H122,$AJ122-SUM($M122:Q122)))</f>
        <v/>
      </c>
      <c r="S122">
        <f>MAX(0,MIN(ROUND(AC121*(1+I$5),0)-I122,$AJ122-SUM($M122:R122)))</f>
        <v/>
      </c>
      <c r="T122">
        <f>MAX(0,MIN(ROUND(AD121*(1+J$5),0)-J122,$AJ122-SUM($M122:S122)))</f>
        <v/>
      </c>
      <c r="U122">
        <f>MAX(0,MIN(ROUND(AE121*(1+K$5),0)-K122,$AJ122-SUM($M122:T122)))</f>
        <v/>
      </c>
      <c r="V122">
        <f>MAX(0,MIN(ROUND(AF121*(1+L$5),0)-L122,$AJ122-SUM($M122:U122)))</f>
        <v/>
      </c>
      <c r="W122">
        <f>MAX(0,ROUND(W121*(1+C$5),0)-C122-M122)</f>
        <v/>
      </c>
      <c r="X122">
        <f>MAX(0,ROUND(X121*(1+D$5),0)-D122-N122)</f>
        <v/>
      </c>
      <c r="Y122">
        <f>MAX(0,ROUND(Y121*(1+E$5),0)-E122-O122)</f>
        <v/>
      </c>
      <c r="Z122">
        <f>MAX(0,ROUND(Z121*(1+F$5),0)-F122-P122)</f>
        <v/>
      </c>
      <c r="AA122">
        <f>MAX(0,ROUND(AA121*(1+G$5),0)-G122-Q122)</f>
        <v/>
      </c>
      <c r="AB122">
        <f>MAX(0,ROUND(AB121*(1+H$5),0)-H122-R122)</f>
        <v/>
      </c>
      <c r="AC122">
        <f>MAX(0,ROUND(AC121*(1+I$5),0)-I122-S122)</f>
        <v/>
      </c>
      <c r="AD122">
        <f>MAX(0,ROUND(AD121*(1+J$5),0)-J122-T122)</f>
        <v/>
      </c>
      <c r="AE122">
        <f>MAX(0,ROUND(AE121*(1+K$5),0)-K122-U122)</f>
        <v/>
      </c>
      <c r="AF122">
        <f>MAX(0,ROUND(AF121*(1+L$5),0)-L122-V122)</f>
        <v/>
      </c>
      <c r="AG122">
        <f>AH122-(AI121-AI122)</f>
        <v/>
      </c>
      <c r="AH122">
        <f>SUM(C122:V122)</f>
        <v/>
      </c>
      <c r="AI122">
        <f>SUM(W122:AF122)</f>
        <v/>
      </c>
      <c r="AJ122">
        <f>MAX(0,PresTot-SUM(C122:L122))</f>
        <v/>
      </c>
      <c r="AK122">
        <f>IF(AI121&lt;=0,0,11-SUMPRODUCT(MAX((W121:AF121&gt;0)*(11-(COLUMN(W121:AF121)-COLUMN($V121))))))</f>
        <v/>
      </c>
    </row>
    <row r="123">
      <c r="A123" t="n">
        <v>113</v>
      </c>
      <c r="B123">
        <f>DATE(YEAR(InicioEf),MONTH(InicioEf)+A123-1,1)</f>
        <v/>
      </c>
      <c r="C123">
        <f>MIN(C$6,ROUND(W122*(1+C$5),0))</f>
        <v/>
      </c>
      <c r="D123">
        <f>MIN(D$6,ROUND(X122*(1+D$5),0))</f>
        <v/>
      </c>
      <c r="E123">
        <f>MIN(E$6,ROUND(Y122*(1+E$5),0))</f>
        <v/>
      </c>
      <c r="F123">
        <f>MIN(F$6,ROUND(Z122*(1+F$5),0))</f>
        <v/>
      </c>
      <c r="G123">
        <f>MIN(G$6,ROUND(AA122*(1+G$5),0))</f>
        <v/>
      </c>
      <c r="H123">
        <f>MIN(H$6,ROUND(AB122*(1+H$5),0))</f>
        <v/>
      </c>
      <c r="I123">
        <f>MIN(I$6,ROUND(AC122*(1+I$5),0))</f>
        <v/>
      </c>
      <c r="J123">
        <f>MIN(J$6,ROUND(AD122*(1+J$5),0))</f>
        <v/>
      </c>
      <c r="K123">
        <f>MIN(K$6,ROUND(AE122*(1+K$5),0))</f>
        <v/>
      </c>
      <c r="L123">
        <f>MIN(L$6,ROUND(AF122*(1+L$5),0))</f>
        <v/>
      </c>
      <c r="M123">
        <f>MAX(0,MIN(ROUND(W122*(1+C$5),0)-C123,$AJ123-0))</f>
        <v/>
      </c>
      <c r="N123">
        <f>MAX(0,MIN(ROUND(X122*(1+D$5),0)-D123,$AJ123-SUM($M123:M123)))</f>
        <v/>
      </c>
      <c r="O123">
        <f>MAX(0,MIN(ROUND(Y122*(1+E$5),0)-E123,$AJ123-SUM($M123:N123)))</f>
        <v/>
      </c>
      <c r="P123">
        <f>MAX(0,MIN(ROUND(Z122*(1+F$5),0)-F123,$AJ123-SUM($M123:O123)))</f>
        <v/>
      </c>
      <c r="Q123">
        <f>MAX(0,MIN(ROUND(AA122*(1+G$5),0)-G123,$AJ123-SUM($M123:P123)))</f>
        <v/>
      </c>
      <c r="R123">
        <f>MAX(0,MIN(ROUND(AB122*(1+H$5),0)-H123,$AJ123-SUM($M123:Q123)))</f>
        <v/>
      </c>
      <c r="S123">
        <f>MAX(0,MIN(ROUND(AC122*(1+I$5),0)-I123,$AJ123-SUM($M123:R123)))</f>
        <v/>
      </c>
      <c r="T123">
        <f>MAX(0,MIN(ROUND(AD122*(1+J$5),0)-J123,$AJ123-SUM($M123:S123)))</f>
        <v/>
      </c>
      <c r="U123">
        <f>MAX(0,MIN(ROUND(AE122*(1+K$5),0)-K123,$AJ123-SUM($M123:T123)))</f>
        <v/>
      </c>
      <c r="V123">
        <f>MAX(0,MIN(ROUND(AF122*(1+L$5),0)-L123,$AJ123-SUM($M123:U123)))</f>
        <v/>
      </c>
      <c r="W123">
        <f>MAX(0,ROUND(W122*(1+C$5),0)-C123-M123)</f>
        <v/>
      </c>
      <c r="X123">
        <f>MAX(0,ROUND(X122*(1+D$5),0)-D123-N123)</f>
        <v/>
      </c>
      <c r="Y123">
        <f>MAX(0,ROUND(Y122*(1+E$5),0)-E123-O123)</f>
        <v/>
      </c>
      <c r="Z123">
        <f>MAX(0,ROUND(Z122*(1+F$5),0)-F123-P123)</f>
        <v/>
      </c>
      <c r="AA123">
        <f>MAX(0,ROUND(AA122*(1+G$5),0)-G123-Q123)</f>
        <v/>
      </c>
      <c r="AB123">
        <f>MAX(0,ROUND(AB122*(1+H$5),0)-H123-R123)</f>
        <v/>
      </c>
      <c r="AC123">
        <f>MAX(0,ROUND(AC122*(1+I$5),0)-I123-S123)</f>
        <v/>
      </c>
      <c r="AD123">
        <f>MAX(0,ROUND(AD122*(1+J$5),0)-J123-T123)</f>
        <v/>
      </c>
      <c r="AE123">
        <f>MAX(0,ROUND(AE122*(1+K$5),0)-K123-U123)</f>
        <v/>
      </c>
      <c r="AF123">
        <f>MAX(0,ROUND(AF122*(1+L$5),0)-L123-V123)</f>
        <v/>
      </c>
      <c r="AG123">
        <f>AH123-(AI122-AI123)</f>
        <v/>
      </c>
      <c r="AH123">
        <f>SUM(C123:V123)</f>
        <v/>
      </c>
      <c r="AI123">
        <f>SUM(W123:AF123)</f>
        <v/>
      </c>
      <c r="AJ123">
        <f>MAX(0,PresTot-SUM(C123:L123))</f>
        <v/>
      </c>
      <c r="AK123">
        <f>IF(AI122&lt;=0,0,11-SUMPRODUCT(MAX((W122:AF122&gt;0)*(11-(COLUMN(W122:AF122)-COLUMN($V122))))))</f>
        <v/>
      </c>
    </row>
    <row r="124">
      <c r="A124" t="n">
        <v>114</v>
      </c>
      <c r="B124">
        <f>DATE(YEAR(InicioEf),MONTH(InicioEf)+A124-1,1)</f>
        <v/>
      </c>
      <c r="C124">
        <f>MIN(C$6,ROUND(W123*(1+C$5),0))</f>
        <v/>
      </c>
      <c r="D124">
        <f>MIN(D$6,ROUND(X123*(1+D$5),0))</f>
        <v/>
      </c>
      <c r="E124">
        <f>MIN(E$6,ROUND(Y123*(1+E$5),0))</f>
        <v/>
      </c>
      <c r="F124">
        <f>MIN(F$6,ROUND(Z123*(1+F$5),0))</f>
        <v/>
      </c>
      <c r="G124">
        <f>MIN(G$6,ROUND(AA123*(1+G$5),0))</f>
        <v/>
      </c>
      <c r="H124">
        <f>MIN(H$6,ROUND(AB123*(1+H$5),0))</f>
        <v/>
      </c>
      <c r="I124">
        <f>MIN(I$6,ROUND(AC123*(1+I$5),0))</f>
        <v/>
      </c>
      <c r="J124">
        <f>MIN(J$6,ROUND(AD123*(1+J$5),0))</f>
        <v/>
      </c>
      <c r="K124">
        <f>MIN(K$6,ROUND(AE123*(1+K$5),0))</f>
        <v/>
      </c>
      <c r="L124">
        <f>MIN(L$6,ROUND(AF123*(1+L$5),0))</f>
        <v/>
      </c>
      <c r="M124">
        <f>MAX(0,MIN(ROUND(W123*(1+C$5),0)-C124,$AJ124-0))</f>
        <v/>
      </c>
      <c r="N124">
        <f>MAX(0,MIN(ROUND(X123*(1+D$5),0)-D124,$AJ124-SUM($M124:M124)))</f>
        <v/>
      </c>
      <c r="O124">
        <f>MAX(0,MIN(ROUND(Y123*(1+E$5),0)-E124,$AJ124-SUM($M124:N124)))</f>
        <v/>
      </c>
      <c r="P124">
        <f>MAX(0,MIN(ROUND(Z123*(1+F$5),0)-F124,$AJ124-SUM($M124:O124)))</f>
        <v/>
      </c>
      <c r="Q124">
        <f>MAX(0,MIN(ROUND(AA123*(1+G$5),0)-G124,$AJ124-SUM($M124:P124)))</f>
        <v/>
      </c>
      <c r="R124">
        <f>MAX(0,MIN(ROUND(AB123*(1+H$5),0)-H124,$AJ124-SUM($M124:Q124)))</f>
        <v/>
      </c>
      <c r="S124">
        <f>MAX(0,MIN(ROUND(AC123*(1+I$5),0)-I124,$AJ124-SUM($M124:R124)))</f>
        <v/>
      </c>
      <c r="T124">
        <f>MAX(0,MIN(ROUND(AD123*(1+J$5),0)-J124,$AJ124-SUM($M124:S124)))</f>
        <v/>
      </c>
      <c r="U124">
        <f>MAX(0,MIN(ROUND(AE123*(1+K$5),0)-K124,$AJ124-SUM($M124:T124)))</f>
        <v/>
      </c>
      <c r="V124">
        <f>MAX(0,MIN(ROUND(AF123*(1+L$5),0)-L124,$AJ124-SUM($M124:U124)))</f>
        <v/>
      </c>
      <c r="W124">
        <f>MAX(0,ROUND(W123*(1+C$5),0)-C124-M124)</f>
        <v/>
      </c>
      <c r="X124">
        <f>MAX(0,ROUND(X123*(1+D$5),0)-D124-N124)</f>
        <v/>
      </c>
      <c r="Y124">
        <f>MAX(0,ROUND(Y123*(1+E$5),0)-E124-O124)</f>
        <v/>
      </c>
      <c r="Z124">
        <f>MAX(0,ROUND(Z123*(1+F$5),0)-F124-P124)</f>
        <v/>
      </c>
      <c r="AA124">
        <f>MAX(0,ROUND(AA123*(1+G$5),0)-G124-Q124)</f>
        <v/>
      </c>
      <c r="AB124">
        <f>MAX(0,ROUND(AB123*(1+H$5),0)-H124-R124)</f>
        <v/>
      </c>
      <c r="AC124">
        <f>MAX(0,ROUND(AC123*(1+I$5),0)-I124-S124)</f>
        <v/>
      </c>
      <c r="AD124">
        <f>MAX(0,ROUND(AD123*(1+J$5),0)-J124-T124)</f>
        <v/>
      </c>
      <c r="AE124">
        <f>MAX(0,ROUND(AE123*(1+K$5),0)-K124-U124)</f>
        <v/>
      </c>
      <c r="AF124">
        <f>MAX(0,ROUND(AF123*(1+L$5),0)-L124-V124)</f>
        <v/>
      </c>
      <c r="AG124">
        <f>AH124-(AI123-AI124)</f>
        <v/>
      </c>
      <c r="AH124">
        <f>SUM(C124:V124)</f>
        <v/>
      </c>
      <c r="AI124">
        <f>SUM(W124:AF124)</f>
        <v/>
      </c>
      <c r="AJ124">
        <f>MAX(0,PresTot-SUM(C124:L124))</f>
        <v/>
      </c>
      <c r="AK124">
        <f>IF(AI123&lt;=0,0,11-SUMPRODUCT(MAX((W123:AF123&gt;0)*(11-(COLUMN(W123:AF123)-COLUMN($V123))))))</f>
        <v/>
      </c>
    </row>
    <row r="125">
      <c r="A125" t="n">
        <v>115</v>
      </c>
      <c r="B125">
        <f>DATE(YEAR(InicioEf),MONTH(InicioEf)+A125-1,1)</f>
        <v/>
      </c>
      <c r="C125">
        <f>MIN(C$6,ROUND(W124*(1+C$5),0))</f>
        <v/>
      </c>
      <c r="D125">
        <f>MIN(D$6,ROUND(X124*(1+D$5),0))</f>
        <v/>
      </c>
      <c r="E125">
        <f>MIN(E$6,ROUND(Y124*(1+E$5),0))</f>
        <v/>
      </c>
      <c r="F125">
        <f>MIN(F$6,ROUND(Z124*(1+F$5),0))</f>
        <v/>
      </c>
      <c r="G125">
        <f>MIN(G$6,ROUND(AA124*(1+G$5),0))</f>
        <v/>
      </c>
      <c r="H125">
        <f>MIN(H$6,ROUND(AB124*(1+H$5),0))</f>
        <v/>
      </c>
      <c r="I125">
        <f>MIN(I$6,ROUND(AC124*(1+I$5),0))</f>
        <v/>
      </c>
      <c r="J125">
        <f>MIN(J$6,ROUND(AD124*(1+J$5),0))</f>
        <v/>
      </c>
      <c r="K125">
        <f>MIN(K$6,ROUND(AE124*(1+K$5),0))</f>
        <v/>
      </c>
      <c r="L125">
        <f>MIN(L$6,ROUND(AF124*(1+L$5),0))</f>
        <v/>
      </c>
      <c r="M125">
        <f>MAX(0,MIN(ROUND(W124*(1+C$5),0)-C125,$AJ125-0))</f>
        <v/>
      </c>
      <c r="N125">
        <f>MAX(0,MIN(ROUND(X124*(1+D$5),0)-D125,$AJ125-SUM($M125:M125)))</f>
        <v/>
      </c>
      <c r="O125">
        <f>MAX(0,MIN(ROUND(Y124*(1+E$5),0)-E125,$AJ125-SUM($M125:N125)))</f>
        <v/>
      </c>
      <c r="P125">
        <f>MAX(0,MIN(ROUND(Z124*(1+F$5),0)-F125,$AJ125-SUM($M125:O125)))</f>
        <v/>
      </c>
      <c r="Q125">
        <f>MAX(0,MIN(ROUND(AA124*(1+G$5),0)-G125,$AJ125-SUM($M125:P125)))</f>
        <v/>
      </c>
      <c r="R125">
        <f>MAX(0,MIN(ROUND(AB124*(1+H$5),0)-H125,$AJ125-SUM($M125:Q125)))</f>
        <v/>
      </c>
      <c r="S125">
        <f>MAX(0,MIN(ROUND(AC124*(1+I$5),0)-I125,$AJ125-SUM($M125:R125)))</f>
        <v/>
      </c>
      <c r="T125">
        <f>MAX(0,MIN(ROUND(AD124*(1+J$5),0)-J125,$AJ125-SUM($M125:S125)))</f>
        <v/>
      </c>
      <c r="U125">
        <f>MAX(0,MIN(ROUND(AE124*(1+K$5),0)-K125,$AJ125-SUM($M125:T125)))</f>
        <v/>
      </c>
      <c r="V125">
        <f>MAX(0,MIN(ROUND(AF124*(1+L$5),0)-L125,$AJ125-SUM($M125:U125)))</f>
        <v/>
      </c>
      <c r="W125">
        <f>MAX(0,ROUND(W124*(1+C$5),0)-C125-M125)</f>
        <v/>
      </c>
      <c r="X125">
        <f>MAX(0,ROUND(X124*(1+D$5),0)-D125-N125)</f>
        <v/>
      </c>
      <c r="Y125">
        <f>MAX(0,ROUND(Y124*(1+E$5),0)-E125-O125)</f>
        <v/>
      </c>
      <c r="Z125">
        <f>MAX(0,ROUND(Z124*(1+F$5),0)-F125-P125)</f>
        <v/>
      </c>
      <c r="AA125">
        <f>MAX(0,ROUND(AA124*(1+G$5),0)-G125-Q125)</f>
        <v/>
      </c>
      <c r="AB125">
        <f>MAX(0,ROUND(AB124*(1+H$5),0)-H125-R125)</f>
        <v/>
      </c>
      <c r="AC125">
        <f>MAX(0,ROUND(AC124*(1+I$5),0)-I125-S125)</f>
        <v/>
      </c>
      <c r="AD125">
        <f>MAX(0,ROUND(AD124*(1+J$5),0)-J125-T125)</f>
        <v/>
      </c>
      <c r="AE125">
        <f>MAX(0,ROUND(AE124*(1+K$5),0)-K125-U125)</f>
        <v/>
      </c>
      <c r="AF125">
        <f>MAX(0,ROUND(AF124*(1+L$5),0)-L125-V125)</f>
        <v/>
      </c>
      <c r="AG125">
        <f>AH125-(AI124-AI125)</f>
        <v/>
      </c>
      <c r="AH125">
        <f>SUM(C125:V125)</f>
        <v/>
      </c>
      <c r="AI125">
        <f>SUM(W125:AF125)</f>
        <v/>
      </c>
      <c r="AJ125">
        <f>MAX(0,PresTot-SUM(C125:L125))</f>
        <v/>
      </c>
      <c r="AK125">
        <f>IF(AI124&lt;=0,0,11-SUMPRODUCT(MAX((W124:AF124&gt;0)*(11-(COLUMN(W124:AF124)-COLUMN($V124))))))</f>
        <v/>
      </c>
    </row>
    <row r="126">
      <c r="A126" t="n">
        <v>116</v>
      </c>
      <c r="B126">
        <f>DATE(YEAR(InicioEf),MONTH(InicioEf)+A126-1,1)</f>
        <v/>
      </c>
      <c r="C126">
        <f>MIN(C$6,ROUND(W125*(1+C$5),0))</f>
        <v/>
      </c>
      <c r="D126">
        <f>MIN(D$6,ROUND(X125*(1+D$5),0))</f>
        <v/>
      </c>
      <c r="E126">
        <f>MIN(E$6,ROUND(Y125*(1+E$5),0))</f>
        <v/>
      </c>
      <c r="F126">
        <f>MIN(F$6,ROUND(Z125*(1+F$5),0))</f>
        <v/>
      </c>
      <c r="G126">
        <f>MIN(G$6,ROUND(AA125*(1+G$5),0))</f>
        <v/>
      </c>
      <c r="H126">
        <f>MIN(H$6,ROUND(AB125*(1+H$5),0))</f>
        <v/>
      </c>
      <c r="I126">
        <f>MIN(I$6,ROUND(AC125*(1+I$5),0))</f>
        <v/>
      </c>
      <c r="J126">
        <f>MIN(J$6,ROUND(AD125*(1+J$5),0))</f>
        <v/>
      </c>
      <c r="K126">
        <f>MIN(K$6,ROUND(AE125*(1+K$5),0))</f>
        <v/>
      </c>
      <c r="L126">
        <f>MIN(L$6,ROUND(AF125*(1+L$5),0))</f>
        <v/>
      </c>
      <c r="M126">
        <f>MAX(0,MIN(ROUND(W125*(1+C$5),0)-C126,$AJ126-0))</f>
        <v/>
      </c>
      <c r="N126">
        <f>MAX(0,MIN(ROUND(X125*(1+D$5),0)-D126,$AJ126-SUM($M126:M126)))</f>
        <v/>
      </c>
      <c r="O126">
        <f>MAX(0,MIN(ROUND(Y125*(1+E$5),0)-E126,$AJ126-SUM($M126:N126)))</f>
        <v/>
      </c>
      <c r="P126">
        <f>MAX(0,MIN(ROUND(Z125*(1+F$5),0)-F126,$AJ126-SUM($M126:O126)))</f>
        <v/>
      </c>
      <c r="Q126">
        <f>MAX(0,MIN(ROUND(AA125*(1+G$5),0)-G126,$AJ126-SUM($M126:P126)))</f>
        <v/>
      </c>
      <c r="R126">
        <f>MAX(0,MIN(ROUND(AB125*(1+H$5),0)-H126,$AJ126-SUM($M126:Q126)))</f>
        <v/>
      </c>
      <c r="S126">
        <f>MAX(0,MIN(ROUND(AC125*(1+I$5),0)-I126,$AJ126-SUM($M126:R126)))</f>
        <v/>
      </c>
      <c r="T126">
        <f>MAX(0,MIN(ROUND(AD125*(1+J$5),0)-J126,$AJ126-SUM($M126:S126)))</f>
        <v/>
      </c>
      <c r="U126">
        <f>MAX(0,MIN(ROUND(AE125*(1+K$5),0)-K126,$AJ126-SUM($M126:T126)))</f>
        <v/>
      </c>
      <c r="V126">
        <f>MAX(0,MIN(ROUND(AF125*(1+L$5),0)-L126,$AJ126-SUM($M126:U126)))</f>
        <v/>
      </c>
      <c r="W126">
        <f>MAX(0,ROUND(W125*(1+C$5),0)-C126-M126)</f>
        <v/>
      </c>
      <c r="X126">
        <f>MAX(0,ROUND(X125*(1+D$5),0)-D126-N126)</f>
        <v/>
      </c>
      <c r="Y126">
        <f>MAX(0,ROUND(Y125*(1+E$5),0)-E126-O126)</f>
        <v/>
      </c>
      <c r="Z126">
        <f>MAX(0,ROUND(Z125*(1+F$5),0)-F126-P126)</f>
        <v/>
      </c>
      <c r="AA126">
        <f>MAX(0,ROUND(AA125*(1+G$5),0)-G126-Q126)</f>
        <v/>
      </c>
      <c r="AB126">
        <f>MAX(0,ROUND(AB125*(1+H$5),0)-H126-R126)</f>
        <v/>
      </c>
      <c r="AC126">
        <f>MAX(0,ROUND(AC125*(1+I$5),0)-I126-S126)</f>
        <v/>
      </c>
      <c r="AD126">
        <f>MAX(0,ROUND(AD125*(1+J$5),0)-J126-T126)</f>
        <v/>
      </c>
      <c r="AE126">
        <f>MAX(0,ROUND(AE125*(1+K$5),0)-K126-U126)</f>
        <v/>
      </c>
      <c r="AF126">
        <f>MAX(0,ROUND(AF125*(1+L$5),0)-L126-V126)</f>
        <v/>
      </c>
      <c r="AG126">
        <f>AH126-(AI125-AI126)</f>
        <v/>
      </c>
      <c r="AH126">
        <f>SUM(C126:V126)</f>
        <v/>
      </c>
      <c r="AI126">
        <f>SUM(W126:AF126)</f>
        <v/>
      </c>
      <c r="AJ126">
        <f>MAX(0,PresTot-SUM(C126:L126))</f>
        <v/>
      </c>
      <c r="AK126">
        <f>IF(AI125&lt;=0,0,11-SUMPRODUCT(MAX((W125:AF125&gt;0)*(11-(COLUMN(W125:AF125)-COLUMN($V125))))))</f>
        <v/>
      </c>
    </row>
    <row r="127">
      <c r="A127" t="n">
        <v>117</v>
      </c>
      <c r="B127">
        <f>DATE(YEAR(InicioEf),MONTH(InicioEf)+A127-1,1)</f>
        <v/>
      </c>
      <c r="C127">
        <f>MIN(C$6,ROUND(W126*(1+C$5),0))</f>
        <v/>
      </c>
      <c r="D127">
        <f>MIN(D$6,ROUND(X126*(1+D$5),0))</f>
        <v/>
      </c>
      <c r="E127">
        <f>MIN(E$6,ROUND(Y126*(1+E$5),0))</f>
        <v/>
      </c>
      <c r="F127">
        <f>MIN(F$6,ROUND(Z126*(1+F$5),0))</f>
        <v/>
      </c>
      <c r="G127">
        <f>MIN(G$6,ROUND(AA126*(1+G$5),0))</f>
        <v/>
      </c>
      <c r="H127">
        <f>MIN(H$6,ROUND(AB126*(1+H$5),0))</f>
        <v/>
      </c>
      <c r="I127">
        <f>MIN(I$6,ROUND(AC126*(1+I$5),0))</f>
        <v/>
      </c>
      <c r="J127">
        <f>MIN(J$6,ROUND(AD126*(1+J$5),0))</f>
        <v/>
      </c>
      <c r="K127">
        <f>MIN(K$6,ROUND(AE126*(1+K$5),0))</f>
        <v/>
      </c>
      <c r="L127">
        <f>MIN(L$6,ROUND(AF126*(1+L$5),0))</f>
        <v/>
      </c>
      <c r="M127">
        <f>MAX(0,MIN(ROUND(W126*(1+C$5),0)-C127,$AJ127-0))</f>
        <v/>
      </c>
      <c r="N127">
        <f>MAX(0,MIN(ROUND(X126*(1+D$5),0)-D127,$AJ127-SUM($M127:M127)))</f>
        <v/>
      </c>
      <c r="O127">
        <f>MAX(0,MIN(ROUND(Y126*(1+E$5),0)-E127,$AJ127-SUM($M127:N127)))</f>
        <v/>
      </c>
      <c r="P127">
        <f>MAX(0,MIN(ROUND(Z126*(1+F$5),0)-F127,$AJ127-SUM($M127:O127)))</f>
        <v/>
      </c>
      <c r="Q127">
        <f>MAX(0,MIN(ROUND(AA126*(1+G$5),0)-G127,$AJ127-SUM($M127:P127)))</f>
        <v/>
      </c>
      <c r="R127">
        <f>MAX(0,MIN(ROUND(AB126*(1+H$5),0)-H127,$AJ127-SUM($M127:Q127)))</f>
        <v/>
      </c>
      <c r="S127">
        <f>MAX(0,MIN(ROUND(AC126*(1+I$5),0)-I127,$AJ127-SUM($M127:R127)))</f>
        <v/>
      </c>
      <c r="T127">
        <f>MAX(0,MIN(ROUND(AD126*(1+J$5),0)-J127,$AJ127-SUM($M127:S127)))</f>
        <v/>
      </c>
      <c r="U127">
        <f>MAX(0,MIN(ROUND(AE126*(1+K$5),0)-K127,$AJ127-SUM($M127:T127)))</f>
        <v/>
      </c>
      <c r="V127">
        <f>MAX(0,MIN(ROUND(AF126*(1+L$5),0)-L127,$AJ127-SUM($M127:U127)))</f>
        <v/>
      </c>
      <c r="W127">
        <f>MAX(0,ROUND(W126*(1+C$5),0)-C127-M127)</f>
        <v/>
      </c>
      <c r="X127">
        <f>MAX(0,ROUND(X126*(1+D$5),0)-D127-N127)</f>
        <v/>
      </c>
      <c r="Y127">
        <f>MAX(0,ROUND(Y126*(1+E$5),0)-E127-O127)</f>
        <v/>
      </c>
      <c r="Z127">
        <f>MAX(0,ROUND(Z126*(1+F$5),0)-F127-P127)</f>
        <v/>
      </c>
      <c r="AA127">
        <f>MAX(0,ROUND(AA126*(1+G$5),0)-G127-Q127)</f>
        <v/>
      </c>
      <c r="AB127">
        <f>MAX(0,ROUND(AB126*(1+H$5),0)-H127-R127)</f>
        <v/>
      </c>
      <c r="AC127">
        <f>MAX(0,ROUND(AC126*(1+I$5),0)-I127-S127)</f>
        <v/>
      </c>
      <c r="AD127">
        <f>MAX(0,ROUND(AD126*(1+J$5),0)-J127-T127)</f>
        <v/>
      </c>
      <c r="AE127">
        <f>MAX(0,ROUND(AE126*(1+K$5),0)-K127-U127)</f>
        <v/>
      </c>
      <c r="AF127">
        <f>MAX(0,ROUND(AF126*(1+L$5),0)-L127-V127)</f>
        <v/>
      </c>
      <c r="AG127">
        <f>AH127-(AI126-AI127)</f>
        <v/>
      </c>
      <c r="AH127">
        <f>SUM(C127:V127)</f>
        <v/>
      </c>
      <c r="AI127">
        <f>SUM(W127:AF127)</f>
        <v/>
      </c>
      <c r="AJ127">
        <f>MAX(0,PresTot-SUM(C127:L127))</f>
        <v/>
      </c>
      <c r="AK127">
        <f>IF(AI126&lt;=0,0,11-SUMPRODUCT(MAX((W126:AF126&gt;0)*(11-(COLUMN(W126:AF126)-COLUMN($V126))))))</f>
        <v/>
      </c>
    </row>
    <row r="128">
      <c r="A128" t="n">
        <v>118</v>
      </c>
      <c r="B128">
        <f>DATE(YEAR(InicioEf),MONTH(InicioEf)+A128-1,1)</f>
        <v/>
      </c>
      <c r="C128">
        <f>MIN(C$6,ROUND(W127*(1+C$5),0))</f>
        <v/>
      </c>
      <c r="D128">
        <f>MIN(D$6,ROUND(X127*(1+D$5),0))</f>
        <v/>
      </c>
      <c r="E128">
        <f>MIN(E$6,ROUND(Y127*(1+E$5),0))</f>
        <v/>
      </c>
      <c r="F128">
        <f>MIN(F$6,ROUND(Z127*(1+F$5),0))</f>
        <v/>
      </c>
      <c r="G128">
        <f>MIN(G$6,ROUND(AA127*(1+G$5),0))</f>
        <v/>
      </c>
      <c r="H128">
        <f>MIN(H$6,ROUND(AB127*(1+H$5),0))</f>
        <v/>
      </c>
      <c r="I128">
        <f>MIN(I$6,ROUND(AC127*(1+I$5),0))</f>
        <v/>
      </c>
      <c r="J128">
        <f>MIN(J$6,ROUND(AD127*(1+J$5),0))</f>
        <v/>
      </c>
      <c r="K128">
        <f>MIN(K$6,ROUND(AE127*(1+K$5),0))</f>
        <v/>
      </c>
      <c r="L128">
        <f>MIN(L$6,ROUND(AF127*(1+L$5),0))</f>
        <v/>
      </c>
      <c r="M128">
        <f>MAX(0,MIN(ROUND(W127*(1+C$5),0)-C128,$AJ128-0))</f>
        <v/>
      </c>
      <c r="N128">
        <f>MAX(0,MIN(ROUND(X127*(1+D$5),0)-D128,$AJ128-SUM($M128:M128)))</f>
        <v/>
      </c>
      <c r="O128">
        <f>MAX(0,MIN(ROUND(Y127*(1+E$5),0)-E128,$AJ128-SUM($M128:N128)))</f>
        <v/>
      </c>
      <c r="P128">
        <f>MAX(0,MIN(ROUND(Z127*(1+F$5),0)-F128,$AJ128-SUM($M128:O128)))</f>
        <v/>
      </c>
      <c r="Q128">
        <f>MAX(0,MIN(ROUND(AA127*(1+G$5),0)-G128,$AJ128-SUM($M128:P128)))</f>
        <v/>
      </c>
      <c r="R128">
        <f>MAX(0,MIN(ROUND(AB127*(1+H$5),0)-H128,$AJ128-SUM($M128:Q128)))</f>
        <v/>
      </c>
      <c r="S128">
        <f>MAX(0,MIN(ROUND(AC127*(1+I$5),0)-I128,$AJ128-SUM($M128:R128)))</f>
        <v/>
      </c>
      <c r="T128">
        <f>MAX(0,MIN(ROUND(AD127*(1+J$5),0)-J128,$AJ128-SUM($M128:S128)))</f>
        <v/>
      </c>
      <c r="U128">
        <f>MAX(0,MIN(ROUND(AE127*(1+K$5),0)-K128,$AJ128-SUM($M128:T128)))</f>
        <v/>
      </c>
      <c r="V128">
        <f>MAX(0,MIN(ROUND(AF127*(1+L$5),0)-L128,$AJ128-SUM($M128:U128)))</f>
        <v/>
      </c>
      <c r="W128">
        <f>MAX(0,ROUND(W127*(1+C$5),0)-C128-M128)</f>
        <v/>
      </c>
      <c r="X128">
        <f>MAX(0,ROUND(X127*(1+D$5),0)-D128-N128)</f>
        <v/>
      </c>
      <c r="Y128">
        <f>MAX(0,ROUND(Y127*(1+E$5),0)-E128-O128)</f>
        <v/>
      </c>
      <c r="Z128">
        <f>MAX(0,ROUND(Z127*(1+F$5),0)-F128-P128)</f>
        <v/>
      </c>
      <c r="AA128">
        <f>MAX(0,ROUND(AA127*(1+G$5),0)-G128-Q128)</f>
        <v/>
      </c>
      <c r="AB128">
        <f>MAX(0,ROUND(AB127*(1+H$5),0)-H128-R128)</f>
        <v/>
      </c>
      <c r="AC128">
        <f>MAX(0,ROUND(AC127*(1+I$5),0)-I128-S128)</f>
        <v/>
      </c>
      <c r="AD128">
        <f>MAX(0,ROUND(AD127*(1+J$5),0)-J128-T128)</f>
        <v/>
      </c>
      <c r="AE128">
        <f>MAX(0,ROUND(AE127*(1+K$5),0)-K128-U128)</f>
        <v/>
      </c>
      <c r="AF128">
        <f>MAX(0,ROUND(AF127*(1+L$5),0)-L128-V128)</f>
        <v/>
      </c>
      <c r="AG128">
        <f>AH128-(AI127-AI128)</f>
        <v/>
      </c>
      <c r="AH128">
        <f>SUM(C128:V128)</f>
        <v/>
      </c>
      <c r="AI128">
        <f>SUM(W128:AF128)</f>
        <v/>
      </c>
      <c r="AJ128">
        <f>MAX(0,PresTot-SUM(C128:L128))</f>
        <v/>
      </c>
      <c r="AK128">
        <f>IF(AI127&lt;=0,0,11-SUMPRODUCT(MAX((W127:AF127&gt;0)*(11-(COLUMN(W127:AF127)-COLUMN($V127))))))</f>
        <v/>
      </c>
    </row>
    <row r="129">
      <c r="A129" t="n">
        <v>119</v>
      </c>
      <c r="B129">
        <f>DATE(YEAR(InicioEf),MONTH(InicioEf)+A129-1,1)</f>
        <v/>
      </c>
      <c r="C129">
        <f>MIN(C$6,ROUND(W128*(1+C$5),0))</f>
        <v/>
      </c>
      <c r="D129">
        <f>MIN(D$6,ROUND(X128*(1+D$5),0))</f>
        <v/>
      </c>
      <c r="E129">
        <f>MIN(E$6,ROUND(Y128*(1+E$5),0))</f>
        <v/>
      </c>
      <c r="F129">
        <f>MIN(F$6,ROUND(Z128*(1+F$5),0))</f>
        <v/>
      </c>
      <c r="G129">
        <f>MIN(G$6,ROUND(AA128*(1+G$5),0))</f>
        <v/>
      </c>
      <c r="H129">
        <f>MIN(H$6,ROUND(AB128*(1+H$5),0))</f>
        <v/>
      </c>
      <c r="I129">
        <f>MIN(I$6,ROUND(AC128*(1+I$5),0))</f>
        <v/>
      </c>
      <c r="J129">
        <f>MIN(J$6,ROUND(AD128*(1+J$5),0))</f>
        <v/>
      </c>
      <c r="K129">
        <f>MIN(K$6,ROUND(AE128*(1+K$5),0))</f>
        <v/>
      </c>
      <c r="L129">
        <f>MIN(L$6,ROUND(AF128*(1+L$5),0))</f>
        <v/>
      </c>
      <c r="M129">
        <f>MAX(0,MIN(ROUND(W128*(1+C$5),0)-C129,$AJ129-0))</f>
        <v/>
      </c>
      <c r="N129">
        <f>MAX(0,MIN(ROUND(X128*(1+D$5),0)-D129,$AJ129-SUM($M129:M129)))</f>
        <v/>
      </c>
      <c r="O129">
        <f>MAX(0,MIN(ROUND(Y128*(1+E$5),0)-E129,$AJ129-SUM($M129:N129)))</f>
        <v/>
      </c>
      <c r="P129">
        <f>MAX(0,MIN(ROUND(Z128*(1+F$5),0)-F129,$AJ129-SUM($M129:O129)))</f>
        <v/>
      </c>
      <c r="Q129">
        <f>MAX(0,MIN(ROUND(AA128*(1+G$5),0)-G129,$AJ129-SUM($M129:P129)))</f>
        <v/>
      </c>
      <c r="R129">
        <f>MAX(0,MIN(ROUND(AB128*(1+H$5),0)-H129,$AJ129-SUM($M129:Q129)))</f>
        <v/>
      </c>
      <c r="S129">
        <f>MAX(0,MIN(ROUND(AC128*(1+I$5),0)-I129,$AJ129-SUM($M129:R129)))</f>
        <v/>
      </c>
      <c r="T129">
        <f>MAX(0,MIN(ROUND(AD128*(1+J$5),0)-J129,$AJ129-SUM($M129:S129)))</f>
        <v/>
      </c>
      <c r="U129">
        <f>MAX(0,MIN(ROUND(AE128*(1+K$5),0)-K129,$AJ129-SUM($M129:T129)))</f>
        <v/>
      </c>
      <c r="V129">
        <f>MAX(0,MIN(ROUND(AF128*(1+L$5),0)-L129,$AJ129-SUM($M129:U129)))</f>
        <v/>
      </c>
      <c r="W129">
        <f>MAX(0,ROUND(W128*(1+C$5),0)-C129-M129)</f>
        <v/>
      </c>
      <c r="X129">
        <f>MAX(0,ROUND(X128*(1+D$5),0)-D129-N129)</f>
        <v/>
      </c>
      <c r="Y129">
        <f>MAX(0,ROUND(Y128*(1+E$5),0)-E129-O129)</f>
        <v/>
      </c>
      <c r="Z129">
        <f>MAX(0,ROUND(Z128*(1+F$5),0)-F129-P129)</f>
        <v/>
      </c>
      <c r="AA129">
        <f>MAX(0,ROUND(AA128*(1+G$5),0)-G129-Q129)</f>
        <v/>
      </c>
      <c r="AB129">
        <f>MAX(0,ROUND(AB128*(1+H$5),0)-H129-R129)</f>
        <v/>
      </c>
      <c r="AC129">
        <f>MAX(0,ROUND(AC128*(1+I$5),0)-I129-S129)</f>
        <v/>
      </c>
      <c r="AD129">
        <f>MAX(0,ROUND(AD128*(1+J$5),0)-J129-T129)</f>
        <v/>
      </c>
      <c r="AE129">
        <f>MAX(0,ROUND(AE128*(1+K$5),0)-K129-U129)</f>
        <v/>
      </c>
      <c r="AF129">
        <f>MAX(0,ROUND(AF128*(1+L$5),0)-L129-V129)</f>
        <v/>
      </c>
      <c r="AG129">
        <f>AH129-(AI128-AI129)</f>
        <v/>
      </c>
      <c r="AH129">
        <f>SUM(C129:V129)</f>
        <v/>
      </c>
      <c r="AI129">
        <f>SUM(W129:AF129)</f>
        <v/>
      </c>
      <c r="AJ129">
        <f>MAX(0,PresTot-SUM(C129:L129))</f>
        <v/>
      </c>
      <c r="AK129">
        <f>IF(AI128&lt;=0,0,11-SUMPRODUCT(MAX((W128:AF128&gt;0)*(11-(COLUMN(W128:AF128)-COLUMN($V128))))))</f>
        <v/>
      </c>
    </row>
    <row r="130">
      <c r="A130" t="n">
        <v>120</v>
      </c>
      <c r="B130">
        <f>DATE(YEAR(InicioEf),MONTH(InicioEf)+A130-1,1)</f>
        <v/>
      </c>
      <c r="C130">
        <f>MIN(C$6,ROUND(W129*(1+C$5),0))</f>
        <v/>
      </c>
      <c r="D130">
        <f>MIN(D$6,ROUND(X129*(1+D$5),0))</f>
        <v/>
      </c>
      <c r="E130">
        <f>MIN(E$6,ROUND(Y129*(1+E$5),0))</f>
        <v/>
      </c>
      <c r="F130">
        <f>MIN(F$6,ROUND(Z129*(1+F$5),0))</f>
        <v/>
      </c>
      <c r="G130">
        <f>MIN(G$6,ROUND(AA129*(1+G$5),0))</f>
        <v/>
      </c>
      <c r="H130">
        <f>MIN(H$6,ROUND(AB129*(1+H$5),0))</f>
        <v/>
      </c>
      <c r="I130">
        <f>MIN(I$6,ROUND(AC129*(1+I$5),0))</f>
        <v/>
      </c>
      <c r="J130">
        <f>MIN(J$6,ROUND(AD129*(1+J$5),0))</f>
        <v/>
      </c>
      <c r="K130">
        <f>MIN(K$6,ROUND(AE129*(1+K$5),0))</f>
        <v/>
      </c>
      <c r="L130">
        <f>MIN(L$6,ROUND(AF129*(1+L$5),0))</f>
        <v/>
      </c>
      <c r="M130">
        <f>MAX(0,MIN(ROUND(W129*(1+C$5),0)-C130,$AJ130-0))</f>
        <v/>
      </c>
      <c r="N130">
        <f>MAX(0,MIN(ROUND(X129*(1+D$5),0)-D130,$AJ130-SUM($M130:M130)))</f>
        <v/>
      </c>
      <c r="O130">
        <f>MAX(0,MIN(ROUND(Y129*(1+E$5),0)-E130,$AJ130-SUM($M130:N130)))</f>
        <v/>
      </c>
      <c r="P130">
        <f>MAX(0,MIN(ROUND(Z129*(1+F$5),0)-F130,$AJ130-SUM($M130:O130)))</f>
        <v/>
      </c>
      <c r="Q130">
        <f>MAX(0,MIN(ROUND(AA129*(1+G$5),0)-G130,$AJ130-SUM($M130:P130)))</f>
        <v/>
      </c>
      <c r="R130">
        <f>MAX(0,MIN(ROUND(AB129*(1+H$5),0)-H130,$AJ130-SUM($M130:Q130)))</f>
        <v/>
      </c>
      <c r="S130">
        <f>MAX(0,MIN(ROUND(AC129*(1+I$5),0)-I130,$AJ130-SUM($M130:R130)))</f>
        <v/>
      </c>
      <c r="T130">
        <f>MAX(0,MIN(ROUND(AD129*(1+J$5),0)-J130,$AJ130-SUM($M130:S130)))</f>
        <v/>
      </c>
      <c r="U130">
        <f>MAX(0,MIN(ROUND(AE129*(1+K$5),0)-K130,$AJ130-SUM($M130:T130)))</f>
        <v/>
      </c>
      <c r="V130">
        <f>MAX(0,MIN(ROUND(AF129*(1+L$5),0)-L130,$AJ130-SUM($M130:U130)))</f>
        <v/>
      </c>
      <c r="W130">
        <f>MAX(0,ROUND(W129*(1+C$5),0)-C130-M130)</f>
        <v/>
      </c>
      <c r="X130">
        <f>MAX(0,ROUND(X129*(1+D$5),0)-D130-N130)</f>
        <v/>
      </c>
      <c r="Y130">
        <f>MAX(0,ROUND(Y129*(1+E$5),0)-E130-O130)</f>
        <v/>
      </c>
      <c r="Z130">
        <f>MAX(0,ROUND(Z129*(1+F$5),0)-F130-P130)</f>
        <v/>
      </c>
      <c r="AA130">
        <f>MAX(0,ROUND(AA129*(1+G$5),0)-G130-Q130)</f>
        <v/>
      </c>
      <c r="AB130">
        <f>MAX(0,ROUND(AB129*(1+H$5),0)-H130-R130)</f>
        <v/>
      </c>
      <c r="AC130">
        <f>MAX(0,ROUND(AC129*(1+I$5),0)-I130-S130)</f>
        <v/>
      </c>
      <c r="AD130">
        <f>MAX(0,ROUND(AD129*(1+J$5),0)-J130-T130)</f>
        <v/>
      </c>
      <c r="AE130">
        <f>MAX(0,ROUND(AE129*(1+K$5),0)-K130-U130)</f>
        <v/>
      </c>
      <c r="AF130">
        <f>MAX(0,ROUND(AF129*(1+L$5),0)-L130-V130)</f>
        <v/>
      </c>
      <c r="AG130">
        <f>AH130-(AI129-AI130)</f>
        <v/>
      </c>
      <c r="AH130">
        <f>SUM(C130:V130)</f>
        <v/>
      </c>
      <c r="AI130">
        <f>SUM(W130:AF130)</f>
        <v/>
      </c>
      <c r="AJ130">
        <f>MAX(0,PresTot-SUM(C130:L130))</f>
        <v/>
      </c>
      <c r="AK130">
        <f>IF(AI129&lt;=0,0,11-SUMPRODUCT(MAX((W129:AF129&gt;0)*(11-(COLUMN(W129:AF129)-COLUMN($V129))))))</f>
        <v/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130"/>
  <sheetViews>
    <sheetView workbookViewId="0">
      <selection activeCell="A1" sqref="A1"/>
    </sheetView>
  </sheetViews>
  <sheetFormatPr baseColWidth="8" defaultRowHeight="15"/>
  <sheetData>
    <row r="1">
      <c r="A1" s="108" t="inlineStr">
        <is>
          <t>BOLA DE NIEVE: se paga primero la deuda más chica</t>
        </is>
      </c>
    </row>
    <row r="2">
      <c r="A2" t="inlineStr">
        <is>
          <t>Posición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AM2" t="inlineStr">
        <is>
          <t>Meses hasta liberarte</t>
        </is>
      </c>
      <c r="AN2">
        <f>IF(AI10&lt;=0,0,IFERROR(MATCH(0,AI10:AI130,0)-1,999))</f>
        <v/>
      </c>
    </row>
    <row r="3">
      <c r="A3" t="inlineStr">
        <is>
          <t>N° de deuda</t>
        </is>
      </c>
      <c r="C3">
        <f>IFERROR(MATCH(C$2,RankB,0),0)</f>
        <v/>
      </c>
      <c r="D3">
        <f>IFERROR(MATCH(D$2,RankB,0),0)</f>
        <v/>
      </c>
      <c r="E3">
        <f>IFERROR(MATCH(E$2,RankB,0),0)</f>
        <v/>
      </c>
      <c r="F3">
        <f>IFERROR(MATCH(F$2,RankB,0),0)</f>
        <v/>
      </c>
      <c r="G3">
        <f>IFERROR(MATCH(G$2,RankB,0),0)</f>
        <v/>
      </c>
      <c r="H3">
        <f>IFERROR(MATCH(H$2,RankB,0),0)</f>
        <v/>
      </c>
      <c r="I3">
        <f>IFERROR(MATCH(I$2,RankB,0),0)</f>
        <v/>
      </c>
      <c r="J3">
        <f>IFERROR(MATCH(J$2,RankB,0),0)</f>
        <v/>
      </c>
      <c r="K3">
        <f>IFERROR(MATCH(K$2,RankB,0),0)</f>
        <v/>
      </c>
      <c r="L3">
        <f>IFERROR(MATCH(L$2,RankB,0),0)</f>
        <v/>
      </c>
      <c r="AM3" t="inlineStr">
        <is>
          <t>Intereses totales</t>
        </is>
      </c>
      <c r="AN3">
        <f>SUM(AG11:AG130)</f>
        <v/>
      </c>
    </row>
    <row r="4">
      <c r="A4" t="inlineStr">
        <is>
          <t>Saldo hoy</t>
        </is>
      </c>
      <c r="C4">
        <f>IF(C$3=0,0,INDEX(DeuSal,C$3))</f>
        <v/>
      </c>
      <c r="D4">
        <f>IF(D$3=0,0,INDEX(DeuSal,D$3))</f>
        <v/>
      </c>
      <c r="E4">
        <f>IF(E$3=0,0,INDEX(DeuSal,E$3))</f>
        <v/>
      </c>
      <c r="F4">
        <f>IF(F$3=0,0,INDEX(DeuSal,F$3))</f>
        <v/>
      </c>
      <c r="G4">
        <f>IF(G$3=0,0,INDEX(DeuSal,G$3))</f>
        <v/>
      </c>
      <c r="H4">
        <f>IF(H$3=0,0,INDEX(DeuSal,H$3))</f>
        <v/>
      </c>
      <c r="I4">
        <f>IF(I$3=0,0,INDEX(DeuSal,I$3))</f>
        <v/>
      </c>
      <c r="J4">
        <f>IF(J$3=0,0,INDEX(DeuSal,J$3))</f>
        <v/>
      </c>
      <c r="K4">
        <f>IF(K$3=0,0,INDEX(DeuSal,K$3))</f>
        <v/>
      </c>
      <c r="L4">
        <f>IF(L$3=0,0,INDEX(DeuSal,L$3))</f>
        <v/>
      </c>
      <c r="AM4" t="inlineStr">
        <is>
          <t>Total pagado</t>
        </is>
      </c>
      <c r="AN4">
        <f>SUM(AH11:AH130)</f>
        <v/>
      </c>
    </row>
    <row r="5">
      <c r="A5" t="inlineStr">
        <is>
          <t>Tasa mensual</t>
        </is>
      </c>
      <c r="C5">
        <f>IF(C$3=0,0,INDEX(DeuTasa,C$3)/12)</f>
        <v/>
      </c>
      <c r="D5">
        <f>IF(D$3=0,0,INDEX(DeuTasa,D$3)/12)</f>
        <v/>
      </c>
      <c r="E5">
        <f>IF(E$3=0,0,INDEX(DeuTasa,E$3)/12)</f>
        <v/>
      </c>
      <c r="F5">
        <f>IF(F$3=0,0,INDEX(DeuTasa,F$3)/12)</f>
        <v/>
      </c>
      <c r="G5">
        <f>IF(G$3=0,0,INDEX(DeuTasa,G$3)/12)</f>
        <v/>
      </c>
      <c r="H5">
        <f>IF(H$3=0,0,INDEX(DeuTasa,H$3)/12)</f>
        <v/>
      </c>
      <c r="I5">
        <f>IF(I$3=0,0,INDEX(DeuTasa,I$3)/12)</f>
        <v/>
      </c>
      <c r="J5">
        <f>IF(J$3=0,0,INDEX(DeuTasa,J$3)/12)</f>
        <v/>
      </c>
      <c r="K5">
        <f>IF(K$3=0,0,INDEX(DeuTasa,K$3)/12)</f>
        <v/>
      </c>
      <c r="L5">
        <f>IF(L$3=0,0,INDEX(DeuTasa,L$3)/12)</f>
        <v/>
      </c>
    </row>
    <row r="6">
      <c r="A6" t="inlineStr">
        <is>
          <t>Cuota</t>
        </is>
      </c>
      <c r="C6">
        <f>IF(C$3=0,0,INDEX(DeuCuota,C$3))</f>
        <v/>
      </c>
      <c r="D6">
        <f>IF(D$3=0,0,INDEX(DeuCuota,D$3))</f>
        <v/>
      </c>
      <c r="E6">
        <f>IF(E$3=0,0,INDEX(DeuCuota,E$3))</f>
        <v/>
      </c>
      <c r="F6">
        <f>IF(F$3=0,0,INDEX(DeuCuota,F$3))</f>
        <v/>
      </c>
      <c r="G6">
        <f>IF(G$3=0,0,INDEX(DeuCuota,G$3))</f>
        <v/>
      </c>
      <c r="H6">
        <f>IF(H$3=0,0,INDEX(DeuCuota,H$3))</f>
        <v/>
      </c>
      <c r="I6">
        <f>IF(I$3=0,0,INDEX(DeuCuota,I$3))</f>
        <v/>
      </c>
      <c r="J6">
        <f>IF(J$3=0,0,INDEX(DeuCuota,J$3))</f>
        <v/>
      </c>
      <c r="K6">
        <f>IF(K$3=0,0,INDEX(DeuCuota,K$3))</f>
        <v/>
      </c>
      <c r="L6">
        <f>IF(L$3=0,0,INDEX(DeuCuota,L$3))</f>
        <v/>
      </c>
    </row>
    <row r="7">
      <c r="A7" t="inlineStr">
        <is>
          <t>Deuda</t>
        </is>
      </c>
      <c r="C7">
        <f>IF(C$4&gt;0,INDEX(DeuNom,C$3)&amp;"","")</f>
        <v/>
      </c>
      <c r="D7">
        <f>IF(D$4&gt;0,INDEX(DeuNom,D$3)&amp;"","")</f>
        <v/>
      </c>
      <c r="E7">
        <f>IF(E$4&gt;0,INDEX(DeuNom,E$3)&amp;"","")</f>
        <v/>
      </c>
      <c r="F7">
        <f>IF(F$4&gt;0,INDEX(DeuNom,F$3)&amp;"","")</f>
        <v/>
      </c>
      <c r="G7">
        <f>IF(G$4&gt;0,INDEX(DeuNom,G$3)&amp;"","")</f>
        <v/>
      </c>
      <c r="H7">
        <f>IF(H$4&gt;0,INDEX(DeuNom,H$3)&amp;"","")</f>
        <v/>
      </c>
      <c r="I7">
        <f>IF(I$4&gt;0,INDEX(DeuNom,I$3)&amp;"","")</f>
        <v/>
      </c>
      <c r="J7">
        <f>IF(J$4&gt;0,INDEX(DeuNom,J$3)&amp;"","")</f>
        <v/>
      </c>
      <c r="K7">
        <f>IF(K$4&gt;0,INDEX(DeuNom,K$3)&amp;"","")</f>
        <v/>
      </c>
      <c r="L7">
        <f>IF(L$4&gt;0,INDEX(DeuNom,L$3)&amp;"","")</f>
        <v/>
      </c>
    </row>
    <row r="8">
      <c r="A8" t="inlineStr">
        <is>
          <t>Termina en el mes</t>
        </is>
      </c>
      <c r="C8">
        <f>IF(C$4&lt;=0,0,IFERROR(MATCH(0,W$10:W$130,0)-1,999))</f>
        <v/>
      </c>
      <c r="D8">
        <f>IF(D$4&lt;=0,0,IFERROR(MATCH(0,X$10:X$130,0)-1,999))</f>
        <v/>
      </c>
      <c r="E8">
        <f>IF(E$4&lt;=0,0,IFERROR(MATCH(0,Y$10:Y$130,0)-1,999))</f>
        <v/>
      </c>
      <c r="F8">
        <f>IF(F$4&lt;=0,0,IFERROR(MATCH(0,Z$10:Z$130,0)-1,999))</f>
        <v/>
      </c>
      <c r="G8">
        <f>IF(G$4&lt;=0,0,IFERROR(MATCH(0,AA$10:AA$130,0)-1,999))</f>
        <v/>
      </c>
      <c r="H8">
        <f>IF(H$4&lt;=0,0,IFERROR(MATCH(0,AB$10:AB$130,0)-1,999))</f>
        <v/>
      </c>
      <c r="I8">
        <f>IF(I$4&lt;=0,0,IFERROR(MATCH(0,AC$10:AC$130,0)-1,999))</f>
        <v/>
      </c>
      <c r="J8">
        <f>IF(J$4&lt;=0,0,IFERROR(MATCH(0,AD$10:AD$130,0)-1,999))</f>
        <v/>
      </c>
      <c r="K8">
        <f>IF(K$4&lt;=0,0,IFERROR(MATCH(0,AE$10:AE$130,0)-1,999))</f>
        <v/>
      </c>
      <c r="L8">
        <f>IF(L$4&lt;=0,0,IFERROR(MATCH(0,AF$10:AF$130,0)-1,999))</f>
        <v/>
      </c>
    </row>
    <row r="9">
      <c r="A9" t="inlineStr">
        <is>
          <t>Mes</t>
        </is>
      </c>
      <c r="B9" t="inlineStr">
        <is>
          <t>Fecha</t>
        </is>
      </c>
      <c r="C9" t="inlineStr">
        <is>
          <t>Mín 1</t>
        </is>
      </c>
      <c r="D9" t="inlineStr">
        <is>
          <t>Mín 2</t>
        </is>
      </c>
      <c r="E9" t="inlineStr">
        <is>
          <t>Mín 3</t>
        </is>
      </c>
      <c r="F9" t="inlineStr">
        <is>
          <t>Mín 4</t>
        </is>
      </c>
      <c r="G9" t="inlineStr">
        <is>
          <t>Mín 5</t>
        </is>
      </c>
      <c r="H9" t="inlineStr">
        <is>
          <t>Mín 6</t>
        </is>
      </c>
      <c r="I9" t="inlineStr">
        <is>
          <t>Mín 7</t>
        </is>
      </c>
      <c r="J9" t="inlineStr">
        <is>
          <t>Mín 8</t>
        </is>
      </c>
      <c r="K9" t="inlineStr">
        <is>
          <t>Mín 9</t>
        </is>
      </c>
      <c r="L9" t="inlineStr">
        <is>
          <t>Mín 10</t>
        </is>
      </c>
      <c r="M9" t="inlineStr">
        <is>
          <t>Extra 1</t>
        </is>
      </c>
      <c r="N9" t="inlineStr">
        <is>
          <t>Extra 2</t>
        </is>
      </c>
      <c r="O9" t="inlineStr">
        <is>
          <t>Extra 3</t>
        </is>
      </c>
      <c r="P9" t="inlineStr">
        <is>
          <t>Extra 4</t>
        </is>
      </c>
      <c r="Q9" t="inlineStr">
        <is>
          <t>Extra 5</t>
        </is>
      </c>
      <c r="R9" t="inlineStr">
        <is>
          <t>Extra 6</t>
        </is>
      </c>
      <c r="S9" t="inlineStr">
        <is>
          <t>Extra 7</t>
        </is>
      </c>
      <c r="T9" t="inlineStr">
        <is>
          <t>Extra 8</t>
        </is>
      </c>
      <c r="U9" t="inlineStr">
        <is>
          <t>Extra 9</t>
        </is>
      </c>
      <c r="V9" t="inlineStr">
        <is>
          <t>Extra 10</t>
        </is>
      </c>
      <c r="W9" t="inlineStr">
        <is>
          <t>Saldo 1</t>
        </is>
      </c>
      <c r="X9" t="inlineStr">
        <is>
          <t>Saldo 2</t>
        </is>
      </c>
      <c r="Y9" t="inlineStr">
        <is>
          <t>Saldo 3</t>
        </is>
      </c>
      <c r="Z9" t="inlineStr">
        <is>
          <t>Saldo 4</t>
        </is>
      </c>
      <c r="AA9" t="inlineStr">
        <is>
          <t>Saldo 5</t>
        </is>
      </c>
      <c r="AB9" t="inlineStr">
        <is>
          <t>Saldo 6</t>
        </is>
      </c>
      <c r="AC9" t="inlineStr">
        <is>
          <t>Saldo 7</t>
        </is>
      </c>
      <c r="AD9" t="inlineStr">
        <is>
          <t>Saldo 8</t>
        </is>
      </c>
      <c r="AE9" t="inlineStr">
        <is>
          <t>Saldo 9</t>
        </is>
      </c>
      <c r="AF9" t="inlineStr">
        <is>
          <t>Saldo 10</t>
        </is>
      </c>
      <c r="AG9" t="inlineStr">
        <is>
          <t>Intereses</t>
        </is>
      </c>
      <c r="AH9" t="inlineStr">
        <is>
          <t>Pago total</t>
        </is>
      </c>
      <c r="AI9" t="inlineStr">
        <is>
          <t>Saldo total</t>
        </is>
      </c>
      <c r="AJ9" t="inlineStr">
        <is>
          <t>Pozo extra</t>
        </is>
      </c>
      <c r="AK9" t="inlineStr">
        <is>
          <t>Objetivo</t>
        </is>
      </c>
    </row>
    <row r="10">
      <c r="A10" t="n">
        <v>0</v>
      </c>
      <c r="B10" t="inlineStr">
        <is>
          <t>Hoy</t>
        </is>
      </c>
      <c r="W10">
        <f>C$4</f>
        <v/>
      </c>
      <c r="X10">
        <f>D$4</f>
        <v/>
      </c>
      <c r="Y10">
        <f>E$4</f>
        <v/>
      </c>
      <c r="Z10">
        <f>F$4</f>
        <v/>
      </c>
      <c r="AA10">
        <f>G$4</f>
        <v/>
      </c>
      <c r="AB10">
        <f>H$4</f>
        <v/>
      </c>
      <c r="AC10">
        <f>I$4</f>
        <v/>
      </c>
      <c r="AD10">
        <f>J$4</f>
        <v/>
      </c>
      <c r="AE10">
        <f>K$4</f>
        <v/>
      </c>
      <c r="AF10">
        <f>L$4</f>
        <v/>
      </c>
      <c r="AI10">
        <f>SUM(W10:AF10)</f>
        <v/>
      </c>
    </row>
    <row r="11">
      <c r="A11" t="n">
        <v>1</v>
      </c>
      <c r="B11">
        <f>DATE(YEAR(InicioEf),MONTH(InicioEf)+A11-1,1)</f>
        <v/>
      </c>
      <c r="C11">
        <f>MIN(C$6,ROUND(W10*(1+C$5),0))</f>
        <v/>
      </c>
      <c r="D11">
        <f>MIN(D$6,ROUND(X10*(1+D$5),0))</f>
        <v/>
      </c>
      <c r="E11">
        <f>MIN(E$6,ROUND(Y10*(1+E$5),0))</f>
        <v/>
      </c>
      <c r="F11">
        <f>MIN(F$6,ROUND(Z10*(1+F$5),0))</f>
        <v/>
      </c>
      <c r="G11">
        <f>MIN(G$6,ROUND(AA10*(1+G$5),0))</f>
        <v/>
      </c>
      <c r="H11">
        <f>MIN(H$6,ROUND(AB10*(1+H$5),0))</f>
        <v/>
      </c>
      <c r="I11">
        <f>MIN(I$6,ROUND(AC10*(1+I$5),0))</f>
        <v/>
      </c>
      <c r="J11">
        <f>MIN(J$6,ROUND(AD10*(1+J$5),0))</f>
        <v/>
      </c>
      <c r="K11">
        <f>MIN(K$6,ROUND(AE10*(1+K$5),0))</f>
        <v/>
      </c>
      <c r="L11">
        <f>MIN(L$6,ROUND(AF10*(1+L$5),0))</f>
        <v/>
      </c>
      <c r="M11">
        <f>MAX(0,MIN(ROUND(W10*(1+C$5),0)-C11,$AJ11-0))</f>
        <v/>
      </c>
      <c r="N11">
        <f>MAX(0,MIN(ROUND(X10*(1+D$5),0)-D11,$AJ11-SUM($M11:M11)))</f>
        <v/>
      </c>
      <c r="O11">
        <f>MAX(0,MIN(ROUND(Y10*(1+E$5),0)-E11,$AJ11-SUM($M11:N11)))</f>
        <v/>
      </c>
      <c r="P11">
        <f>MAX(0,MIN(ROUND(Z10*(1+F$5),0)-F11,$AJ11-SUM($M11:O11)))</f>
        <v/>
      </c>
      <c r="Q11">
        <f>MAX(0,MIN(ROUND(AA10*(1+G$5),0)-G11,$AJ11-SUM($M11:P11)))</f>
        <v/>
      </c>
      <c r="R11">
        <f>MAX(0,MIN(ROUND(AB10*(1+H$5),0)-H11,$AJ11-SUM($M11:Q11)))</f>
        <v/>
      </c>
      <c r="S11">
        <f>MAX(0,MIN(ROUND(AC10*(1+I$5),0)-I11,$AJ11-SUM($M11:R11)))</f>
        <v/>
      </c>
      <c r="T11">
        <f>MAX(0,MIN(ROUND(AD10*(1+J$5),0)-J11,$AJ11-SUM($M11:S11)))</f>
        <v/>
      </c>
      <c r="U11">
        <f>MAX(0,MIN(ROUND(AE10*(1+K$5),0)-K11,$AJ11-SUM($M11:T11)))</f>
        <v/>
      </c>
      <c r="V11">
        <f>MAX(0,MIN(ROUND(AF10*(1+L$5),0)-L11,$AJ11-SUM($M11:U11)))</f>
        <v/>
      </c>
      <c r="W11">
        <f>MAX(0,ROUND(W10*(1+C$5),0)-C11-M11)</f>
        <v/>
      </c>
      <c r="X11">
        <f>MAX(0,ROUND(X10*(1+D$5),0)-D11-N11)</f>
        <v/>
      </c>
      <c r="Y11">
        <f>MAX(0,ROUND(Y10*(1+E$5),0)-E11-O11)</f>
        <v/>
      </c>
      <c r="Z11">
        <f>MAX(0,ROUND(Z10*(1+F$5),0)-F11-P11)</f>
        <v/>
      </c>
      <c r="AA11">
        <f>MAX(0,ROUND(AA10*(1+G$5),0)-G11-Q11)</f>
        <v/>
      </c>
      <c r="AB11">
        <f>MAX(0,ROUND(AB10*(1+H$5),0)-H11-R11)</f>
        <v/>
      </c>
      <c r="AC11">
        <f>MAX(0,ROUND(AC10*(1+I$5),0)-I11-S11)</f>
        <v/>
      </c>
      <c r="AD11">
        <f>MAX(0,ROUND(AD10*(1+J$5),0)-J11-T11)</f>
        <v/>
      </c>
      <c r="AE11">
        <f>MAX(0,ROUND(AE10*(1+K$5),0)-K11-U11)</f>
        <v/>
      </c>
      <c r="AF11">
        <f>MAX(0,ROUND(AF10*(1+L$5),0)-L11-V11)</f>
        <v/>
      </c>
      <c r="AG11">
        <f>AH11-(AI10-AI11)</f>
        <v/>
      </c>
      <c r="AH11">
        <f>SUM(C11:V11)</f>
        <v/>
      </c>
      <c r="AI11">
        <f>SUM(W11:AF11)</f>
        <v/>
      </c>
      <c r="AJ11">
        <f>MAX(0,PresTot-SUM(C11:L11))</f>
        <v/>
      </c>
      <c r="AK11">
        <f>IF(AI10&lt;=0,0,11-SUMPRODUCT(MAX((W10:AF10&gt;0)*(11-(COLUMN(W10:AF10)-COLUMN($V10))))))</f>
        <v/>
      </c>
    </row>
    <row r="12">
      <c r="A12" t="n">
        <v>2</v>
      </c>
      <c r="B12">
        <f>DATE(YEAR(InicioEf),MONTH(InicioEf)+A12-1,1)</f>
        <v/>
      </c>
      <c r="C12">
        <f>MIN(C$6,ROUND(W11*(1+C$5),0))</f>
        <v/>
      </c>
      <c r="D12">
        <f>MIN(D$6,ROUND(X11*(1+D$5),0))</f>
        <v/>
      </c>
      <c r="E12">
        <f>MIN(E$6,ROUND(Y11*(1+E$5),0))</f>
        <v/>
      </c>
      <c r="F12">
        <f>MIN(F$6,ROUND(Z11*(1+F$5),0))</f>
        <v/>
      </c>
      <c r="G12">
        <f>MIN(G$6,ROUND(AA11*(1+G$5),0))</f>
        <v/>
      </c>
      <c r="H12">
        <f>MIN(H$6,ROUND(AB11*(1+H$5),0))</f>
        <v/>
      </c>
      <c r="I12">
        <f>MIN(I$6,ROUND(AC11*(1+I$5),0))</f>
        <v/>
      </c>
      <c r="J12">
        <f>MIN(J$6,ROUND(AD11*(1+J$5),0))</f>
        <v/>
      </c>
      <c r="K12">
        <f>MIN(K$6,ROUND(AE11*(1+K$5),0))</f>
        <v/>
      </c>
      <c r="L12">
        <f>MIN(L$6,ROUND(AF11*(1+L$5),0))</f>
        <v/>
      </c>
      <c r="M12">
        <f>MAX(0,MIN(ROUND(W11*(1+C$5),0)-C12,$AJ12-0))</f>
        <v/>
      </c>
      <c r="N12">
        <f>MAX(0,MIN(ROUND(X11*(1+D$5),0)-D12,$AJ12-SUM($M12:M12)))</f>
        <v/>
      </c>
      <c r="O12">
        <f>MAX(0,MIN(ROUND(Y11*(1+E$5),0)-E12,$AJ12-SUM($M12:N12)))</f>
        <v/>
      </c>
      <c r="P12">
        <f>MAX(0,MIN(ROUND(Z11*(1+F$5),0)-F12,$AJ12-SUM($M12:O12)))</f>
        <v/>
      </c>
      <c r="Q12">
        <f>MAX(0,MIN(ROUND(AA11*(1+G$5),0)-G12,$AJ12-SUM($M12:P12)))</f>
        <v/>
      </c>
      <c r="R12">
        <f>MAX(0,MIN(ROUND(AB11*(1+H$5),0)-H12,$AJ12-SUM($M12:Q12)))</f>
        <v/>
      </c>
      <c r="S12">
        <f>MAX(0,MIN(ROUND(AC11*(1+I$5),0)-I12,$AJ12-SUM($M12:R12)))</f>
        <v/>
      </c>
      <c r="T12">
        <f>MAX(0,MIN(ROUND(AD11*(1+J$5),0)-J12,$AJ12-SUM($M12:S12)))</f>
        <v/>
      </c>
      <c r="U12">
        <f>MAX(0,MIN(ROUND(AE11*(1+K$5),0)-K12,$AJ12-SUM($M12:T12)))</f>
        <v/>
      </c>
      <c r="V12">
        <f>MAX(0,MIN(ROUND(AF11*(1+L$5),0)-L12,$AJ12-SUM($M12:U12)))</f>
        <v/>
      </c>
      <c r="W12">
        <f>MAX(0,ROUND(W11*(1+C$5),0)-C12-M12)</f>
        <v/>
      </c>
      <c r="X12">
        <f>MAX(0,ROUND(X11*(1+D$5),0)-D12-N12)</f>
        <v/>
      </c>
      <c r="Y12">
        <f>MAX(0,ROUND(Y11*(1+E$5),0)-E12-O12)</f>
        <v/>
      </c>
      <c r="Z12">
        <f>MAX(0,ROUND(Z11*(1+F$5),0)-F12-P12)</f>
        <v/>
      </c>
      <c r="AA12">
        <f>MAX(0,ROUND(AA11*(1+G$5),0)-G12-Q12)</f>
        <v/>
      </c>
      <c r="AB12">
        <f>MAX(0,ROUND(AB11*(1+H$5),0)-H12-R12)</f>
        <v/>
      </c>
      <c r="AC12">
        <f>MAX(0,ROUND(AC11*(1+I$5),0)-I12-S12)</f>
        <v/>
      </c>
      <c r="AD12">
        <f>MAX(0,ROUND(AD11*(1+J$5),0)-J12-T12)</f>
        <v/>
      </c>
      <c r="AE12">
        <f>MAX(0,ROUND(AE11*(1+K$5),0)-K12-U12)</f>
        <v/>
      </c>
      <c r="AF12">
        <f>MAX(0,ROUND(AF11*(1+L$5),0)-L12-V12)</f>
        <v/>
      </c>
      <c r="AG12">
        <f>AH12-(AI11-AI12)</f>
        <v/>
      </c>
      <c r="AH12">
        <f>SUM(C12:V12)</f>
        <v/>
      </c>
      <c r="AI12">
        <f>SUM(W12:AF12)</f>
        <v/>
      </c>
      <c r="AJ12">
        <f>MAX(0,PresTot-SUM(C12:L12))</f>
        <v/>
      </c>
      <c r="AK12">
        <f>IF(AI11&lt;=0,0,11-SUMPRODUCT(MAX((W11:AF11&gt;0)*(11-(COLUMN(W11:AF11)-COLUMN($V11))))))</f>
        <v/>
      </c>
    </row>
    <row r="13">
      <c r="A13" t="n">
        <v>3</v>
      </c>
      <c r="B13">
        <f>DATE(YEAR(InicioEf),MONTH(InicioEf)+A13-1,1)</f>
        <v/>
      </c>
      <c r="C13">
        <f>MIN(C$6,ROUND(W12*(1+C$5),0))</f>
        <v/>
      </c>
      <c r="D13">
        <f>MIN(D$6,ROUND(X12*(1+D$5),0))</f>
        <v/>
      </c>
      <c r="E13">
        <f>MIN(E$6,ROUND(Y12*(1+E$5),0))</f>
        <v/>
      </c>
      <c r="F13">
        <f>MIN(F$6,ROUND(Z12*(1+F$5),0))</f>
        <v/>
      </c>
      <c r="G13">
        <f>MIN(G$6,ROUND(AA12*(1+G$5),0))</f>
        <v/>
      </c>
      <c r="H13">
        <f>MIN(H$6,ROUND(AB12*(1+H$5),0))</f>
        <v/>
      </c>
      <c r="I13">
        <f>MIN(I$6,ROUND(AC12*(1+I$5),0))</f>
        <v/>
      </c>
      <c r="J13">
        <f>MIN(J$6,ROUND(AD12*(1+J$5),0))</f>
        <v/>
      </c>
      <c r="K13">
        <f>MIN(K$6,ROUND(AE12*(1+K$5),0))</f>
        <v/>
      </c>
      <c r="L13">
        <f>MIN(L$6,ROUND(AF12*(1+L$5),0))</f>
        <v/>
      </c>
      <c r="M13">
        <f>MAX(0,MIN(ROUND(W12*(1+C$5),0)-C13,$AJ13-0))</f>
        <v/>
      </c>
      <c r="N13">
        <f>MAX(0,MIN(ROUND(X12*(1+D$5),0)-D13,$AJ13-SUM($M13:M13)))</f>
        <v/>
      </c>
      <c r="O13">
        <f>MAX(0,MIN(ROUND(Y12*(1+E$5),0)-E13,$AJ13-SUM($M13:N13)))</f>
        <v/>
      </c>
      <c r="P13">
        <f>MAX(0,MIN(ROUND(Z12*(1+F$5),0)-F13,$AJ13-SUM($M13:O13)))</f>
        <v/>
      </c>
      <c r="Q13">
        <f>MAX(0,MIN(ROUND(AA12*(1+G$5),0)-G13,$AJ13-SUM($M13:P13)))</f>
        <v/>
      </c>
      <c r="R13">
        <f>MAX(0,MIN(ROUND(AB12*(1+H$5),0)-H13,$AJ13-SUM($M13:Q13)))</f>
        <v/>
      </c>
      <c r="S13">
        <f>MAX(0,MIN(ROUND(AC12*(1+I$5),0)-I13,$AJ13-SUM($M13:R13)))</f>
        <v/>
      </c>
      <c r="T13">
        <f>MAX(0,MIN(ROUND(AD12*(1+J$5),0)-J13,$AJ13-SUM($M13:S13)))</f>
        <v/>
      </c>
      <c r="U13">
        <f>MAX(0,MIN(ROUND(AE12*(1+K$5),0)-K13,$AJ13-SUM($M13:T13)))</f>
        <v/>
      </c>
      <c r="V13">
        <f>MAX(0,MIN(ROUND(AF12*(1+L$5),0)-L13,$AJ13-SUM($M13:U13)))</f>
        <v/>
      </c>
      <c r="W13">
        <f>MAX(0,ROUND(W12*(1+C$5),0)-C13-M13)</f>
        <v/>
      </c>
      <c r="X13">
        <f>MAX(0,ROUND(X12*(1+D$5),0)-D13-N13)</f>
        <v/>
      </c>
      <c r="Y13">
        <f>MAX(0,ROUND(Y12*(1+E$5),0)-E13-O13)</f>
        <v/>
      </c>
      <c r="Z13">
        <f>MAX(0,ROUND(Z12*(1+F$5),0)-F13-P13)</f>
        <v/>
      </c>
      <c r="AA13">
        <f>MAX(0,ROUND(AA12*(1+G$5),0)-G13-Q13)</f>
        <v/>
      </c>
      <c r="AB13">
        <f>MAX(0,ROUND(AB12*(1+H$5),0)-H13-R13)</f>
        <v/>
      </c>
      <c r="AC13">
        <f>MAX(0,ROUND(AC12*(1+I$5),0)-I13-S13)</f>
        <v/>
      </c>
      <c r="AD13">
        <f>MAX(0,ROUND(AD12*(1+J$5),0)-J13-T13)</f>
        <v/>
      </c>
      <c r="AE13">
        <f>MAX(0,ROUND(AE12*(1+K$5),0)-K13-U13)</f>
        <v/>
      </c>
      <c r="AF13">
        <f>MAX(0,ROUND(AF12*(1+L$5),0)-L13-V13)</f>
        <v/>
      </c>
      <c r="AG13">
        <f>AH13-(AI12-AI13)</f>
        <v/>
      </c>
      <c r="AH13">
        <f>SUM(C13:V13)</f>
        <v/>
      </c>
      <c r="AI13">
        <f>SUM(W13:AF13)</f>
        <v/>
      </c>
      <c r="AJ13">
        <f>MAX(0,PresTot-SUM(C13:L13))</f>
        <v/>
      </c>
      <c r="AK13">
        <f>IF(AI12&lt;=0,0,11-SUMPRODUCT(MAX((W12:AF12&gt;0)*(11-(COLUMN(W12:AF12)-COLUMN($V12))))))</f>
        <v/>
      </c>
    </row>
    <row r="14">
      <c r="A14" t="n">
        <v>4</v>
      </c>
      <c r="B14">
        <f>DATE(YEAR(InicioEf),MONTH(InicioEf)+A14-1,1)</f>
        <v/>
      </c>
      <c r="C14">
        <f>MIN(C$6,ROUND(W13*(1+C$5),0))</f>
        <v/>
      </c>
      <c r="D14">
        <f>MIN(D$6,ROUND(X13*(1+D$5),0))</f>
        <v/>
      </c>
      <c r="E14">
        <f>MIN(E$6,ROUND(Y13*(1+E$5),0))</f>
        <v/>
      </c>
      <c r="F14">
        <f>MIN(F$6,ROUND(Z13*(1+F$5),0))</f>
        <v/>
      </c>
      <c r="G14">
        <f>MIN(G$6,ROUND(AA13*(1+G$5),0))</f>
        <v/>
      </c>
      <c r="H14">
        <f>MIN(H$6,ROUND(AB13*(1+H$5),0))</f>
        <v/>
      </c>
      <c r="I14">
        <f>MIN(I$6,ROUND(AC13*(1+I$5),0))</f>
        <v/>
      </c>
      <c r="J14">
        <f>MIN(J$6,ROUND(AD13*(1+J$5),0))</f>
        <v/>
      </c>
      <c r="K14">
        <f>MIN(K$6,ROUND(AE13*(1+K$5),0))</f>
        <v/>
      </c>
      <c r="L14">
        <f>MIN(L$6,ROUND(AF13*(1+L$5),0))</f>
        <v/>
      </c>
      <c r="M14">
        <f>MAX(0,MIN(ROUND(W13*(1+C$5),0)-C14,$AJ14-0))</f>
        <v/>
      </c>
      <c r="N14">
        <f>MAX(0,MIN(ROUND(X13*(1+D$5),0)-D14,$AJ14-SUM($M14:M14)))</f>
        <v/>
      </c>
      <c r="O14">
        <f>MAX(0,MIN(ROUND(Y13*(1+E$5),0)-E14,$AJ14-SUM($M14:N14)))</f>
        <v/>
      </c>
      <c r="P14">
        <f>MAX(0,MIN(ROUND(Z13*(1+F$5),0)-F14,$AJ14-SUM($M14:O14)))</f>
        <v/>
      </c>
      <c r="Q14">
        <f>MAX(0,MIN(ROUND(AA13*(1+G$5),0)-G14,$AJ14-SUM($M14:P14)))</f>
        <v/>
      </c>
      <c r="R14">
        <f>MAX(0,MIN(ROUND(AB13*(1+H$5),0)-H14,$AJ14-SUM($M14:Q14)))</f>
        <v/>
      </c>
      <c r="S14">
        <f>MAX(0,MIN(ROUND(AC13*(1+I$5),0)-I14,$AJ14-SUM($M14:R14)))</f>
        <v/>
      </c>
      <c r="T14">
        <f>MAX(0,MIN(ROUND(AD13*(1+J$5),0)-J14,$AJ14-SUM($M14:S14)))</f>
        <v/>
      </c>
      <c r="U14">
        <f>MAX(0,MIN(ROUND(AE13*(1+K$5),0)-K14,$AJ14-SUM($M14:T14)))</f>
        <v/>
      </c>
      <c r="V14">
        <f>MAX(0,MIN(ROUND(AF13*(1+L$5),0)-L14,$AJ14-SUM($M14:U14)))</f>
        <v/>
      </c>
      <c r="W14">
        <f>MAX(0,ROUND(W13*(1+C$5),0)-C14-M14)</f>
        <v/>
      </c>
      <c r="X14">
        <f>MAX(0,ROUND(X13*(1+D$5),0)-D14-N14)</f>
        <v/>
      </c>
      <c r="Y14">
        <f>MAX(0,ROUND(Y13*(1+E$5),0)-E14-O14)</f>
        <v/>
      </c>
      <c r="Z14">
        <f>MAX(0,ROUND(Z13*(1+F$5),0)-F14-P14)</f>
        <v/>
      </c>
      <c r="AA14">
        <f>MAX(0,ROUND(AA13*(1+G$5),0)-G14-Q14)</f>
        <v/>
      </c>
      <c r="AB14">
        <f>MAX(0,ROUND(AB13*(1+H$5),0)-H14-R14)</f>
        <v/>
      </c>
      <c r="AC14">
        <f>MAX(0,ROUND(AC13*(1+I$5),0)-I14-S14)</f>
        <v/>
      </c>
      <c r="AD14">
        <f>MAX(0,ROUND(AD13*(1+J$5),0)-J14-T14)</f>
        <v/>
      </c>
      <c r="AE14">
        <f>MAX(0,ROUND(AE13*(1+K$5),0)-K14-U14)</f>
        <v/>
      </c>
      <c r="AF14">
        <f>MAX(0,ROUND(AF13*(1+L$5),0)-L14-V14)</f>
        <v/>
      </c>
      <c r="AG14">
        <f>AH14-(AI13-AI14)</f>
        <v/>
      </c>
      <c r="AH14">
        <f>SUM(C14:V14)</f>
        <v/>
      </c>
      <c r="AI14">
        <f>SUM(W14:AF14)</f>
        <v/>
      </c>
      <c r="AJ14">
        <f>MAX(0,PresTot-SUM(C14:L14))</f>
        <v/>
      </c>
      <c r="AK14">
        <f>IF(AI13&lt;=0,0,11-SUMPRODUCT(MAX((W13:AF13&gt;0)*(11-(COLUMN(W13:AF13)-COLUMN($V13))))))</f>
        <v/>
      </c>
    </row>
    <row r="15">
      <c r="A15" t="n">
        <v>5</v>
      </c>
      <c r="B15">
        <f>DATE(YEAR(InicioEf),MONTH(InicioEf)+A15-1,1)</f>
        <v/>
      </c>
      <c r="C15">
        <f>MIN(C$6,ROUND(W14*(1+C$5),0))</f>
        <v/>
      </c>
      <c r="D15">
        <f>MIN(D$6,ROUND(X14*(1+D$5),0))</f>
        <v/>
      </c>
      <c r="E15">
        <f>MIN(E$6,ROUND(Y14*(1+E$5),0))</f>
        <v/>
      </c>
      <c r="F15">
        <f>MIN(F$6,ROUND(Z14*(1+F$5),0))</f>
        <v/>
      </c>
      <c r="G15">
        <f>MIN(G$6,ROUND(AA14*(1+G$5),0))</f>
        <v/>
      </c>
      <c r="H15">
        <f>MIN(H$6,ROUND(AB14*(1+H$5),0))</f>
        <v/>
      </c>
      <c r="I15">
        <f>MIN(I$6,ROUND(AC14*(1+I$5),0))</f>
        <v/>
      </c>
      <c r="J15">
        <f>MIN(J$6,ROUND(AD14*(1+J$5),0))</f>
        <v/>
      </c>
      <c r="K15">
        <f>MIN(K$6,ROUND(AE14*(1+K$5),0))</f>
        <v/>
      </c>
      <c r="L15">
        <f>MIN(L$6,ROUND(AF14*(1+L$5),0))</f>
        <v/>
      </c>
      <c r="M15">
        <f>MAX(0,MIN(ROUND(W14*(1+C$5),0)-C15,$AJ15-0))</f>
        <v/>
      </c>
      <c r="N15">
        <f>MAX(0,MIN(ROUND(X14*(1+D$5),0)-D15,$AJ15-SUM($M15:M15)))</f>
        <v/>
      </c>
      <c r="O15">
        <f>MAX(0,MIN(ROUND(Y14*(1+E$5),0)-E15,$AJ15-SUM($M15:N15)))</f>
        <v/>
      </c>
      <c r="P15">
        <f>MAX(0,MIN(ROUND(Z14*(1+F$5),0)-F15,$AJ15-SUM($M15:O15)))</f>
        <v/>
      </c>
      <c r="Q15">
        <f>MAX(0,MIN(ROUND(AA14*(1+G$5),0)-G15,$AJ15-SUM($M15:P15)))</f>
        <v/>
      </c>
      <c r="R15">
        <f>MAX(0,MIN(ROUND(AB14*(1+H$5),0)-H15,$AJ15-SUM($M15:Q15)))</f>
        <v/>
      </c>
      <c r="S15">
        <f>MAX(0,MIN(ROUND(AC14*(1+I$5),0)-I15,$AJ15-SUM($M15:R15)))</f>
        <v/>
      </c>
      <c r="T15">
        <f>MAX(0,MIN(ROUND(AD14*(1+J$5),0)-J15,$AJ15-SUM($M15:S15)))</f>
        <v/>
      </c>
      <c r="U15">
        <f>MAX(0,MIN(ROUND(AE14*(1+K$5),0)-K15,$AJ15-SUM($M15:T15)))</f>
        <v/>
      </c>
      <c r="V15">
        <f>MAX(0,MIN(ROUND(AF14*(1+L$5),0)-L15,$AJ15-SUM($M15:U15)))</f>
        <v/>
      </c>
      <c r="W15">
        <f>MAX(0,ROUND(W14*(1+C$5),0)-C15-M15)</f>
        <v/>
      </c>
      <c r="X15">
        <f>MAX(0,ROUND(X14*(1+D$5),0)-D15-N15)</f>
        <v/>
      </c>
      <c r="Y15">
        <f>MAX(0,ROUND(Y14*(1+E$5),0)-E15-O15)</f>
        <v/>
      </c>
      <c r="Z15">
        <f>MAX(0,ROUND(Z14*(1+F$5),0)-F15-P15)</f>
        <v/>
      </c>
      <c r="AA15">
        <f>MAX(0,ROUND(AA14*(1+G$5),0)-G15-Q15)</f>
        <v/>
      </c>
      <c r="AB15">
        <f>MAX(0,ROUND(AB14*(1+H$5),0)-H15-R15)</f>
        <v/>
      </c>
      <c r="AC15">
        <f>MAX(0,ROUND(AC14*(1+I$5),0)-I15-S15)</f>
        <v/>
      </c>
      <c r="AD15">
        <f>MAX(0,ROUND(AD14*(1+J$5),0)-J15-T15)</f>
        <v/>
      </c>
      <c r="AE15">
        <f>MAX(0,ROUND(AE14*(1+K$5),0)-K15-U15)</f>
        <v/>
      </c>
      <c r="AF15">
        <f>MAX(0,ROUND(AF14*(1+L$5),0)-L15-V15)</f>
        <v/>
      </c>
      <c r="AG15">
        <f>AH15-(AI14-AI15)</f>
        <v/>
      </c>
      <c r="AH15">
        <f>SUM(C15:V15)</f>
        <v/>
      </c>
      <c r="AI15">
        <f>SUM(W15:AF15)</f>
        <v/>
      </c>
      <c r="AJ15">
        <f>MAX(0,PresTot-SUM(C15:L15))</f>
        <v/>
      </c>
      <c r="AK15">
        <f>IF(AI14&lt;=0,0,11-SUMPRODUCT(MAX((W14:AF14&gt;0)*(11-(COLUMN(W14:AF14)-COLUMN($V14))))))</f>
        <v/>
      </c>
    </row>
    <row r="16">
      <c r="A16" t="n">
        <v>6</v>
      </c>
      <c r="B16">
        <f>DATE(YEAR(InicioEf),MONTH(InicioEf)+A16-1,1)</f>
        <v/>
      </c>
      <c r="C16">
        <f>MIN(C$6,ROUND(W15*(1+C$5),0))</f>
        <v/>
      </c>
      <c r="D16">
        <f>MIN(D$6,ROUND(X15*(1+D$5),0))</f>
        <v/>
      </c>
      <c r="E16">
        <f>MIN(E$6,ROUND(Y15*(1+E$5),0))</f>
        <v/>
      </c>
      <c r="F16">
        <f>MIN(F$6,ROUND(Z15*(1+F$5),0))</f>
        <v/>
      </c>
      <c r="G16">
        <f>MIN(G$6,ROUND(AA15*(1+G$5),0))</f>
        <v/>
      </c>
      <c r="H16">
        <f>MIN(H$6,ROUND(AB15*(1+H$5),0))</f>
        <v/>
      </c>
      <c r="I16">
        <f>MIN(I$6,ROUND(AC15*(1+I$5),0))</f>
        <v/>
      </c>
      <c r="J16">
        <f>MIN(J$6,ROUND(AD15*(1+J$5),0))</f>
        <v/>
      </c>
      <c r="K16">
        <f>MIN(K$6,ROUND(AE15*(1+K$5),0))</f>
        <v/>
      </c>
      <c r="L16">
        <f>MIN(L$6,ROUND(AF15*(1+L$5),0))</f>
        <v/>
      </c>
      <c r="M16">
        <f>MAX(0,MIN(ROUND(W15*(1+C$5),0)-C16,$AJ16-0))</f>
        <v/>
      </c>
      <c r="N16">
        <f>MAX(0,MIN(ROUND(X15*(1+D$5),0)-D16,$AJ16-SUM($M16:M16)))</f>
        <v/>
      </c>
      <c r="O16">
        <f>MAX(0,MIN(ROUND(Y15*(1+E$5),0)-E16,$AJ16-SUM($M16:N16)))</f>
        <v/>
      </c>
      <c r="P16">
        <f>MAX(0,MIN(ROUND(Z15*(1+F$5),0)-F16,$AJ16-SUM($M16:O16)))</f>
        <v/>
      </c>
      <c r="Q16">
        <f>MAX(0,MIN(ROUND(AA15*(1+G$5),0)-G16,$AJ16-SUM($M16:P16)))</f>
        <v/>
      </c>
      <c r="R16">
        <f>MAX(0,MIN(ROUND(AB15*(1+H$5),0)-H16,$AJ16-SUM($M16:Q16)))</f>
        <v/>
      </c>
      <c r="S16">
        <f>MAX(0,MIN(ROUND(AC15*(1+I$5),0)-I16,$AJ16-SUM($M16:R16)))</f>
        <v/>
      </c>
      <c r="T16">
        <f>MAX(0,MIN(ROUND(AD15*(1+J$5),0)-J16,$AJ16-SUM($M16:S16)))</f>
        <v/>
      </c>
      <c r="U16">
        <f>MAX(0,MIN(ROUND(AE15*(1+K$5),0)-K16,$AJ16-SUM($M16:T16)))</f>
        <v/>
      </c>
      <c r="V16">
        <f>MAX(0,MIN(ROUND(AF15*(1+L$5),0)-L16,$AJ16-SUM($M16:U16)))</f>
        <v/>
      </c>
      <c r="W16">
        <f>MAX(0,ROUND(W15*(1+C$5),0)-C16-M16)</f>
        <v/>
      </c>
      <c r="X16">
        <f>MAX(0,ROUND(X15*(1+D$5),0)-D16-N16)</f>
        <v/>
      </c>
      <c r="Y16">
        <f>MAX(0,ROUND(Y15*(1+E$5),0)-E16-O16)</f>
        <v/>
      </c>
      <c r="Z16">
        <f>MAX(0,ROUND(Z15*(1+F$5),0)-F16-P16)</f>
        <v/>
      </c>
      <c r="AA16">
        <f>MAX(0,ROUND(AA15*(1+G$5),0)-G16-Q16)</f>
        <v/>
      </c>
      <c r="AB16">
        <f>MAX(0,ROUND(AB15*(1+H$5),0)-H16-R16)</f>
        <v/>
      </c>
      <c r="AC16">
        <f>MAX(0,ROUND(AC15*(1+I$5),0)-I16-S16)</f>
        <v/>
      </c>
      <c r="AD16">
        <f>MAX(0,ROUND(AD15*(1+J$5),0)-J16-T16)</f>
        <v/>
      </c>
      <c r="AE16">
        <f>MAX(0,ROUND(AE15*(1+K$5),0)-K16-U16)</f>
        <v/>
      </c>
      <c r="AF16">
        <f>MAX(0,ROUND(AF15*(1+L$5),0)-L16-V16)</f>
        <v/>
      </c>
      <c r="AG16">
        <f>AH16-(AI15-AI16)</f>
        <v/>
      </c>
      <c r="AH16">
        <f>SUM(C16:V16)</f>
        <v/>
      </c>
      <c r="AI16">
        <f>SUM(W16:AF16)</f>
        <v/>
      </c>
      <c r="AJ16">
        <f>MAX(0,PresTot-SUM(C16:L16))</f>
        <v/>
      </c>
      <c r="AK16">
        <f>IF(AI15&lt;=0,0,11-SUMPRODUCT(MAX((W15:AF15&gt;0)*(11-(COLUMN(W15:AF15)-COLUMN($V15))))))</f>
        <v/>
      </c>
    </row>
    <row r="17">
      <c r="A17" t="n">
        <v>7</v>
      </c>
      <c r="B17">
        <f>DATE(YEAR(InicioEf),MONTH(InicioEf)+A17-1,1)</f>
        <v/>
      </c>
      <c r="C17">
        <f>MIN(C$6,ROUND(W16*(1+C$5),0))</f>
        <v/>
      </c>
      <c r="D17">
        <f>MIN(D$6,ROUND(X16*(1+D$5),0))</f>
        <v/>
      </c>
      <c r="E17">
        <f>MIN(E$6,ROUND(Y16*(1+E$5),0))</f>
        <v/>
      </c>
      <c r="F17">
        <f>MIN(F$6,ROUND(Z16*(1+F$5),0))</f>
        <v/>
      </c>
      <c r="G17">
        <f>MIN(G$6,ROUND(AA16*(1+G$5),0))</f>
        <v/>
      </c>
      <c r="H17">
        <f>MIN(H$6,ROUND(AB16*(1+H$5),0))</f>
        <v/>
      </c>
      <c r="I17">
        <f>MIN(I$6,ROUND(AC16*(1+I$5),0))</f>
        <v/>
      </c>
      <c r="J17">
        <f>MIN(J$6,ROUND(AD16*(1+J$5),0))</f>
        <v/>
      </c>
      <c r="K17">
        <f>MIN(K$6,ROUND(AE16*(1+K$5),0))</f>
        <v/>
      </c>
      <c r="L17">
        <f>MIN(L$6,ROUND(AF16*(1+L$5),0))</f>
        <v/>
      </c>
      <c r="M17">
        <f>MAX(0,MIN(ROUND(W16*(1+C$5),0)-C17,$AJ17-0))</f>
        <v/>
      </c>
      <c r="N17">
        <f>MAX(0,MIN(ROUND(X16*(1+D$5),0)-D17,$AJ17-SUM($M17:M17)))</f>
        <v/>
      </c>
      <c r="O17">
        <f>MAX(0,MIN(ROUND(Y16*(1+E$5),0)-E17,$AJ17-SUM($M17:N17)))</f>
        <v/>
      </c>
      <c r="P17">
        <f>MAX(0,MIN(ROUND(Z16*(1+F$5),0)-F17,$AJ17-SUM($M17:O17)))</f>
        <v/>
      </c>
      <c r="Q17">
        <f>MAX(0,MIN(ROUND(AA16*(1+G$5),0)-G17,$AJ17-SUM($M17:P17)))</f>
        <v/>
      </c>
      <c r="R17">
        <f>MAX(0,MIN(ROUND(AB16*(1+H$5),0)-H17,$AJ17-SUM($M17:Q17)))</f>
        <v/>
      </c>
      <c r="S17">
        <f>MAX(0,MIN(ROUND(AC16*(1+I$5),0)-I17,$AJ17-SUM($M17:R17)))</f>
        <v/>
      </c>
      <c r="T17">
        <f>MAX(0,MIN(ROUND(AD16*(1+J$5),0)-J17,$AJ17-SUM($M17:S17)))</f>
        <v/>
      </c>
      <c r="U17">
        <f>MAX(0,MIN(ROUND(AE16*(1+K$5),0)-K17,$AJ17-SUM($M17:T17)))</f>
        <v/>
      </c>
      <c r="V17">
        <f>MAX(0,MIN(ROUND(AF16*(1+L$5),0)-L17,$AJ17-SUM($M17:U17)))</f>
        <v/>
      </c>
      <c r="W17">
        <f>MAX(0,ROUND(W16*(1+C$5),0)-C17-M17)</f>
        <v/>
      </c>
      <c r="X17">
        <f>MAX(0,ROUND(X16*(1+D$5),0)-D17-N17)</f>
        <v/>
      </c>
      <c r="Y17">
        <f>MAX(0,ROUND(Y16*(1+E$5),0)-E17-O17)</f>
        <v/>
      </c>
      <c r="Z17">
        <f>MAX(0,ROUND(Z16*(1+F$5),0)-F17-P17)</f>
        <v/>
      </c>
      <c r="AA17">
        <f>MAX(0,ROUND(AA16*(1+G$5),0)-G17-Q17)</f>
        <v/>
      </c>
      <c r="AB17">
        <f>MAX(0,ROUND(AB16*(1+H$5),0)-H17-R17)</f>
        <v/>
      </c>
      <c r="AC17">
        <f>MAX(0,ROUND(AC16*(1+I$5),0)-I17-S17)</f>
        <v/>
      </c>
      <c r="AD17">
        <f>MAX(0,ROUND(AD16*(1+J$5),0)-J17-T17)</f>
        <v/>
      </c>
      <c r="AE17">
        <f>MAX(0,ROUND(AE16*(1+K$5),0)-K17-U17)</f>
        <v/>
      </c>
      <c r="AF17">
        <f>MAX(0,ROUND(AF16*(1+L$5),0)-L17-V17)</f>
        <v/>
      </c>
      <c r="AG17">
        <f>AH17-(AI16-AI17)</f>
        <v/>
      </c>
      <c r="AH17">
        <f>SUM(C17:V17)</f>
        <v/>
      </c>
      <c r="AI17">
        <f>SUM(W17:AF17)</f>
        <v/>
      </c>
      <c r="AJ17">
        <f>MAX(0,PresTot-SUM(C17:L17))</f>
        <v/>
      </c>
      <c r="AK17">
        <f>IF(AI16&lt;=0,0,11-SUMPRODUCT(MAX((W16:AF16&gt;0)*(11-(COLUMN(W16:AF16)-COLUMN($V16))))))</f>
        <v/>
      </c>
    </row>
    <row r="18">
      <c r="A18" t="n">
        <v>8</v>
      </c>
      <c r="B18">
        <f>DATE(YEAR(InicioEf),MONTH(InicioEf)+A18-1,1)</f>
        <v/>
      </c>
      <c r="C18">
        <f>MIN(C$6,ROUND(W17*(1+C$5),0))</f>
        <v/>
      </c>
      <c r="D18">
        <f>MIN(D$6,ROUND(X17*(1+D$5),0))</f>
        <v/>
      </c>
      <c r="E18">
        <f>MIN(E$6,ROUND(Y17*(1+E$5),0))</f>
        <v/>
      </c>
      <c r="F18">
        <f>MIN(F$6,ROUND(Z17*(1+F$5),0))</f>
        <v/>
      </c>
      <c r="G18">
        <f>MIN(G$6,ROUND(AA17*(1+G$5),0))</f>
        <v/>
      </c>
      <c r="H18">
        <f>MIN(H$6,ROUND(AB17*(1+H$5),0))</f>
        <v/>
      </c>
      <c r="I18">
        <f>MIN(I$6,ROUND(AC17*(1+I$5),0))</f>
        <v/>
      </c>
      <c r="J18">
        <f>MIN(J$6,ROUND(AD17*(1+J$5),0))</f>
        <v/>
      </c>
      <c r="K18">
        <f>MIN(K$6,ROUND(AE17*(1+K$5),0))</f>
        <v/>
      </c>
      <c r="L18">
        <f>MIN(L$6,ROUND(AF17*(1+L$5),0))</f>
        <v/>
      </c>
      <c r="M18">
        <f>MAX(0,MIN(ROUND(W17*(1+C$5),0)-C18,$AJ18-0))</f>
        <v/>
      </c>
      <c r="N18">
        <f>MAX(0,MIN(ROUND(X17*(1+D$5),0)-D18,$AJ18-SUM($M18:M18)))</f>
        <v/>
      </c>
      <c r="O18">
        <f>MAX(0,MIN(ROUND(Y17*(1+E$5),0)-E18,$AJ18-SUM($M18:N18)))</f>
        <v/>
      </c>
      <c r="P18">
        <f>MAX(0,MIN(ROUND(Z17*(1+F$5),0)-F18,$AJ18-SUM($M18:O18)))</f>
        <v/>
      </c>
      <c r="Q18">
        <f>MAX(0,MIN(ROUND(AA17*(1+G$5),0)-G18,$AJ18-SUM($M18:P18)))</f>
        <v/>
      </c>
      <c r="R18">
        <f>MAX(0,MIN(ROUND(AB17*(1+H$5),0)-H18,$AJ18-SUM($M18:Q18)))</f>
        <v/>
      </c>
      <c r="S18">
        <f>MAX(0,MIN(ROUND(AC17*(1+I$5),0)-I18,$AJ18-SUM($M18:R18)))</f>
        <v/>
      </c>
      <c r="T18">
        <f>MAX(0,MIN(ROUND(AD17*(1+J$5),0)-J18,$AJ18-SUM($M18:S18)))</f>
        <v/>
      </c>
      <c r="U18">
        <f>MAX(0,MIN(ROUND(AE17*(1+K$5),0)-K18,$AJ18-SUM($M18:T18)))</f>
        <v/>
      </c>
      <c r="V18">
        <f>MAX(0,MIN(ROUND(AF17*(1+L$5),0)-L18,$AJ18-SUM($M18:U18)))</f>
        <v/>
      </c>
      <c r="W18">
        <f>MAX(0,ROUND(W17*(1+C$5),0)-C18-M18)</f>
        <v/>
      </c>
      <c r="X18">
        <f>MAX(0,ROUND(X17*(1+D$5),0)-D18-N18)</f>
        <v/>
      </c>
      <c r="Y18">
        <f>MAX(0,ROUND(Y17*(1+E$5),0)-E18-O18)</f>
        <v/>
      </c>
      <c r="Z18">
        <f>MAX(0,ROUND(Z17*(1+F$5),0)-F18-P18)</f>
        <v/>
      </c>
      <c r="AA18">
        <f>MAX(0,ROUND(AA17*(1+G$5),0)-G18-Q18)</f>
        <v/>
      </c>
      <c r="AB18">
        <f>MAX(0,ROUND(AB17*(1+H$5),0)-H18-R18)</f>
        <v/>
      </c>
      <c r="AC18">
        <f>MAX(0,ROUND(AC17*(1+I$5),0)-I18-S18)</f>
        <v/>
      </c>
      <c r="AD18">
        <f>MAX(0,ROUND(AD17*(1+J$5),0)-J18-T18)</f>
        <v/>
      </c>
      <c r="AE18">
        <f>MAX(0,ROUND(AE17*(1+K$5),0)-K18-U18)</f>
        <v/>
      </c>
      <c r="AF18">
        <f>MAX(0,ROUND(AF17*(1+L$5),0)-L18-V18)</f>
        <v/>
      </c>
      <c r="AG18">
        <f>AH18-(AI17-AI18)</f>
        <v/>
      </c>
      <c r="AH18">
        <f>SUM(C18:V18)</f>
        <v/>
      </c>
      <c r="AI18">
        <f>SUM(W18:AF18)</f>
        <v/>
      </c>
      <c r="AJ18">
        <f>MAX(0,PresTot-SUM(C18:L18))</f>
        <v/>
      </c>
      <c r="AK18">
        <f>IF(AI17&lt;=0,0,11-SUMPRODUCT(MAX((W17:AF17&gt;0)*(11-(COLUMN(W17:AF17)-COLUMN($V17))))))</f>
        <v/>
      </c>
    </row>
    <row r="19">
      <c r="A19" t="n">
        <v>9</v>
      </c>
      <c r="B19">
        <f>DATE(YEAR(InicioEf),MONTH(InicioEf)+A19-1,1)</f>
        <v/>
      </c>
      <c r="C19">
        <f>MIN(C$6,ROUND(W18*(1+C$5),0))</f>
        <v/>
      </c>
      <c r="D19">
        <f>MIN(D$6,ROUND(X18*(1+D$5),0))</f>
        <v/>
      </c>
      <c r="E19">
        <f>MIN(E$6,ROUND(Y18*(1+E$5),0))</f>
        <v/>
      </c>
      <c r="F19">
        <f>MIN(F$6,ROUND(Z18*(1+F$5),0))</f>
        <v/>
      </c>
      <c r="G19">
        <f>MIN(G$6,ROUND(AA18*(1+G$5),0))</f>
        <v/>
      </c>
      <c r="H19">
        <f>MIN(H$6,ROUND(AB18*(1+H$5),0))</f>
        <v/>
      </c>
      <c r="I19">
        <f>MIN(I$6,ROUND(AC18*(1+I$5),0))</f>
        <v/>
      </c>
      <c r="J19">
        <f>MIN(J$6,ROUND(AD18*(1+J$5),0))</f>
        <v/>
      </c>
      <c r="K19">
        <f>MIN(K$6,ROUND(AE18*(1+K$5),0))</f>
        <v/>
      </c>
      <c r="L19">
        <f>MIN(L$6,ROUND(AF18*(1+L$5),0))</f>
        <v/>
      </c>
      <c r="M19">
        <f>MAX(0,MIN(ROUND(W18*(1+C$5),0)-C19,$AJ19-0))</f>
        <v/>
      </c>
      <c r="N19">
        <f>MAX(0,MIN(ROUND(X18*(1+D$5),0)-D19,$AJ19-SUM($M19:M19)))</f>
        <v/>
      </c>
      <c r="O19">
        <f>MAX(0,MIN(ROUND(Y18*(1+E$5),0)-E19,$AJ19-SUM($M19:N19)))</f>
        <v/>
      </c>
      <c r="P19">
        <f>MAX(0,MIN(ROUND(Z18*(1+F$5),0)-F19,$AJ19-SUM($M19:O19)))</f>
        <v/>
      </c>
      <c r="Q19">
        <f>MAX(0,MIN(ROUND(AA18*(1+G$5),0)-G19,$AJ19-SUM($M19:P19)))</f>
        <v/>
      </c>
      <c r="R19">
        <f>MAX(0,MIN(ROUND(AB18*(1+H$5),0)-H19,$AJ19-SUM($M19:Q19)))</f>
        <v/>
      </c>
      <c r="S19">
        <f>MAX(0,MIN(ROUND(AC18*(1+I$5),0)-I19,$AJ19-SUM($M19:R19)))</f>
        <v/>
      </c>
      <c r="T19">
        <f>MAX(0,MIN(ROUND(AD18*(1+J$5),0)-J19,$AJ19-SUM($M19:S19)))</f>
        <v/>
      </c>
      <c r="U19">
        <f>MAX(0,MIN(ROUND(AE18*(1+K$5),0)-K19,$AJ19-SUM($M19:T19)))</f>
        <v/>
      </c>
      <c r="V19">
        <f>MAX(0,MIN(ROUND(AF18*(1+L$5),0)-L19,$AJ19-SUM($M19:U19)))</f>
        <v/>
      </c>
      <c r="W19">
        <f>MAX(0,ROUND(W18*(1+C$5),0)-C19-M19)</f>
        <v/>
      </c>
      <c r="X19">
        <f>MAX(0,ROUND(X18*(1+D$5),0)-D19-N19)</f>
        <v/>
      </c>
      <c r="Y19">
        <f>MAX(0,ROUND(Y18*(1+E$5),0)-E19-O19)</f>
        <v/>
      </c>
      <c r="Z19">
        <f>MAX(0,ROUND(Z18*(1+F$5),0)-F19-P19)</f>
        <v/>
      </c>
      <c r="AA19">
        <f>MAX(0,ROUND(AA18*(1+G$5),0)-G19-Q19)</f>
        <v/>
      </c>
      <c r="AB19">
        <f>MAX(0,ROUND(AB18*(1+H$5),0)-H19-R19)</f>
        <v/>
      </c>
      <c r="AC19">
        <f>MAX(0,ROUND(AC18*(1+I$5),0)-I19-S19)</f>
        <v/>
      </c>
      <c r="AD19">
        <f>MAX(0,ROUND(AD18*(1+J$5),0)-J19-T19)</f>
        <v/>
      </c>
      <c r="AE19">
        <f>MAX(0,ROUND(AE18*(1+K$5),0)-K19-U19)</f>
        <v/>
      </c>
      <c r="AF19">
        <f>MAX(0,ROUND(AF18*(1+L$5),0)-L19-V19)</f>
        <v/>
      </c>
      <c r="AG19">
        <f>AH19-(AI18-AI19)</f>
        <v/>
      </c>
      <c r="AH19">
        <f>SUM(C19:V19)</f>
        <v/>
      </c>
      <c r="AI19">
        <f>SUM(W19:AF19)</f>
        <v/>
      </c>
      <c r="AJ19">
        <f>MAX(0,PresTot-SUM(C19:L19))</f>
        <v/>
      </c>
      <c r="AK19">
        <f>IF(AI18&lt;=0,0,11-SUMPRODUCT(MAX((W18:AF18&gt;0)*(11-(COLUMN(W18:AF18)-COLUMN($V18))))))</f>
        <v/>
      </c>
    </row>
    <row r="20">
      <c r="A20" t="n">
        <v>10</v>
      </c>
      <c r="B20">
        <f>DATE(YEAR(InicioEf),MONTH(InicioEf)+A20-1,1)</f>
        <v/>
      </c>
      <c r="C20">
        <f>MIN(C$6,ROUND(W19*(1+C$5),0))</f>
        <v/>
      </c>
      <c r="D20">
        <f>MIN(D$6,ROUND(X19*(1+D$5),0))</f>
        <v/>
      </c>
      <c r="E20">
        <f>MIN(E$6,ROUND(Y19*(1+E$5),0))</f>
        <v/>
      </c>
      <c r="F20">
        <f>MIN(F$6,ROUND(Z19*(1+F$5),0))</f>
        <v/>
      </c>
      <c r="G20">
        <f>MIN(G$6,ROUND(AA19*(1+G$5),0))</f>
        <v/>
      </c>
      <c r="H20">
        <f>MIN(H$6,ROUND(AB19*(1+H$5),0))</f>
        <v/>
      </c>
      <c r="I20">
        <f>MIN(I$6,ROUND(AC19*(1+I$5),0))</f>
        <v/>
      </c>
      <c r="J20">
        <f>MIN(J$6,ROUND(AD19*(1+J$5),0))</f>
        <v/>
      </c>
      <c r="K20">
        <f>MIN(K$6,ROUND(AE19*(1+K$5),0))</f>
        <v/>
      </c>
      <c r="L20">
        <f>MIN(L$6,ROUND(AF19*(1+L$5),0))</f>
        <v/>
      </c>
      <c r="M20">
        <f>MAX(0,MIN(ROUND(W19*(1+C$5),0)-C20,$AJ20-0))</f>
        <v/>
      </c>
      <c r="N20">
        <f>MAX(0,MIN(ROUND(X19*(1+D$5),0)-D20,$AJ20-SUM($M20:M20)))</f>
        <v/>
      </c>
      <c r="O20">
        <f>MAX(0,MIN(ROUND(Y19*(1+E$5),0)-E20,$AJ20-SUM($M20:N20)))</f>
        <v/>
      </c>
      <c r="P20">
        <f>MAX(0,MIN(ROUND(Z19*(1+F$5),0)-F20,$AJ20-SUM($M20:O20)))</f>
        <v/>
      </c>
      <c r="Q20">
        <f>MAX(0,MIN(ROUND(AA19*(1+G$5),0)-G20,$AJ20-SUM($M20:P20)))</f>
        <v/>
      </c>
      <c r="R20">
        <f>MAX(0,MIN(ROUND(AB19*(1+H$5),0)-H20,$AJ20-SUM($M20:Q20)))</f>
        <v/>
      </c>
      <c r="S20">
        <f>MAX(0,MIN(ROUND(AC19*(1+I$5),0)-I20,$AJ20-SUM($M20:R20)))</f>
        <v/>
      </c>
      <c r="T20">
        <f>MAX(0,MIN(ROUND(AD19*(1+J$5),0)-J20,$AJ20-SUM($M20:S20)))</f>
        <v/>
      </c>
      <c r="U20">
        <f>MAX(0,MIN(ROUND(AE19*(1+K$5),0)-K20,$AJ20-SUM($M20:T20)))</f>
        <v/>
      </c>
      <c r="V20">
        <f>MAX(0,MIN(ROUND(AF19*(1+L$5),0)-L20,$AJ20-SUM($M20:U20)))</f>
        <v/>
      </c>
      <c r="W20">
        <f>MAX(0,ROUND(W19*(1+C$5),0)-C20-M20)</f>
        <v/>
      </c>
      <c r="X20">
        <f>MAX(0,ROUND(X19*(1+D$5),0)-D20-N20)</f>
        <v/>
      </c>
      <c r="Y20">
        <f>MAX(0,ROUND(Y19*(1+E$5),0)-E20-O20)</f>
        <v/>
      </c>
      <c r="Z20">
        <f>MAX(0,ROUND(Z19*(1+F$5),0)-F20-P20)</f>
        <v/>
      </c>
      <c r="AA20">
        <f>MAX(0,ROUND(AA19*(1+G$5),0)-G20-Q20)</f>
        <v/>
      </c>
      <c r="AB20">
        <f>MAX(0,ROUND(AB19*(1+H$5),0)-H20-R20)</f>
        <v/>
      </c>
      <c r="AC20">
        <f>MAX(0,ROUND(AC19*(1+I$5),0)-I20-S20)</f>
        <v/>
      </c>
      <c r="AD20">
        <f>MAX(0,ROUND(AD19*(1+J$5),0)-J20-T20)</f>
        <v/>
      </c>
      <c r="AE20">
        <f>MAX(0,ROUND(AE19*(1+K$5),0)-K20-U20)</f>
        <v/>
      </c>
      <c r="AF20">
        <f>MAX(0,ROUND(AF19*(1+L$5),0)-L20-V20)</f>
        <v/>
      </c>
      <c r="AG20">
        <f>AH20-(AI19-AI20)</f>
        <v/>
      </c>
      <c r="AH20">
        <f>SUM(C20:V20)</f>
        <v/>
      </c>
      <c r="AI20">
        <f>SUM(W20:AF20)</f>
        <v/>
      </c>
      <c r="AJ20">
        <f>MAX(0,PresTot-SUM(C20:L20))</f>
        <v/>
      </c>
      <c r="AK20">
        <f>IF(AI19&lt;=0,0,11-SUMPRODUCT(MAX((W19:AF19&gt;0)*(11-(COLUMN(W19:AF19)-COLUMN($V19))))))</f>
        <v/>
      </c>
    </row>
    <row r="21">
      <c r="A21" t="n">
        <v>11</v>
      </c>
      <c r="B21">
        <f>DATE(YEAR(InicioEf),MONTH(InicioEf)+A21-1,1)</f>
        <v/>
      </c>
      <c r="C21">
        <f>MIN(C$6,ROUND(W20*(1+C$5),0))</f>
        <v/>
      </c>
      <c r="D21">
        <f>MIN(D$6,ROUND(X20*(1+D$5),0))</f>
        <v/>
      </c>
      <c r="E21">
        <f>MIN(E$6,ROUND(Y20*(1+E$5),0))</f>
        <v/>
      </c>
      <c r="F21">
        <f>MIN(F$6,ROUND(Z20*(1+F$5),0))</f>
        <v/>
      </c>
      <c r="G21">
        <f>MIN(G$6,ROUND(AA20*(1+G$5),0))</f>
        <v/>
      </c>
      <c r="H21">
        <f>MIN(H$6,ROUND(AB20*(1+H$5),0))</f>
        <v/>
      </c>
      <c r="I21">
        <f>MIN(I$6,ROUND(AC20*(1+I$5),0))</f>
        <v/>
      </c>
      <c r="J21">
        <f>MIN(J$6,ROUND(AD20*(1+J$5),0))</f>
        <v/>
      </c>
      <c r="K21">
        <f>MIN(K$6,ROUND(AE20*(1+K$5),0))</f>
        <v/>
      </c>
      <c r="L21">
        <f>MIN(L$6,ROUND(AF20*(1+L$5),0))</f>
        <v/>
      </c>
      <c r="M21">
        <f>MAX(0,MIN(ROUND(W20*(1+C$5),0)-C21,$AJ21-0))</f>
        <v/>
      </c>
      <c r="N21">
        <f>MAX(0,MIN(ROUND(X20*(1+D$5),0)-D21,$AJ21-SUM($M21:M21)))</f>
        <v/>
      </c>
      <c r="O21">
        <f>MAX(0,MIN(ROUND(Y20*(1+E$5),0)-E21,$AJ21-SUM($M21:N21)))</f>
        <v/>
      </c>
      <c r="P21">
        <f>MAX(0,MIN(ROUND(Z20*(1+F$5),0)-F21,$AJ21-SUM($M21:O21)))</f>
        <v/>
      </c>
      <c r="Q21">
        <f>MAX(0,MIN(ROUND(AA20*(1+G$5),0)-G21,$AJ21-SUM($M21:P21)))</f>
        <v/>
      </c>
      <c r="R21">
        <f>MAX(0,MIN(ROUND(AB20*(1+H$5),0)-H21,$AJ21-SUM($M21:Q21)))</f>
        <v/>
      </c>
      <c r="S21">
        <f>MAX(0,MIN(ROUND(AC20*(1+I$5),0)-I21,$AJ21-SUM($M21:R21)))</f>
        <v/>
      </c>
      <c r="T21">
        <f>MAX(0,MIN(ROUND(AD20*(1+J$5),0)-J21,$AJ21-SUM($M21:S21)))</f>
        <v/>
      </c>
      <c r="U21">
        <f>MAX(0,MIN(ROUND(AE20*(1+K$5),0)-K21,$AJ21-SUM($M21:T21)))</f>
        <v/>
      </c>
      <c r="V21">
        <f>MAX(0,MIN(ROUND(AF20*(1+L$5),0)-L21,$AJ21-SUM($M21:U21)))</f>
        <v/>
      </c>
      <c r="W21">
        <f>MAX(0,ROUND(W20*(1+C$5),0)-C21-M21)</f>
        <v/>
      </c>
      <c r="X21">
        <f>MAX(0,ROUND(X20*(1+D$5),0)-D21-N21)</f>
        <v/>
      </c>
      <c r="Y21">
        <f>MAX(0,ROUND(Y20*(1+E$5),0)-E21-O21)</f>
        <v/>
      </c>
      <c r="Z21">
        <f>MAX(0,ROUND(Z20*(1+F$5),0)-F21-P21)</f>
        <v/>
      </c>
      <c r="AA21">
        <f>MAX(0,ROUND(AA20*(1+G$5),0)-G21-Q21)</f>
        <v/>
      </c>
      <c r="AB21">
        <f>MAX(0,ROUND(AB20*(1+H$5),0)-H21-R21)</f>
        <v/>
      </c>
      <c r="AC21">
        <f>MAX(0,ROUND(AC20*(1+I$5),0)-I21-S21)</f>
        <v/>
      </c>
      <c r="AD21">
        <f>MAX(0,ROUND(AD20*(1+J$5),0)-J21-T21)</f>
        <v/>
      </c>
      <c r="AE21">
        <f>MAX(0,ROUND(AE20*(1+K$5),0)-K21-U21)</f>
        <v/>
      </c>
      <c r="AF21">
        <f>MAX(0,ROUND(AF20*(1+L$5),0)-L21-V21)</f>
        <v/>
      </c>
      <c r="AG21">
        <f>AH21-(AI20-AI21)</f>
        <v/>
      </c>
      <c r="AH21">
        <f>SUM(C21:V21)</f>
        <v/>
      </c>
      <c r="AI21">
        <f>SUM(W21:AF21)</f>
        <v/>
      </c>
      <c r="AJ21">
        <f>MAX(0,PresTot-SUM(C21:L21))</f>
        <v/>
      </c>
      <c r="AK21">
        <f>IF(AI20&lt;=0,0,11-SUMPRODUCT(MAX((W20:AF20&gt;0)*(11-(COLUMN(W20:AF20)-COLUMN($V20))))))</f>
        <v/>
      </c>
    </row>
    <row r="22">
      <c r="A22" t="n">
        <v>12</v>
      </c>
      <c r="B22">
        <f>DATE(YEAR(InicioEf),MONTH(InicioEf)+A22-1,1)</f>
        <v/>
      </c>
      <c r="C22">
        <f>MIN(C$6,ROUND(W21*(1+C$5),0))</f>
        <v/>
      </c>
      <c r="D22">
        <f>MIN(D$6,ROUND(X21*(1+D$5),0))</f>
        <v/>
      </c>
      <c r="E22">
        <f>MIN(E$6,ROUND(Y21*(1+E$5),0))</f>
        <v/>
      </c>
      <c r="F22">
        <f>MIN(F$6,ROUND(Z21*(1+F$5),0))</f>
        <v/>
      </c>
      <c r="G22">
        <f>MIN(G$6,ROUND(AA21*(1+G$5),0))</f>
        <v/>
      </c>
      <c r="H22">
        <f>MIN(H$6,ROUND(AB21*(1+H$5),0))</f>
        <v/>
      </c>
      <c r="I22">
        <f>MIN(I$6,ROUND(AC21*(1+I$5),0))</f>
        <v/>
      </c>
      <c r="J22">
        <f>MIN(J$6,ROUND(AD21*(1+J$5),0))</f>
        <v/>
      </c>
      <c r="K22">
        <f>MIN(K$6,ROUND(AE21*(1+K$5),0))</f>
        <v/>
      </c>
      <c r="L22">
        <f>MIN(L$6,ROUND(AF21*(1+L$5),0))</f>
        <v/>
      </c>
      <c r="M22">
        <f>MAX(0,MIN(ROUND(W21*(1+C$5),0)-C22,$AJ22-0))</f>
        <v/>
      </c>
      <c r="N22">
        <f>MAX(0,MIN(ROUND(X21*(1+D$5),0)-D22,$AJ22-SUM($M22:M22)))</f>
        <v/>
      </c>
      <c r="O22">
        <f>MAX(0,MIN(ROUND(Y21*(1+E$5),0)-E22,$AJ22-SUM($M22:N22)))</f>
        <v/>
      </c>
      <c r="P22">
        <f>MAX(0,MIN(ROUND(Z21*(1+F$5),0)-F22,$AJ22-SUM($M22:O22)))</f>
        <v/>
      </c>
      <c r="Q22">
        <f>MAX(0,MIN(ROUND(AA21*(1+G$5),0)-G22,$AJ22-SUM($M22:P22)))</f>
        <v/>
      </c>
      <c r="R22">
        <f>MAX(0,MIN(ROUND(AB21*(1+H$5),0)-H22,$AJ22-SUM($M22:Q22)))</f>
        <v/>
      </c>
      <c r="S22">
        <f>MAX(0,MIN(ROUND(AC21*(1+I$5),0)-I22,$AJ22-SUM($M22:R22)))</f>
        <v/>
      </c>
      <c r="T22">
        <f>MAX(0,MIN(ROUND(AD21*(1+J$5),0)-J22,$AJ22-SUM($M22:S22)))</f>
        <v/>
      </c>
      <c r="U22">
        <f>MAX(0,MIN(ROUND(AE21*(1+K$5),0)-K22,$AJ22-SUM($M22:T22)))</f>
        <v/>
      </c>
      <c r="V22">
        <f>MAX(0,MIN(ROUND(AF21*(1+L$5),0)-L22,$AJ22-SUM($M22:U22)))</f>
        <v/>
      </c>
      <c r="W22">
        <f>MAX(0,ROUND(W21*(1+C$5),0)-C22-M22)</f>
        <v/>
      </c>
      <c r="X22">
        <f>MAX(0,ROUND(X21*(1+D$5),0)-D22-N22)</f>
        <v/>
      </c>
      <c r="Y22">
        <f>MAX(0,ROUND(Y21*(1+E$5),0)-E22-O22)</f>
        <v/>
      </c>
      <c r="Z22">
        <f>MAX(0,ROUND(Z21*(1+F$5),0)-F22-P22)</f>
        <v/>
      </c>
      <c r="AA22">
        <f>MAX(0,ROUND(AA21*(1+G$5),0)-G22-Q22)</f>
        <v/>
      </c>
      <c r="AB22">
        <f>MAX(0,ROUND(AB21*(1+H$5),0)-H22-R22)</f>
        <v/>
      </c>
      <c r="AC22">
        <f>MAX(0,ROUND(AC21*(1+I$5),0)-I22-S22)</f>
        <v/>
      </c>
      <c r="AD22">
        <f>MAX(0,ROUND(AD21*(1+J$5),0)-J22-T22)</f>
        <v/>
      </c>
      <c r="AE22">
        <f>MAX(0,ROUND(AE21*(1+K$5),0)-K22-U22)</f>
        <v/>
      </c>
      <c r="AF22">
        <f>MAX(0,ROUND(AF21*(1+L$5),0)-L22-V22)</f>
        <v/>
      </c>
      <c r="AG22">
        <f>AH22-(AI21-AI22)</f>
        <v/>
      </c>
      <c r="AH22">
        <f>SUM(C22:V22)</f>
        <v/>
      </c>
      <c r="AI22">
        <f>SUM(W22:AF22)</f>
        <v/>
      </c>
      <c r="AJ22">
        <f>MAX(0,PresTot-SUM(C22:L22))</f>
        <v/>
      </c>
      <c r="AK22">
        <f>IF(AI21&lt;=0,0,11-SUMPRODUCT(MAX((W21:AF21&gt;0)*(11-(COLUMN(W21:AF21)-COLUMN($V21))))))</f>
        <v/>
      </c>
    </row>
    <row r="23">
      <c r="A23" t="n">
        <v>13</v>
      </c>
      <c r="B23">
        <f>DATE(YEAR(InicioEf),MONTH(InicioEf)+A23-1,1)</f>
        <v/>
      </c>
      <c r="C23">
        <f>MIN(C$6,ROUND(W22*(1+C$5),0))</f>
        <v/>
      </c>
      <c r="D23">
        <f>MIN(D$6,ROUND(X22*(1+D$5),0))</f>
        <v/>
      </c>
      <c r="E23">
        <f>MIN(E$6,ROUND(Y22*(1+E$5),0))</f>
        <v/>
      </c>
      <c r="F23">
        <f>MIN(F$6,ROUND(Z22*(1+F$5),0))</f>
        <v/>
      </c>
      <c r="G23">
        <f>MIN(G$6,ROUND(AA22*(1+G$5),0))</f>
        <v/>
      </c>
      <c r="H23">
        <f>MIN(H$6,ROUND(AB22*(1+H$5),0))</f>
        <v/>
      </c>
      <c r="I23">
        <f>MIN(I$6,ROUND(AC22*(1+I$5),0))</f>
        <v/>
      </c>
      <c r="J23">
        <f>MIN(J$6,ROUND(AD22*(1+J$5),0))</f>
        <v/>
      </c>
      <c r="K23">
        <f>MIN(K$6,ROUND(AE22*(1+K$5),0))</f>
        <v/>
      </c>
      <c r="L23">
        <f>MIN(L$6,ROUND(AF22*(1+L$5),0))</f>
        <v/>
      </c>
      <c r="M23">
        <f>MAX(0,MIN(ROUND(W22*(1+C$5),0)-C23,$AJ23-0))</f>
        <v/>
      </c>
      <c r="N23">
        <f>MAX(0,MIN(ROUND(X22*(1+D$5),0)-D23,$AJ23-SUM($M23:M23)))</f>
        <v/>
      </c>
      <c r="O23">
        <f>MAX(0,MIN(ROUND(Y22*(1+E$5),0)-E23,$AJ23-SUM($M23:N23)))</f>
        <v/>
      </c>
      <c r="P23">
        <f>MAX(0,MIN(ROUND(Z22*(1+F$5),0)-F23,$AJ23-SUM($M23:O23)))</f>
        <v/>
      </c>
      <c r="Q23">
        <f>MAX(0,MIN(ROUND(AA22*(1+G$5),0)-G23,$AJ23-SUM($M23:P23)))</f>
        <v/>
      </c>
      <c r="R23">
        <f>MAX(0,MIN(ROUND(AB22*(1+H$5),0)-H23,$AJ23-SUM($M23:Q23)))</f>
        <v/>
      </c>
      <c r="S23">
        <f>MAX(0,MIN(ROUND(AC22*(1+I$5),0)-I23,$AJ23-SUM($M23:R23)))</f>
        <v/>
      </c>
      <c r="T23">
        <f>MAX(0,MIN(ROUND(AD22*(1+J$5),0)-J23,$AJ23-SUM($M23:S23)))</f>
        <v/>
      </c>
      <c r="U23">
        <f>MAX(0,MIN(ROUND(AE22*(1+K$5),0)-K23,$AJ23-SUM($M23:T23)))</f>
        <v/>
      </c>
      <c r="V23">
        <f>MAX(0,MIN(ROUND(AF22*(1+L$5),0)-L23,$AJ23-SUM($M23:U23)))</f>
        <v/>
      </c>
      <c r="W23">
        <f>MAX(0,ROUND(W22*(1+C$5),0)-C23-M23)</f>
        <v/>
      </c>
      <c r="X23">
        <f>MAX(0,ROUND(X22*(1+D$5),0)-D23-N23)</f>
        <v/>
      </c>
      <c r="Y23">
        <f>MAX(0,ROUND(Y22*(1+E$5),0)-E23-O23)</f>
        <v/>
      </c>
      <c r="Z23">
        <f>MAX(0,ROUND(Z22*(1+F$5),0)-F23-P23)</f>
        <v/>
      </c>
      <c r="AA23">
        <f>MAX(0,ROUND(AA22*(1+G$5),0)-G23-Q23)</f>
        <v/>
      </c>
      <c r="AB23">
        <f>MAX(0,ROUND(AB22*(1+H$5),0)-H23-R23)</f>
        <v/>
      </c>
      <c r="AC23">
        <f>MAX(0,ROUND(AC22*(1+I$5),0)-I23-S23)</f>
        <v/>
      </c>
      <c r="AD23">
        <f>MAX(0,ROUND(AD22*(1+J$5),0)-J23-T23)</f>
        <v/>
      </c>
      <c r="AE23">
        <f>MAX(0,ROUND(AE22*(1+K$5),0)-K23-U23)</f>
        <v/>
      </c>
      <c r="AF23">
        <f>MAX(0,ROUND(AF22*(1+L$5),0)-L23-V23)</f>
        <v/>
      </c>
      <c r="AG23">
        <f>AH23-(AI22-AI23)</f>
        <v/>
      </c>
      <c r="AH23">
        <f>SUM(C23:V23)</f>
        <v/>
      </c>
      <c r="AI23">
        <f>SUM(W23:AF23)</f>
        <v/>
      </c>
      <c r="AJ23">
        <f>MAX(0,PresTot-SUM(C23:L23))</f>
        <v/>
      </c>
      <c r="AK23">
        <f>IF(AI22&lt;=0,0,11-SUMPRODUCT(MAX((W22:AF22&gt;0)*(11-(COLUMN(W22:AF22)-COLUMN($V22))))))</f>
        <v/>
      </c>
    </row>
    <row r="24">
      <c r="A24" t="n">
        <v>14</v>
      </c>
      <c r="B24">
        <f>DATE(YEAR(InicioEf),MONTH(InicioEf)+A24-1,1)</f>
        <v/>
      </c>
      <c r="C24">
        <f>MIN(C$6,ROUND(W23*(1+C$5),0))</f>
        <v/>
      </c>
      <c r="D24">
        <f>MIN(D$6,ROUND(X23*(1+D$5),0))</f>
        <v/>
      </c>
      <c r="E24">
        <f>MIN(E$6,ROUND(Y23*(1+E$5),0))</f>
        <v/>
      </c>
      <c r="F24">
        <f>MIN(F$6,ROUND(Z23*(1+F$5),0))</f>
        <v/>
      </c>
      <c r="G24">
        <f>MIN(G$6,ROUND(AA23*(1+G$5),0))</f>
        <v/>
      </c>
      <c r="H24">
        <f>MIN(H$6,ROUND(AB23*(1+H$5),0))</f>
        <v/>
      </c>
      <c r="I24">
        <f>MIN(I$6,ROUND(AC23*(1+I$5),0))</f>
        <v/>
      </c>
      <c r="J24">
        <f>MIN(J$6,ROUND(AD23*(1+J$5),0))</f>
        <v/>
      </c>
      <c r="K24">
        <f>MIN(K$6,ROUND(AE23*(1+K$5),0))</f>
        <v/>
      </c>
      <c r="L24">
        <f>MIN(L$6,ROUND(AF23*(1+L$5),0))</f>
        <v/>
      </c>
      <c r="M24">
        <f>MAX(0,MIN(ROUND(W23*(1+C$5),0)-C24,$AJ24-0))</f>
        <v/>
      </c>
      <c r="N24">
        <f>MAX(0,MIN(ROUND(X23*(1+D$5),0)-D24,$AJ24-SUM($M24:M24)))</f>
        <v/>
      </c>
      <c r="O24">
        <f>MAX(0,MIN(ROUND(Y23*(1+E$5),0)-E24,$AJ24-SUM($M24:N24)))</f>
        <v/>
      </c>
      <c r="P24">
        <f>MAX(0,MIN(ROUND(Z23*(1+F$5),0)-F24,$AJ24-SUM($M24:O24)))</f>
        <v/>
      </c>
      <c r="Q24">
        <f>MAX(0,MIN(ROUND(AA23*(1+G$5),0)-G24,$AJ24-SUM($M24:P24)))</f>
        <v/>
      </c>
      <c r="R24">
        <f>MAX(0,MIN(ROUND(AB23*(1+H$5),0)-H24,$AJ24-SUM($M24:Q24)))</f>
        <v/>
      </c>
      <c r="S24">
        <f>MAX(0,MIN(ROUND(AC23*(1+I$5),0)-I24,$AJ24-SUM($M24:R24)))</f>
        <v/>
      </c>
      <c r="T24">
        <f>MAX(0,MIN(ROUND(AD23*(1+J$5),0)-J24,$AJ24-SUM($M24:S24)))</f>
        <v/>
      </c>
      <c r="U24">
        <f>MAX(0,MIN(ROUND(AE23*(1+K$5),0)-K24,$AJ24-SUM($M24:T24)))</f>
        <v/>
      </c>
      <c r="V24">
        <f>MAX(0,MIN(ROUND(AF23*(1+L$5),0)-L24,$AJ24-SUM($M24:U24)))</f>
        <v/>
      </c>
      <c r="W24">
        <f>MAX(0,ROUND(W23*(1+C$5),0)-C24-M24)</f>
        <v/>
      </c>
      <c r="X24">
        <f>MAX(0,ROUND(X23*(1+D$5),0)-D24-N24)</f>
        <v/>
      </c>
      <c r="Y24">
        <f>MAX(0,ROUND(Y23*(1+E$5),0)-E24-O24)</f>
        <v/>
      </c>
      <c r="Z24">
        <f>MAX(0,ROUND(Z23*(1+F$5),0)-F24-P24)</f>
        <v/>
      </c>
      <c r="AA24">
        <f>MAX(0,ROUND(AA23*(1+G$5),0)-G24-Q24)</f>
        <v/>
      </c>
      <c r="AB24">
        <f>MAX(0,ROUND(AB23*(1+H$5),0)-H24-R24)</f>
        <v/>
      </c>
      <c r="AC24">
        <f>MAX(0,ROUND(AC23*(1+I$5),0)-I24-S24)</f>
        <v/>
      </c>
      <c r="AD24">
        <f>MAX(0,ROUND(AD23*(1+J$5),0)-J24-T24)</f>
        <v/>
      </c>
      <c r="AE24">
        <f>MAX(0,ROUND(AE23*(1+K$5),0)-K24-U24)</f>
        <v/>
      </c>
      <c r="AF24">
        <f>MAX(0,ROUND(AF23*(1+L$5),0)-L24-V24)</f>
        <v/>
      </c>
      <c r="AG24">
        <f>AH24-(AI23-AI24)</f>
        <v/>
      </c>
      <c r="AH24">
        <f>SUM(C24:V24)</f>
        <v/>
      </c>
      <c r="AI24">
        <f>SUM(W24:AF24)</f>
        <v/>
      </c>
      <c r="AJ24">
        <f>MAX(0,PresTot-SUM(C24:L24))</f>
        <v/>
      </c>
      <c r="AK24">
        <f>IF(AI23&lt;=0,0,11-SUMPRODUCT(MAX((W23:AF23&gt;0)*(11-(COLUMN(W23:AF23)-COLUMN($V23))))))</f>
        <v/>
      </c>
    </row>
    <row r="25">
      <c r="A25" t="n">
        <v>15</v>
      </c>
      <c r="B25">
        <f>DATE(YEAR(InicioEf),MONTH(InicioEf)+A25-1,1)</f>
        <v/>
      </c>
      <c r="C25">
        <f>MIN(C$6,ROUND(W24*(1+C$5),0))</f>
        <v/>
      </c>
      <c r="D25">
        <f>MIN(D$6,ROUND(X24*(1+D$5),0))</f>
        <v/>
      </c>
      <c r="E25">
        <f>MIN(E$6,ROUND(Y24*(1+E$5),0))</f>
        <v/>
      </c>
      <c r="F25">
        <f>MIN(F$6,ROUND(Z24*(1+F$5),0))</f>
        <v/>
      </c>
      <c r="G25">
        <f>MIN(G$6,ROUND(AA24*(1+G$5),0))</f>
        <v/>
      </c>
      <c r="H25">
        <f>MIN(H$6,ROUND(AB24*(1+H$5),0))</f>
        <v/>
      </c>
      <c r="I25">
        <f>MIN(I$6,ROUND(AC24*(1+I$5),0))</f>
        <v/>
      </c>
      <c r="J25">
        <f>MIN(J$6,ROUND(AD24*(1+J$5),0))</f>
        <v/>
      </c>
      <c r="K25">
        <f>MIN(K$6,ROUND(AE24*(1+K$5),0))</f>
        <v/>
      </c>
      <c r="L25">
        <f>MIN(L$6,ROUND(AF24*(1+L$5),0))</f>
        <v/>
      </c>
      <c r="M25">
        <f>MAX(0,MIN(ROUND(W24*(1+C$5),0)-C25,$AJ25-0))</f>
        <v/>
      </c>
      <c r="N25">
        <f>MAX(0,MIN(ROUND(X24*(1+D$5),0)-D25,$AJ25-SUM($M25:M25)))</f>
        <v/>
      </c>
      <c r="O25">
        <f>MAX(0,MIN(ROUND(Y24*(1+E$5),0)-E25,$AJ25-SUM($M25:N25)))</f>
        <v/>
      </c>
      <c r="P25">
        <f>MAX(0,MIN(ROUND(Z24*(1+F$5),0)-F25,$AJ25-SUM($M25:O25)))</f>
        <v/>
      </c>
      <c r="Q25">
        <f>MAX(0,MIN(ROUND(AA24*(1+G$5),0)-G25,$AJ25-SUM($M25:P25)))</f>
        <v/>
      </c>
      <c r="R25">
        <f>MAX(0,MIN(ROUND(AB24*(1+H$5),0)-H25,$AJ25-SUM($M25:Q25)))</f>
        <v/>
      </c>
      <c r="S25">
        <f>MAX(0,MIN(ROUND(AC24*(1+I$5),0)-I25,$AJ25-SUM($M25:R25)))</f>
        <v/>
      </c>
      <c r="T25">
        <f>MAX(0,MIN(ROUND(AD24*(1+J$5),0)-J25,$AJ25-SUM($M25:S25)))</f>
        <v/>
      </c>
      <c r="U25">
        <f>MAX(0,MIN(ROUND(AE24*(1+K$5),0)-K25,$AJ25-SUM($M25:T25)))</f>
        <v/>
      </c>
      <c r="V25">
        <f>MAX(0,MIN(ROUND(AF24*(1+L$5),0)-L25,$AJ25-SUM($M25:U25)))</f>
        <v/>
      </c>
      <c r="W25">
        <f>MAX(0,ROUND(W24*(1+C$5),0)-C25-M25)</f>
        <v/>
      </c>
      <c r="X25">
        <f>MAX(0,ROUND(X24*(1+D$5),0)-D25-N25)</f>
        <v/>
      </c>
      <c r="Y25">
        <f>MAX(0,ROUND(Y24*(1+E$5),0)-E25-O25)</f>
        <v/>
      </c>
      <c r="Z25">
        <f>MAX(0,ROUND(Z24*(1+F$5),0)-F25-P25)</f>
        <v/>
      </c>
      <c r="AA25">
        <f>MAX(0,ROUND(AA24*(1+G$5),0)-G25-Q25)</f>
        <v/>
      </c>
      <c r="AB25">
        <f>MAX(0,ROUND(AB24*(1+H$5),0)-H25-R25)</f>
        <v/>
      </c>
      <c r="AC25">
        <f>MAX(0,ROUND(AC24*(1+I$5),0)-I25-S25)</f>
        <v/>
      </c>
      <c r="AD25">
        <f>MAX(0,ROUND(AD24*(1+J$5),0)-J25-T25)</f>
        <v/>
      </c>
      <c r="AE25">
        <f>MAX(0,ROUND(AE24*(1+K$5),0)-K25-U25)</f>
        <v/>
      </c>
      <c r="AF25">
        <f>MAX(0,ROUND(AF24*(1+L$5),0)-L25-V25)</f>
        <v/>
      </c>
      <c r="AG25">
        <f>AH25-(AI24-AI25)</f>
        <v/>
      </c>
      <c r="AH25">
        <f>SUM(C25:V25)</f>
        <v/>
      </c>
      <c r="AI25">
        <f>SUM(W25:AF25)</f>
        <v/>
      </c>
      <c r="AJ25">
        <f>MAX(0,PresTot-SUM(C25:L25))</f>
        <v/>
      </c>
      <c r="AK25">
        <f>IF(AI24&lt;=0,0,11-SUMPRODUCT(MAX((W24:AF24&gt;0)*(11-(COLUMN(W24:AF24)-COLUMN($V24))))))</f>
        <v/>
      </c>
    </row>
    <row r="26">
      <c r="A26" t="n">
        <v>16</v>
      </c>
      <c r="B26">
        <f>DATE(YEAR(InicioEf),MONTH(InicioEf)+A26-1,1)</f>
        <v/>
      </c>
      <c r="C26">
        <f>MIN(C$6,ROUND(W25*(1+C$5),0))</f>
        <v/>
      </c>
      <c r="D26">
        <f>MIN(D$6,ROUND(X25*(1+D$5),0))</f>
        <v/>
      </c>
      <c r="E26">
        <f>MIN(E$6,ROUND(Y25*(1+E$5),0))</f>
        <v/>
      </c>
      <c r="F26">
        <f>MIN(F$6,ROUND(Z25*(1+F$5),0))</f>
        <v/>
      </c>
      <c r="G26">
        <f>MIN(G$6,ROUND(AA25*(1+G$5),0))</f>
        <v/>
      </c>
      <c r="H26">
        <f>MIN(H$6,ROUND(AB25*(1+H$5),0))</f>
        <v/>
      </c>
      <c r="I26">
        <f>MIN(I$6,ROUND(AC25*(1+I$5),0))</f>
        <v/>
      </c>
      <c r="J26">
        <f>MIN(J$6,ROUND(AD25*(1+J$5),0))</f>
        <v/>
      </c>
      <c r="K26">
        <f>MIN(K$6,ROUND(AE25*(1+K$5),0))</f>
        <v/>
      </c>
      <c r="L26">
        <f>MIN(L$6,ROUND(AF25*(1+L$5),0))</f>
        <v/>
      </c>
      <c r="M26">
        <f>MAX(0,MIN(ROUND(W25*(1+C$5),0)-C26,$AJ26-0))</f>
        <v/>
      </c>
      <c r="N26">
        <f>MAX(0,MIN(ROUND(X25*(1+D$5),0)-D26,$AJ26-SUM($M26:M26)))</f>
        <v/>
      </c>
      <c r="O26">
        <f>MAX(0,MIN(ROUND(Y25*(1+E$5),0)-E26,$AJ26-SUM($M26:N26)))</f>
        <v/>
      </c>
      <c r="P26">
        <f>MAX(0,MIN(ROUND(Z25*(1+F$5),0)-F26,$AJ26-SUM($M26:O26)))</f>
        <v/>
      </c>
      <c r="Q26">
        <f>MAX(0,MIN(ROUND(AA25*(1+G$5),0)-G26,$AJ26-SUM($M26:P26)))</f>
        <v/>
      </c>
      <c r="R26">
        <f>MAX(0,MIN(ROUND(AB25*(1+H$5),0)-H26,$AJ26-SUM($M26:Q26)))</f>
        <v/>
      </c>
      <c r="S26">
        <f>MAX(0,MIN(ROUND(AC25*(1+I$5),0)-I26,$AJ26-SUM($M26:R26)))</f>
        <v/>
      </c>
      <c r="T26">
        <f>MAX(0,MIN(ROUND(AD25*(1+J$5),0)-J26,$AJ26-SUM($M26:S26)))</f>
        <v/>
      </c>
      <c r="U26">
        <f>MAX(0,MIN(ROUND(AE25*(1+K$5),0)-K26,$AJ26-SUM($M26:T26)))</f>
        <v/>
      </c>
      <c r="V26">
        <f>MAX(0,MIN(ROUND(AF25*(1+L$5),0)-L26,$AJ26-SUM($M26:U26)))</f>
        <v/>
      </c>
      <c r="W26">
        <f>MAX(0,ROUND(W25*(1+C$5),0)-C26-M26)</f>
        <v/>
      </c>
      <c r="X26">
        <f>MAX(0,ROUND(X25*(1+D$5),0)-D26-N26)</f>
        <v/>
      </c>
      <c r="Y26">
        <f>MAX(0,ROUND(Y25*(1+E$5),0)-E26-O26)</f>
        <v/>
      </c>
      <c r="Z26">
        <f>MAX(0,ROUND(Z25*(1+F$5),0)-F26-P26)</f>
        <v/>
      </c>
      <c r="AA26">
        <f>MAX(0,ROUND(AA25*(1+G$5),0)-G26-Q26)</f>
        <v/>
      </c>
      <c r="AB26">
        <f>MAX(0,ROUND(AB25*(1+H$5),0)-H26-R26)</f>
        <v/>
      </c>
      <c r="AC26">
        <f>MAX(0,ROUND(AC25*(1+I$5),0)-I26-S26)</f>
        <v/>
      </c>
      <c r="AD26">
        <f>MAX(0,ROUND(AD25*(1+J$5),0)-J26-T26)</f>
        <v/>
      </c>
      <c r="AE26">
        <f>MAX(0,ROUND(AE25*(1+K$5),0)-K26-U26)</f>
        <v/>
      </c>
      <c r="AF26">
        <f>MAX(0,ROUND(AF25*(1+L$5),0)-L26-V26)</f>
        <v/>
      </c>
      <c r="AG26">
        <f>AH26-(AI25-AI26)</f>
        <v/>
      </c>
      <c r="AH26">
        <f>SUM(C26:V26)</f>
        <v/>
      </c>
      <c r="AI26">
        <f>SUM(W26:AF26)</f>
        <v/>
      </c>
      <c r="AJ26">
        <f>MAX(0,PresTot-SUM(C26:L26))</f>
        <v/>
      </c>
      <c r="AK26">
        <f>IF(AI25&lt;=0,0,11-SUMPRODUCT(MAX((W25:AF25&gt;0)*(11-(COLUMN(W25:AF25)-COLUMN($V25))))))</f>
        <v/>
      </c>
    </row>
    <row r="27">
      <c r="A27" t="n">
        <v>17</v>
      </c>
      <c r="B27">
        <f>DATE(YEAR(InicioEf),MONTH(InicioEf)+A27-1,1)</f>
        <v/>
      </c>
      <c r="C27">
        <f>MIN(C$6,ROUND(W26*(1+C$5),0))</f>
        <v/>
      </c>
      <c r="D27">
        <f>MIN(D$6,ROUND(X26*(1+D$5),0))</f>
        <v/>
      </c>
      <c r="E27">
        <f>MIN(E$6,ROUND(Y26*(1+E$5),0))</f>
        <v/>
      </c>
      <c r="F27">
        <f>MIN(F$6,ROUND(Z26*(1+F$5),0))</f>
        <v/>
      </c>
      <c r="G27">
        <f>MIN(G$6,ROUND(AA26*(1+G$5),0))</f>
        <v/>
      </c>
      <c r="H27">
        <f>MIN(H$6,ROUND(AB26*(1+H$5),0))</f>
        <v/>
      </c>
      <c r="I27">
        <f>MIN(I$6,ROUND(AC26*(1+I$5),0))</f>
        <v/>
      </c>
      <c r="J27">
        <f>MIN(J$6,ROUND(AD26*(1+J$5),0))</f>
        <v/>
      </c>
      <c r="K27">
        <f>MIN(K$6,ROUND(AE26*(1+K$5),0))</f>
        <v/>
      </c>
      <c r="L27">
        <f>MIN(L$6,ROUND(AF26*(1+L$5),0))</f>
        <v/>
      </c>
      <c r="M27">
        <f>MAX(0,MIN(ROUND(W26*(1+C$5),0)-C27,$AJ27-0))</f>
        <v/>
      </c>
      <c r="N27">
        <f>MAX(0,MIN(ROUND(X26*(1+D$5),0)-D27,$AJ27-SUM($M27:M27)))</f>
        <v/>
      </c>
      <c r="O27">
        <f>MAX(0,MIN(ROUND(Y26*(1+E$5),0)-E27,$AJ27-SUM($M27:N27)))</f>
        <v/>
      </c>
      <c r="P27">
        <f>MAX(0,MIN(ROUND(Z26*(1+F$5),0)-F27,$AJ27-SUM($M27:O27)))</f>
        <v/>
      </c>
      <c r="Q27">
        <f>MAX(0,MIN(ROUND(AA26*(1+G$5),0)-G27,$AJ27-SUM($M27:P27)))</f>
        <v/>
      </c>
      <c r="R27">
        <f>MAX(0,MIN(ROUND(AB26*(1+H$5),0)-H27,$AJ27-SUM($M27:Q27)))</f>
        <v/>
      </c>
      <c r="S27">
        <f>MAX(0,MIN(ROUND(AC26*(1+I$5),0)-I27,$AJ27-SUM($M27:R27)))</f>
        <v/>
      </c>
      <c r="T27">
        <f>MAX(0,MIN(ROUND(AD26*(1+J$5),0)-J27,$AJ27-SUM($M27:S27)))</f>
        <v/>
      </c>
      <c r="U27">
        <f>MAX(0,MIN(ROUND(AE26*(1+K$5),0)-K27,$AJ27-SUM($M27:T27)))</f>
        <v/>
      </c>
      <c r="V27">
        <f>MAX(0,MIN(ROUND(AF26*(1+L$5),0)-L27,$AJ27-SUM($M27:U27)))</f>
        <v/>
      </c>
      <c r="W27">
        <f>MAX(0,ROUND(W26*(1+C$5),0)-C27-M27)</f>
        <v/>
      </c>
      <c r="X27">
        <f>MAX(0,ROUND(X26*(1+D$5),0)-D27-N27)</f>
        <v/>
      </c>
      <c r="Y27">
        <f>MAX(0,ROUND(Y26*(1+E$5),0)-E27-O27)</f>
        <v/>
      </c>
      <c r="Z27">
        <f>MAX(0,ROUND(Z26*(1+F$5),0)-F27-P27)</f>
        <v/>
      </c>
      <c r="AA27">
        <f>MAX(0,ROUND(AA26*(1+G$5),0)-G27-Q27)</f>
        <v/>
      </c>
      <c r="AB27">
        <f>MAX(0,ROUND(AB26*(1+H$5),0)-H27-R27)</f>
        <v/>
      </c>
      <c r="AC27">
        <f>MAX(0,ROUND(AC26*(1+I$5),0)-I27-S27)</f>
        <v/>
      </c>
      <c r="AD27">
        <f>MAX(0,ROUND(AD26*(1+J$5),0)-J27-T27)</f>
        <v/>
      </c>
      <c r="AE27">
        <f>MAX(0,ROUND(AE26*(1+K$5),0)-K27-U27)</f>
        <v/>
      </c>
      <c r="AF27">
        <f>MAX(0,ROUND(AF26*(1+L$5),0)-L27-V27)</f>
        <v/>
      </c>
      <c r="AG27">
        <f>AH27-(AI26-AI27)</f>
        <v/>
      </c>
      <c r="AH27">
        <f>SUM(C27:V27)</f>
        <v/>
      </c>
      <c r="AI27">
        <f>SUM(W27:AF27)</f>
        <v/>
      </c>
      <c r="AJ27">
        <f>MAX(0,PresTot-SUM(C27:L27))</f>
        <v/>
      </c>
      <c r="AK27">
        <f>IF(AI26&lt;=0,0,11-SUMPRODUCT(MAX((W26:AF26&gt;0)*(11-(COLUMN(W26:AF26)-COLUMN($V26))))))</f>
        <v/>
      </c>
    </row>
    <row r="28">
      <c r="A28" t="n">
        <v>18</v>
      </c>
      <c r="B28">
        <f>DATE(YEAR(InicioEf),MONTH(InicioEf)+A28-1,1)</f>
        <v/>
      </c>
      <c r="C28">
        <f>MIN(C$6,ROUND(W27*(1+C$5),0))</f>
        <v/>
      </c>
      <c r="D28">
        <f>MIN(D$6,ROUND(X27*(1+D$5),0))</f>
        <v/>
      </c>
      <c r="E28">
        <f>MIN(E$6,ROUND(Y27*(1+E$5),0))</f>
        <v/>
      </c>
      <c r="F28">
        <f>MIN(F$6,ROUND(Z27*(1+F$5),0))</f>
        <v/>
      </c>
      <c r="G28">
        <f>MIN(G$6,ROUND(AA27*(1+G$5),0))</f>
        <v/>
      </c>
      <c r="H28">
        <f>MIN(H$6,ROUND(AB27*(1+H$5),0))</f>
        <v/>
      </c>
      <c r="I28">
        <f>MIN(I$6,ROUND(AC27*(1+I$5),0))</f>
        <v/>
      </c>
      <c r="J28">
        <f>MIN(J$6,ROUND(AD27*(1+J$5),0))</f>
        <v/>
      </c>
      <c r="K28">
        <f>MIN(K$6,ROUND(AE27*(1+K$5),0))</f>
        <v/>
      </c>
      <c r="L28">
        <f>MIN(L$6,ROUND(AF27*(1+L$5),0))</f>
        <v/>
      </c>
      <c r="M28">
        <f>MAX(0,MIN(ROUND(W27*(1+C$5),0)-C28,$AJ28-0))</f>
        <v/>
      </c>
      <c r="N28">
        <f>MAX(0,MIN(ROUND(X27*(1+D$5),0)-D28,$AJ28-SUM($M28:M28)))</f>
        <v/>
      </c>
      <c r="O28">
        <f>MAX(0,MIN(ROUND(Y27*(1+E$5),0)-E28,$AJ28-SUM($M28:N28)))</f>
        <v/>
      </c>
      <c r="P28">
        <f>MAX(0,MIN(ROUND(Z27*(1+F$5),0)-F28,$AJ28-SUM($M28:O28)))</f>
        <v/>
      </c>
      <c r="Q28">
        <f>MAX(0,MIN(ROUND(AA27*(1+G$5),0)-G28,$AJ28-SUM($M28:P28)))</f>
        <v/>
      </c>
      <c r="R28">
        <f>MAX(0,MIN(ROUND(AB27*(1+H$5),0)-H28,$AJ28-SUM($M28:Q28)))</f>
        <v/>
      </c>
      <c r="S28">
        <f>MAX(0,MIN(ROUND(AC27*(1+I$5),0)-I28,$AJ28-SUM($M28:R28)))</f>
        <v/>
      </c>
      <c r="T28">
        <f>MAX(0,MIN(ROUND(AD27*(1+J$5),0)-J28,$AJ28-SUM($M28:S28)))</f>
        <v/>
      </c>
      <c r="U28">
        <f>MAX(0,MIN(ROUND(AE27*(1+K$5),0)-K28,$AJ28-SUM($M28:T28)))</f>
        <v/>
      </c>
      <c r="V28">
        <f>MAX(0,MIN(ROUND(AF27*(1+L$5),0)-L28,$AJ28-SUM($M28:U28)))</f>
        <v/>
      </c>
      <c r="W28">
        <f>MAX(0,ROUND(W27*(1+C$5),0)-C28-M28)</f>
        <v/>
      </c>
      <c r="X28">
        <f>MAX(0,ROUND(X27*(1+D$5),0)-D28-N28)</f>
        <v/>
      </c>
      <c r="Y28">
        <f>MAX(0,ROUND(Y27*(1+E$5),0)-E28-O28)</f>
        <v/>
      </c>
      <c r="Z28">
        <f>MAX(0,ROUND(Z27*(1+F$5),0)-F28-P28)</f>
        <v/>
      </c>
      <c r="AA28">
        <f>MAX(0,ROUND(AA27*(1+G$5),0)-G28-Q28)</f>
        <v/>
      </c>
      <c r="AB28">
        <f>MAX(0,ROUND(AB27*(1+H$5),0)-H28-R28)</f>
        <v/>
      </c>
      <c r="AC28">
        <f>MAX(0,ROUND(AC27*(1+I$5),0)-I28-S28)</f>
        <v/>
      </c>
      <c r="AD28">
        <f>MAX(0,ROUND(AD27*(1+J$5),0)-J28-T28)</f>
        <v/>
      </c>
      <c r="AE28">
        <f>MAX(0,ROUND(AE27*(1+K$5),0)-K28-U28)</f>
        <v/>
      </c>
      <c r="AF28">
        <f>MAX(0,ROUND(AF27*(1+L$5),0)-L28-V28)</f>
        <v/>
      </c>
      <c r="AG28">
        <f>AH28-(AI27-AI28)</f>
        <v/>
      </c>
      <c r="AH28">
        <f>SUM(C28:V28)</f>
        <v/>
      </c>
      <c r="AI28">
        <f>SUM(W28:AF28)</f>
        <v/>
      </c>
      <c r="AJ28">
        <f>MAX(0,PresTot-SUM(C28:L28))</f>
        <v/>
      </c>
      <c r="AK28">
        <f>IF(AI27&lt;=0,0,11-SUMPRODUCT(MAX((W27:AF27&gt;0)*(11-(COLUMN(W27:AF27)-COLUMN($V27))))))</f>
        <v/>
      </c>
    </row>
    <row r="29">
      <c r="A29" t="n">
        <v>19</v>
      </c>
      <c r="B29">
        <f>DATE(YEAR(InicioEf),MONTH(InicioEf)+A29-1,1)</f>
        <v/>
      </c>
      <c r="C29">
        <f>MIN(C$6,ROUND(W28*(1+C$5),0))</f>
        <v/>
      </c>
      <c r="D29">
        <f>MIN(D$6,ROUND(X28*(1+D$5),0))</f>
        <v/>
      </c>
      <c r="E29">
        <f>MIN(E$6,ROUND(Y28*(1+E$5),0))</f>
        <v/>
      </c>
      <c r="F29">
        <f>MIN(F$6,ROUND(Z28*(1+F$5),0))</f>
        <v/>
      </c>
      <c r="G29">
        <f>MIN(G$6,ROUND(AA28*(1+G$5),0))</f>
        <v/>
      </c>
      <c r="H29">
        <f>MIN(H$6,ROUND(AB28*(1+H$5),0))</f>
        <v/>
      </c>
      <c r="I29">
        <f>MIN(I$6,ROUND(AC28*(1+I$5),0))</f>
        <v/>
      </c>
      <c r="J29">
        <f>MIN(J$6,ROUND(AD28*(1+J$5),0))</f>
        <v/>
      </c>
      <c r="K29">
        <f>MIN(K$6,ROUND(AE28*(1+K$5),0))</f>
        <v/>
      </c>
      <c r="L29">
        <f>MIN(L$6,ROUND(AF28*(1+L$5),0))</f>
        <v/>
      </c>
      <c r="M29">
        <f>MAX(0,MIN(ROUND(W28*(1+C$5),0)-C29,$AJ29-0))</f>
        <v/>
      </c>
      <c r="N29">
        <f>MAX(0,MIN(ROUND(X28*(1+D$5),0)-D29,$AJ29-SUM($M29:M29)))</f>
        <v/>
      </c>
      <c r="O29">
        <f>MAX(0,MIN(ROUND(Y28*(1+E$5),0)-E29,$AJ29-SUM($M29:N29)))</f>
        <v/>
      </c>
      <c r="P29">
        <f>MAX(0,MIN(ROUND(Z28*(1+F$5),0)-F29,$AJ29-SUM($M29:O29)))</f>
        <v/>
      </c>
      <c r="Q29">
        <f>MAX(0,MIN(ROUND(AA28*(1+G$5),0)-G29,$AJ29-SUM($M29:P29)))</f>
        <v/>
      </c>
      <c r="R29">
        <f>MAX(0,MIN(ROUND(AB28*(1+H$5),0)-H29,$AJ29-SUM($M29:Q29)))</f>
        <v/>
      </c>
      <c r="S29">
        <f>MAX(0,MIN(ROUND(AC28*(1+I$5),0)-I29,$AJ29-SUM($M29:R29)))</f>
        <v/>
      </c>
      <c r="T29">
        <f>MAX(0,MIN(ROUND(AD28*(1+J$5),0)-J29,$AJ29-SUM($M29:S29)))</f>
        <v/>
      </c>
      <c r="U29">
        <f>MAX(0,MIN(ROUND(AE28*(1+K$5),0)-K29,$AJ29-SUM($M29:T29)))</f>
        <v/>
      </c>
      <c r="V29">
        <f>MAX(0,MIN(ROUND(AF28*(1+L$5),0)-L29,$AJ29-SUM($M29:U29)))</f>
        <v/>
      </c>
      <c r="W29">
        <f>MAX(0,ROUND(W28*(1+C$5),0)-C29-M29)</f>
        <v/>
      </c>
      <c r="X29">
        <f>MAX(0,ROUND(X28*(1+D$5),0)-D29-N29)</f>
        <v/>
      </c>
      <c r="Y29">
        <f>MAX(0,ROUND(Y28*(1+E$5),0)-E29-O29)</f>
        <v/>
      </c>
      <c r="Z29">
        <f>MAX(0,ROUND(Z28*(1+F$5),0)-F29-P29)</f>
        <v/>
      </c>
      <c r="AA29">
        <f>MAX(0,ROUND(AA28*(1+G$5),0)-G29-Q29)</f>
        <v/>
      </c>
      <c r="AB29">
        <f>MAX(0,ROUND(AB28*(1+H$5),0)-H29-R29)</f>
        <v/>
      </c>
      <c r="AC29">
        <f>MAX(0,ROUND(AC28*(1+I$5),0)-I29-S29)</f>
        <v/>
      </c>
      <c r="AD29">
        <f>MAX(0,ROUND(AD28*(1+J$5),0)-J29-T29)</f>
        <v/>
      </c>
      <c r="AE29">
        <f>MAX(0,ROUND(AE28*(1+K$5),0)-K29-U29)</f>
        <v/>
      </c>
      <c r="AF29">
        <f>MAX(0,ROUND(AF28*(1+L$5),0)-L29-V29)</f>
        <v/>
      </c>
      <c r="AG29">
        <f>AH29-(AI28-AI29)</f>
        <v/>
      </c>
      <c r="AH29">
        <f>SUM(C29:V29)</f>
        <v/>
      </c>
      <c r="AI29">
        <f>SUM(W29:AF29)</f>
        <v/>
      </c>
      <c r="AJ29">
        <f>MAX(0,PresTot-SUM(C29:L29))</f>
        <v/>
      </c>
      <c r="AK29">
        <f>IF(AI28&lt;=0,0,11-SUMPRODUCT(MAX((W28:AF28&gt;0)*(11-(COLUMN(W28:AF28)-COLUMN($V28))))))</f>
        <v/>
      </c>
    </row>
    <row r="30">
      <c r="A30" t="n">
        <v>20</v>
      </c>
      <c r="B30">
        <f>DATE(YEAR(InicioEf),MONTH(InicioEf)+A30-1,1)</f>
        <v/>
      </c>
      <c r="C30">
        <f>MIN(C$6,ROUND(W29*(1+C$5),0))</f>
        <v/>
      </c>
      <c r="D30">
        <f>MIN(D$6,ROUND(X29*(1+D$5),0))</f>
        <v/>
      </c>
      <c r="E30">
        <f>MIN(E$6,ROUND(Y29*(1+E$5),0))</f>
        <v/>
      </c>
      <c r="F30">
        <f>MIN(F$6,ROUND(Z29*(1+F$5),0))</f>
        <v/>
      </c>
      <c r="G30">
        <f>MIN(G$6,ROUND(AA29*(1+G$5),0))</f>
        <v/>
      </c>
      <c r="H30">
        <f>MIN(H$6,ROUND(AB29*(1+H$5),0))</f>
        <v/>
      </c>
      <c r="I30">
        <f>MIN(I$6,ROUND(AC29*(1+I$5),0))</f>
        <v/>
      </c>
      <c r="J30">
        <f>MIN(J$6,ROUND(AD29*(1+J$5),0))</f>
        <v/>
      </c>
      <c r="K30">
        <f>MIN(K$6,ROUND(AE29*(1+K$5),0))</f>
        <v/>
      </c>
      <c r="L30">
        <f>MIN(L$6,ROUND(AF29*(1+L$5),0))</f>
        <v/>
      </c>
      <c r="M30">
        <f>MAX(0,MIN(ROUND(W29*(1+C$5),0)-C30,$AJ30-0))</f>
        <v/>
      </c>
      <c r="N30">
        <f>MAX(0,MIN(ROUND(X29*(1+D$5),0)-D30,$AJ30-SUM($M30:M30)))</f>
        <v/>
      </c>
      <c r="O30">
        <f>MAX(0,MIN(ROUND(Y29*(1+E$5),0)-E30,$AJ30-SUM($M30:N30)))</f>
        <v/>
      </c>
      <c r="P30">
        <f>MAX(0,MIN(ROUND(Z29*(1+F$5),0)-F30,$AJ30-SUM($M30:O30)))</f>
        <v/>
      </c>
      <c r="Q30">
        <f>MAX(0,MIN(ROUND(AA29*(1+G$5),0)-G30,$AJ30-SUM($M30:P30)))</f>
        <v/>
      </c>
      <c r="R30">
        <f>MAX(0,MIN(ROUND(AB29*(1+H$5),0)-H30,$AJ30-SUM($M30:Q30)))</f>
        <v/>
      </c>
      <c r="S30">
        <f>MAX(0,MIN(ROUND(AC29*(1+I$5),0)-I30,$AJ30-SUM($M30:R30)))</f>
        <v/>
      </c>
      <c r="T30">
        <f>MAX(0,MIN(ROUND(AD29*(1+J$5),0)-J30,$AJ30-SUM($M30:S30)))</f>
        <v/>
      </c>
      <c r="U30">
        <f>MAX(0,MIN(ROUND(AE29*(1+K$5),0)-K30,$AJ30-SUM($M30:T30)))</f>
        <v/>
      </c>
      <c r="V30">
        <f>MAX(0,MIN(ROUND(AF29*(1+L$5),0)-L30,$AJ30-SUM($M30:U30)))</f>
        <v/>
      </c>
      <c r="W30">
        <f>MAX(0,ROUND(W29*(1+C$5),0)-C30-M30)</f>
        <v/>
      </c>
      <c r="X30">
        <f>MAX(0,ROUND(X29*(1+D$5),0)-D30-N30)</f>
        <v/>
      </c>
      <c r="Y30">
        <f>MAX(0,ROUND(Y29*(1+E$5),0)-E30-O30)</f>
        <v/>
      </c>
      <c r="Z30">
        <f>MAX(0,ROUND(Z29*(1+F$5),0)-F30-P30)</f>
        <v/>
      </c>
      <c r="AA30">
        <f>MAX(0,ROUND(AA29*(1+G$5),0)-G30-Q30)</f>
        <v/>
      </c>
      <c r="AB30">
        <f>MAX(0,ROUND(AB29*(1+H$5),0)-H30-R30)</f>
        <v/>
      </c>
      <c r="AC30">
        <f>MAX(0,ROUND(AC29*(1+I$5),0)-I30-S30)</f>
        <v/>
      </c>
      <c r="AD30">
        <f>MAX(0,ROUND(AD29*(1+J$5),0)-J30-T30)</f>
        <v/>
      </c>
      <c r="AE30">
        <f>MAX(0,ROUND(AE29*(1+K$5),0)-K30-U30)</f>
        <v/>
      </c>
      <c r="AF30">
        <f>MAX(0,ROUND(AF29*(1+L$5),0)-L30-V30)</f>
        <v/>
      </c>
      <c r="AG30">
        <f>AH30-(AI29-AI30)</f>
        <v/>
      </c>
      <c r="AH30">
        <f>SUM(C30:V30)</f>
        <v/>
      </c>
      <c r="AI30">
        <f>SUM(W30:AF30)</f>
        <v/>
      </c>
      <c r="AJ30">
        <f>MAX(0,PresTot-SUM(C30:L30))</f>
        <v/>
      </c>
      <c r="AK30">
        <f>IF(AI29&lt;=0,0,11-SUMPRODUCT(MAX((W29:AF29&gt;0)*(11-(COLUMN(W29:AF29)-COLUMN($V29))))))</f>
        <v/>
      </c>
    </row>
    <row r="31">
      <c r="A31" t="n">
        <v>21</v>
      </c>
      <c r="B31">
        <f>DATE(YEAR(InicioEf),MONTH(InicioEf)+A31-1,1)</f>
        <v/>
      </c>
      <c r="C31">
        <f>MIN(C$6,ROUND(W30*(1+C$5),0))</f>
        <v/>
      </c>
      <c r="D31">
        <f>MIN(D$6,ROUND(X30*(1+D$5),0))</f>
        <v/>
      </c>
      <c r="E31">
        <f>MIN(E$6,ROUND(Y30*(1+E$5),0))</f>
        <v/>
      </c>
      <c r="F31">
        <f>MIN(F$6,ROUND(Z30*(1+F$5),0))</f>
        <v/>
      </c>
      <c r="G31">
        <f>MIN(G$6,ROUND(AA30*(1+G$5),0))</f>
        <v/>
      </c>
      <c r="H31">
        <f>MIN(H$6,ROUND(AB30*(1+H$5),0))</f>
        <v/>
      </c>
      <c r="I31">
        <f>MIN(I$6,ROUND(AC30*(1+I$5),0))</f>
        <v/>
      </c>
      <c r="J31">
        <f>MIN(J$6,ROUND(AD30*(1+J$5),0))</f>
        <v/>
      </c>
      <c r="K31">
        <f>MIN(K$6,ROUND(AE30*(1+K$5),0))</f>
        <v/>
      </c>
      <c r="L31">
        <f>MIN(L$6,ROUND(AF30*(1+L$5),0))</f>
        <v/>
      </c>
      <c r="M31">
        <f>MAX(0,MIN(ROUND(W30*(1+C$5),0)-C31,$AJ31-0))</f>
        <v/>
      </c>
      <c r="N31">
        <f>MAX(0,MIN(ROUND(X30*(1+D$5),0)-D31,$AJ31-SUM($M31:M31)))</f>
        <v/>
      </c>
      <c r="O31">
        <f>MAX(0,MIN(ROUND(Y30*(1+E$5),0)-E31,$AJ31-SUM($M31:N31)))</f>
        <v/>
      </c>
      <c r="P31">
        <f>MAX(0,MIN(ROUND(Z30*(1+F$5),0)-F31,$AJ31-SUM($M31:O31)))</f>
        <v/>
      </c>
      <c r="Q31">
        <f>MAX(0,MIN(ROUND(AA30*(1+G$5),0)-G31,$AJ31-SUM($M31:P31)))</f>
        <v/>
      </c>
      <c r="R31">
        <f>MAX(0,MIN(ROUND(AB30*(1+H$5),0)-H31,$AJ31-SUM($M31:Q31)))</f>
        <v/>
      </c>
      <c r="S31">
        <f>MAX(0,MIN(ROUND(AC30*(1+I$5),0)-I31,$AJ31-SUM($M31:R31)))</f>
        <v/>
      </c>
      <c r="T31">
        <f>MAX(0,MIN(ROUND(AD30*(1+J$5),0)-J31,$AJ31-SUM($M31:S31)))</f>
        <v/>
      </c>
      <c r="U31">
        <f>MAX(0,MIN(ROUND(AE30*(1+K$5),0)-K31,$AJ31-SUM($M31:T31)))</f>
        <v/>
      </c>
      <c r="V31">
        <f>MAX(0,MIN(ROUND(AF30*(1+L$5),0)-L31,$AJ31-SUM($M31:U31)))</f>
        <v/>
      </c>
      <c r="W31">
        <f>MAX(0,ROUND(W30*(1+C$5),0)-C31-M31)</f>
        <v/>
      </c>
      <c r="X31">
        <f>MAX(0,ROUND(X30*(1+D$5),0)-D31-N31)</f>
        <v/>
      </c>
      <c r="Y31">
        <f>MAX(0,ROUND(Y30*(1+E$5),0)-E31-O31)</f>
        <v/>
      </c>
      <c r="Z31">
        <f>MAX(0,ROUND(Z30*(1+F$5),0)-F31-P31)</f>
        <v/>
      </c>
      <c r="AA31">
        <f>MAX(0,ROUND(AA30*(1+G$5),0)-G31-Q31)</f>
        <v/>
      </c>
      <c r="AB31">
        <f>MAX(0,ROUND(AB30*(1+H$5),0)-H31-R31)</f>
        <v/>
      </c>
      <c r="AC31">
        <f>MAX(0,ROUND(AC30*(1+I$5),0)-I31-S31)</f>
        <v/>
      </c>
      <c r="AD31">
        <f>MAX(0,ROUND(AD30*(1+J$5),0)-J31-T31)</f>
        <v/>
      </c>
      <c r="AE31">
        <f>MAX(0,ROUND(AE30*(1+K$5),0)-K31-U31)</f>
        <v/>
      </c>
      <c r="AF31">
        <f>MAX(0,ROUND(AF30*(1+L$5),0)-L31-V31)</f>
        <v/>
      </c>
      <c r="AG31">
        <f>AH31-(AI30-AI31)</f>
        <v/>
      </c>
      <c r="AH31">
        <f>SUM(C31:V31)</f>
        <v/>
      </c>
      <c r="AI31">
        <f>SUM(W31:AF31)</f>
        <v/>
      </c>
      <c r="AJ31">
        <f>MAX(0,PresTot-SUM(C31:L31))</f>
        <v/>
      </c>
      <c r="AK31">
        <f>IF(AI30&lt;=0,0,11-SUMPRODUCT(MAX((W30:AF30&gt;0)*(11-(COLUMN(W30:AF30)-COLUMN($V30))))))</f>
        <v/>
      </c>
    </row>
    <row r="32">
      <c r="A32" t="n">
        <v>22</v>
      </c>
      <c r="B32">
        <f>DATE(YEAR(InicioEf),MONTH(InicioEf)+A32-1,1)</f>
        <v/>
      </c>
      <c r="C32">
        <f>MIN(C$6,ROUND(W31*(1+C$5),0))</f>
        <v/>
      </c>
      <c r="D32">
        <f>MIN(D$6,ROUND(X31*(1+D$5),0))</f>
        <v/>
      </c>
      <c r="E32">
        <f>MIN(E$6,ROUND(Y31*(1+E$5),0))</f>
        <v/>
      </c>
      <c r="F32">
        <f>MIN(F$6,ROUND(Z31*(1+F$5),0))</f>
        <v/>
      </c>
      <c r="G32">
        <f>MIN(G$6,ROUND(AA31*(1+G$5),0))</f>
        <v/>
      </c>
      <c r="H32">
        <f>MIN(H$6,ROUND(AB31*(1+H$5),0))</f>
        <v/>
      </c>
      <c r="I32">
        <f>MIN(I$6,ROUND(AC31*(1+I$5),0))</f>
        <v/>
      </c>
      <c r="J32">
        <f>MIN(J$6,ROUND(AD31*(1+J$5),0))</f>
        <v/>
      </c>
      <c r="K32">
        <f>MIN(K$6,ROUND(AE31*(1+K$5),0))</f>
        <v/>
      </c>
      <c r="L32">
        <f>MIN(L$6,ROUND(AF31*(1+L$5),0))</f>
        <v/>
      </c>
      <c r="M32">
        <f>MAX(0,MIN(ROUND(W31*(1+C$5),0)-C32,$AJ32-0))</f>
        <v/>
      </c>
      <c r="N32">
        <f>MAX(0,MIN(ROUND(X31*(1+D$5),0)-D32,$AJ32-SUM($M32:M32)))</f>
        <v/>
      </c>
      <c r="O32">
        <f>MAX(0,MIN(ROUND(Y31*(1+E$5),0)-E32,$AJ32-SUM($M32:N32)))</f>
        <v/>
      </c>
      <c r="P32">
        <f>MAX(0,MIN(ROUND(Z31*(1+F$5),0)-F32,$AJ32-SUM($M32:O32)))</f>
        <v/>
      </c>
      <c r="Q32">
        <f>MAX(0,MIN(ROUND(AA31*(1+G$5),0)-G32,$AJ32-SUM($M32:P32)))</f>
        <v/>
      </c>
      <c r="R32">
        <f>MAX(0,MIN(ROUND(AB31*(1+H$5),0)-H32,$AJ32-SUM($M32:Q32)))</f>
        <v/>
      </c>
      <c r="S32">
        <f>MAX(0,MIN(ROUND(AC31*(1+I$5),0)-I32,$AJ32-SUM($M32:R32)))</f>
        <v/>
      </c>
      <c r="T32">
        <f>MAX(0,MIN(ROUND(AD31*(1+J$5),0)-J32,$AJ32-SUM($M32:S32)))</f>
        <v/>
      </c>
      <c r="U32">
        <f>MAX(0,MIN(ROUND(AE31*(1+K$5),0)-K32,$AJ32-SUM($M32:T32)))</f>
        <v/>
      </c>
      <c r="V32">
        <f>MAX(0,MIN(ROUND(AF31*(1+L$5),0)-L32,$AJ32-SUM($M32:U32)))</f>
        <v/>
      </c>
      <c r="W32">
        <f>MAX(0,ROUND(W31*(1+C$5),0)-C32-M32)</f>
        <v/>
      </c>
      <c r="X32">
        <f>MAX(0,ROUND(X31*(1+D$5),0)-D32-N32)</f>
        <v/>
      </c>
      <c r="Y32">
        <f>MAX(0,ROUND(Y31*(1+E$5),0)-E32-O32)</f>
        <v/>
      </c>
      <c r="Z32">
        <f>MAX(0,ROUND(Z31*(1+F$5),0)-F32-P32)</f>
        <v/>
      </c>
      <c r="AA32">
        <f>MAX(0,ROUND(AA31*(1+G$5),0)-G32-Q32)</f>
        <v/>
      </c>
      <c r="AB32">
        <f>MAX(0,ROUND(AB31*(1+H$5),0)-H32-R32)</f>
        <v/>
      </c>
      <c r="AC32">
        <f>MAX(0,ROUND(AC31*(1+I$5),0)-I32-S32)</f>
        <v/>
      </c>
      <c r="AD32">
        <f>MAX(0,ROUND(AD31*(1+J$5),0)-J32-T32)</f>
        <v/>
      </c>
      <c r="AE32">
        <f>MAX(0,ROUND(AE31*(1+K$5),0)-K32-U32)</f>
        <v/>
      </c>
      <c r="AF32">
        <f>MAX(0,ROUND(AF31*(1+L$5),0)-L32-V32)</f>
        <v/>
      </c>
      <c r="AG32">
        <f>AH32-(AI31-AI32)</f>
        <v/>
      </c>
      <c r="AH32">
        <f>SUM(C32:V32)</f>
        <v/>
      </c>
      <c r="AI32">
        <f>SUM(W32:AF32)</f>
        <v/>
      </c>
      <c r="AJ32">
        <f>MAX(0,PresTot-SUM(C32:L32))</f>
        <v/>
      </c>
      <c r="AK32">
        <f>IF(AI31&lt;=0,0,11-SUMPRODUCT(MAX((W31:AF31&gt;0)*(11-(COLUMN(W31:AF31)-COLUMN($V31))))))</f>
        <v/>
      </c>
    </row>
    <row r="33">
      <c r="A33" t="n">
        <v>23</v>
      </c>
      <c r="B33">
        <f>DATE(YEAR(InicioEf),MONTH(InicioEf)+A33-1,1)</f>
        <v/>
      </c>
      <c r="C33">
        <f>MIN(C$6,ROUND(W32*(1+C$5),0))</f>
        <v/>
      </c>
      <c r="D33">
        <f>MIN(D$6,ROUND(X32*(1+D$5),0))</f>
        <v/>
      </c>
      <c r="E33">
        <f>MIN(E$6,ROUND(Y32*(1+E$5),0))</f>
        <v/>
      </c>
      <c r="F33">
        <f>MIN(F$6,ROUND(Z32*(1+F$5),0))</f>
        <v/>
      </c>
      <c r="G33">
        <f>MIN(G$6,ROUND(AA32*(1+G$5),0))</f>
        <v/>
      </c>
      <c r="H33">
        <f>MIN(H$6,ROUND(AB32*(1+H$5),0))</f>
        <v/>
      </c>
      <c r="I33">
        <f>MIN(I$6,ROUND(AC32*(1+I$5),0))</f>
        <v/>
      </c>
      <c r="J33">
        <f>MIN(J$6,ROUND(AD32*(1+J$5),0))</f>
        <v/>
      </c>
      <c r="K33">
        <f>MIN(K$6,ROUND(AE32*(1+K$5),0))</f>
        <v/>
      </c>
      <c r="L33">
        <f>MIN(L$6,ROUND(AF32*(1+L$5),0))</f>
        <v/>
      </c>
      <c r="M33">
        <f>MAX(0,MIN(ROUND(W32*(1+C$5),0)-C33,$AJ33-0))</f>
        <v/>
      </c>
      <c r="N33">
        <f>MAX(0,MIN(ROUND(X32*(1+D$5),0)-D33,$AJ33-SUM($M33:M33)))</f>
        <v/>
      </c>
      <c r="O33">
        <f>MAX(0,MIN(ROUND(Y32*(1+E$5),0)-E33,$AJ33-SUM($M33:N33)))</f>
        <v/>
      </c>
      <c r="P33">
        <f>MAX(0,MIN(ROUND(Z32*(1+F$5),0)-F33,$AJ33-SUM($M33:O33)))</f>
        <v/>
      </c>
      <c r="Q33">
        <f>MAX(0,MIN(ROUND(AA32*(1+G$5),0)-G33,$AJ33-SUM($M33:P33)))</f>
        <v/>
      </c>
      <c r="R33">
        <f>MAX(0,MIN(ROUND(AB32*(1+H$5),0)-H33,$AJ33-SUM($M33:Q33)))</f>
        <v/>
      </c>
      <c r="S33">
        <f>MAX(0,MIN(ROUND(AC32*(1+I$5),0)-I33,$AJ33-SUM($M33:R33)))</f>
        <v/>
      </c>
      <c r="T33">
        <f>MAX(0,MIN(ROUND(AD32*(1+J$5),0)-J33,$AJ33-SUM($M33:S33)))</f>
        <v/>
      </c>
      <c r="U33">
        <f>MAX(0,MIN(ROUND(AE32*(1+K$5),0)-K33,$AJ33-SUM($M33:T33)))</f>
        <v/>
      </c>
      <c r="V33">
        <f>MAX(0,MIN(ROUND(AF32*(1+L$5),0)-L33,$AJ33-SUM($M33:U33)))</f>
        <v/>
      </c>
      <c r="W33">
        <f>MAX(0,ROUND(W32*(1+C$5),0)-C33-M33)</f>
        <v/>
      </c>
      <c r="X33">
        <f>MAX(0,ROUND(X32*(1+D$5),0)-D33-N33)</f>
        <v/>
      </c>
      <c r="Y33">
        <f>MAX(0,ROUND(Y32*(1+E$5),0)-E33-O33)</f>
        <v/>
      </c>
      <c r="Z33">
        <f>MAX(0,ROUND(Z32*(1+F$5),0)-F33-P33)</f>
        <v/>
      </c>
      <c r="AA33">
        <f>MAX(0,ROUND(AA32*(1+G$5),0)-G33-Q33)</f>
        <v/>
      </c>
      <c r="AB33">
        <f>MAX(0,ROUND(AB32*(1+H$5),0)-H33-R33)</f>
        <v/>
      </c>
      <c r="AC33">
        <f>MAX(0,ROUND(AC32*(1+I$5),0)-I33-S33)</f>
        <v/>
      </c>
      <c r="AD33">
        <f>MAX(0,ROUND(AD32*(1+J$5),0)-J33-T33)</f>
        <v/>
      </c>
      <c r="AE33">
        <f>MAX(0,ROUND(AE32*(1+K$5),0)-K33-U33)</f>
        <v/>
      </c>
      <c r="AF33">
        <f>MAX(0,ROUND(AF32*(1+L$5),0)-L33-V33)</f>
        <v/>
      </c>
      <c r="AG33">
        <f>AH33-(AI32-AI33)</f>
        <v/>
      </c>
      <c r="AH33">
        <f>SUM(C33:V33)</f>
        <v/>
      </c>
      <c r="AI33">
        <f>SUM(W33:AF33)</f>
        <v/>
      </c>
      <c r="AJ33">
        <f>MAX(0,PresTot-SUM(C33:L33))</f>
        <v/>
      </c>
      <c r="AK33">
        <f>IF(AI32&lt;=0,0,11-SUMPRODUCT(MAX((W32:AF32&gt;0)*(11-(COLUMN(W32:AF32)-COLUMN($V32))))))</f>
        <v/>
      </c>
    </row>
    <row r="34">
      <c r="A34" t="n">
        <v>24</v>
      </c>
      <c r="B34">
        <f>DATE(YEAR(InicioEf),MONTH(InicioEf)+A34-1,1)</f>
        <v/>
      </c>
      <c r="C34">
        <f>MIN(C$6,ROUND(W33*(1+C$5),0))</f>
        <v/>
      </c>
      <c r="D34">
        <f>MIN(D$6,ROUND(X33*(1+D$5),0))</f>
        <v/>
      </c>
      <c r="E34">
        <f>MIN(E$6,ROUND(Y33*(1+E$5),0))</f>
        <v/>
      </c>
      <c r="F34">
        <f>MIN(F$6,ROUND(Z33*(1+F$5),0))</f>
        <v/>
      </c>
      <c r="G34">
        <f>MIN(G$6,ROUND(AA33*(1+G$5),0))</f>
        <v/>
      </c>
      <c r="H34">
        <f>MIN(H$6,ROUND(AB33*(1+H$5),0))</f>
        <v/>
      </c>
      <c r="I34">
        <f>MIN(I$6,ROUND(AC33*(1+I$5),0))</f>
        <v/>
      </c>
      <c r="J34">
        <f>MIN(J$6,ROUND(AD33*(1+J$5),0))</f>
        <v/>
      </c>
      <c r="K34">
        <f>MIN(K$6,ROUND(AE33*(1+K$5),0))</f>
        <v/>
      </c>
      <c r="L34">
        <f>MIN(L$6,ROUND(AF33*(1+L$5),0))</f>
        <v/>
      </c>
      <c r="M34">
        <f>MAX(0,MIN(ROUND(W33*(1+C$5),0)-C34,$AJ34-0))</f>
        <v/>
      </c>
      <c r="N34">
        <f>MAX(0,MIN(ROUND(X33*(1+D$5),0)-D34,$AJ34-SUM($M34:M34)))</f>
        <v/>
      </c>
      <c r="O34">
        <f>MAX(0,MIN(ROUND(Y33*(1+E$5),0)-E34,$AJ34-SUM($M34:N34)))</f>
        <v/>
      </c>
      <c r="P34">
        <f>MAX(0,MIN(ROUND(Z33*(1+F$5),0)-F34,$AJ34-SUM($M34:O34)))</f>
        <v/>
      </c>
      <c r="Q34">
        <f>MAX(0,MIN(ROUND(AA33*(1+G$5),0)-G34,$AJ34-SUM($M34:P34)))</f>
        <v/>
      </c>
      <c r="R34">
        <f>MAX(0,MIN(ROUND(AB33*(1+H$5),0)-H34,$AJ34-SUM($M34:Q34)))</f>
        <v/>
      </c>
      <c r="S34">
        <f>MAX(0,MIN(ROUND(AC33*(1+I$5),0)-I34,$AJ34-SUM($M34:R34)))</f>
        <v/>
      </c>
      <c r="T34">
        <f>MAX(0,MIN(ROUND(AD33*(1+J$5),0)-J34,$AJ34-SUM($M34:S34)))</f>
        <v/>
      </c>
      <c r="U34">
        <f>MAX(0,MIN(ROUND(AE33*(1+K$5),0)-K34,$AJ34-SUM($M34:T34)))</f>
        <v/>
      </c>
      <c r="V34">
        <f>MAX(0,MIN(ROUND(AF33*(1+L$5),0)-L34,$AJ34-SUM($M34:U34)))</f>
        <v/>
      </c>
      <c r="W34">
        <f>MAX(0,ROUND(W33*(1+C$5),0)-C34-M34)</f>
        <v/>
      </c>
      <c r="X34">
        <f>MAX(0,ROUND(X33*(1+D$5),0)-D34-N34)</f>
        <v/>
      </c>
      <c r="Y34">
        <f>MAX(0,ROUND(Y33*(1+E$5),0)-E34-O34)</f>
        <v/>
      </c>
      <c r="Z34">
        <f>MAX(0,ROUND(Z33*(1+F$5),0)-F34-P34)</f>
        <v/>
      </c>
      <c r="AA34">
        <f>MAX(0,ROUND(AA33*(1+G$5),0)-G34-Q34)</f>
        <v/>
      </c>
      <c r="AB34">
        <f>MAX(0,ROUND(AB33*(1+H$5),0)-H34-R34)</f>
        <v/>
      </c>
      <c r="AC34">
        <f>MAX(0,ROUND(AC33*(1+I$5),0)-I34-S34)</f>
        <v/>
      </c>
      <c r="AD34">
        <f>MAX(0,ROUND(AD33*(1+J$5),0)-J34-T34)</f>
        <v/>
      </c>
      <c r="AE34">
        <f>MAX(0,ROUND(AE33*(1+K$5),0)-K34-U34)</f>
        <v/>
      </c>
      <c r="AF34">
        <f>MAX(0,ROUND(AF33*(1+L$5),0)-L34-V34)</f>
        <v/>
      </c>
      <c r="AG34">
        <f>AH34-(AI33-AI34)</f>
        <v/>
      </c>
      <c r="AH34">
        <f>SUM(C34:V34)</f>
        <v/>
      </c>
      <c r="AI34">
        <f>SUM(W34:AF34)</f>
        <v/>
      </c>
      <c r="AJ34">
        <f>MAX(0,PresTot-SUM(C34:L34))</f>
        <v/>
      </c>
      <c r="AK34">
        <f>IF(AI33&lt;=0,0,11-SUMPRODUCT(MAX((W33:AF33&gt;0)*(11-(COLUMN(W33:AF33)-COLUMN($V33))))))</f>
        <v/>
      </c>
    </row>
    <row r="35">
      <c r="A35" t="n">
        <v>25</v>
      </c>
      <c r="B35">
        <f>DATE(YEAR(InicioEf),MONTH(InicioEf)+A35-1,1)</f>
        <v/>
      </c>
      <c r="C35">
        <f>MIN(C$6,ROUND(W34*(1+C$5),0))</f>
        <v/>
      </c>
      <c r="D35">
        <f>MIN(D$6,ROUND(X34*(1+D$5),0))</f>
        <v/>
      </c>
      <c r="E35">
        <f>MIN(E$6,ROUND(Y34*(1+E$5),0))</f>
        <v/>
      </c>
      <c r="F35">
        <f>MIN(F$6,ROUND(Z34*(1+F$5),0))</f>
        <v/>
      </c>
      <c r="G35">
        <f>MIN(G$6,ROUND(AA34*(1+G$5),0))</f>
        <v/>
      </c>
      <c r="H35">
        <f>MIN(H$6,ROUND(AB34*(1+H$5),0))</f>
        <v/>
      </c>
      <c r="I35">
        <f>MIN(I$6,ROUND(AC34*(1+I$5),0))</f>
        <v/>
      </c>
      <c r="J35">
        <f>MIN(J$6,ROUND(AD34*(1+J$5),0))</f>
        <v/>
      </c>
      <c r="K35">
        <f>MIN(K$6,ROUND(AE34*(1+K$5),0))</f>
        <v/>
      </c>
      <c r="L35">
        <f>MIN(L$6,ROUND(AF34*(1+L$5),0))</f>
        <v/>
      </c>
      <c r="M35">
        <f>MAX(0,MIN(ROUND(W34*(1+C$5),0)-C35,$AJ35-0))</f>
        <v/>
      </c>
      <c r="N35">
        <f>MAX(0,MIN(ROUND(X34*(1+D$5),0)-D35,$AJ35-SUM($M35:M35)))</f>
        <v/>
      </c>
      <c r="O35">
        <f>MAX(0,MIN(ROUND(Y34*(1+E$5),0)-E35,$AJ35-SUM($M35:N35)))</f>
        <v/>
      </c>
      <c r="P35">
        <f>MAX(0,MIN(ROUND(Z34*(1+F$5),0)-F35,$AJ35-SUM($M35:O35)))</f>
        <v/>
      </c>
      <c r="Q35">
        <f>MAX(0,MIN(ROUND(AA34*(1+G$5),0)-G35,$AJ35-SUM($M35:P35)))</f>
        <v/>
      </c>
      <c r="R35">
        <f>MAX(0,MIN(ROUND(AB34*(1+H$5),0)-H35,$AJ35-SUM($M35:Q35)))</f>
        <v/>
      </c>
      <c r="S35">
        <f>MAX(0,MIN(ROUND(AC34*(1+I$5),0)-I35,$AJ35-SUM($M35:R35)))</f>
        <v/>
      </c>
      <c r="T35">
        <f>MAX(0,MIN(ROUND(AD34*(1+J$5),0)-J35,$AJ35-SUM($M35:S35)))</f>
        <v/>
      </c>
      <c r="U35">
        <f>MAX(0,MIN(ROUND(AE34*(1+K$5),0)-K35,$AJ35-SUM($M35:T35)))</f>
        <v/>
      </c>
      <c r="V35">
        <f>MAX(0,MIN(ROUND(AF34*(1+L$5),0)-L35,$AJ35-SUM($M35:U35)))</f>
        <v/>
      </c>
      <c r="W35">
        <f>MAX(0,ROUND(W34*(1+C$5),0)-C35-M35)</f>
        <v/>
      </c>
      <c r="X35">
        <f>MAX(0,ROUND(X34*(1+D$5),0)-D35-N35)</f>
        <v/>
      </c>
      <c r="Y35">
        <f>MAX(0,ROUND(Y34*(1+E$5),0)-E35-O35)</f>
        <v/>
      </c>
      <c r="Z35">
        <f>MAX(0,ROUND(Z34*(1+F$5),0)-F35-P35)</f>
        <v/>
      </c>
      <c r="AA35">
        <f>MAX(0,ROUND(AA34*(1+G$5),0)-G35-Q35)</f>
        <v/>
      </c>
      <c r="AB35">
        <f>MAX(0,ROUND(AB34*(1+H$5),0)-H35-R35)</f>
        <v/>
      </c>
      <c r="AC35">
        <f>MAX(0,ROUND(AC34*(1+I$5),0)-I35-S35)</f>
        <v/>
      </c>
      <c r="AD35">
        <f>MAX(0,ROUND(AD34*(1+J$5),0)-J35-T35)</f>
        <v/>
      </c>
      <c r="AE35">
        <f>MAX(0,ROUND(AE34*(1+K$5),0)-K35-U35)</f>
        <v/>
      </c>
      <c r="AF35">
        <f>MAX(0,ROUND(AF34*(1+L$5),0)-L35-V35)</f>
        <v/>
      </c>
      <c r="AG35">
        <f>AH35-(AI34-AI35)</f>
        <v/>
      </c>
      <c r="AH35">
        <f>SUM(C35:V35)</f>
        <v/>
      </c>
      <c r="AI35">
        <f>SUM(W35:AF35)</f>
        <v/>
      </c>
      <c r="AJ35">
        <f>MAX(0,PresTot-SUM(C35:L35))</f>
        <v/>
      </c>
      <c r="AK35">
        <f>IF(AI34&lt;=0,0,11-SUMPRODUCT(MAX((W34:AF34&gt;0)*(11-(COLUMN(W34:AF34)-COLUMN($V34))))))</f>
        <v/>
      </c>
    </row>
    <row r="36">
      <c r="A36" t="n">
        <v>26</v>
      </c>
      <c r="B36">
        <f>DATE(YEAR(InicioEf),MONTH(InicioEf)+A36-1,1)</f>
        <v/>
      </c>
      <c r="C36">
        <f>MIN(C$6,ROUND(W35*(1+C$5),0))</f>
        <v/>
      </c>
      <c r="D36">
        <f>MIN(D$6,ROUND(X35*(1+D$5),0))</f>
        <v/>
      </c>
      <c r="E36">
        <f>MIN(E$6,ROUND(Y35*(1+E$5),0))</f>
        <v/>
      </c>
      <c r="F36">
        <f>MIN(F$6,ROUND(Z35*(1+F$5),0))</f>
        <v/>
      </c>
      <c r="G36">
        <f>MIN(G$6,ROUND(AA35*(1+G$5),0))</f>
        <v/>
      </c>
      <c r="H36">
        <f>MIN(H$6,ROUND(AB35*(1+H$5),0))</f>
        <v/>
      </c>
      <c r="I36">
        <f>MIN(I$6,ROUND(AC35*(1+I$5),0))</f>
        <v/>
      </c>
      <c r="J36">
        <f>MIN(J$6,ROUND(AD35*(1+J$5),0))</f>
        <v/>
      </c>
      <c r="K36">
        <f>MIN(K$6,ROUND(AE35*(1+K$5),0))</f>
        <v/>
      </c>
      <c r="L36">
        <f>MIN(L$6,ROUND(AF35*(1+L$5),0))</f>
        <v/>
      </c>
      <c r="M36">
        <f>MAX(0,MIN(ROUND(W35*(1+C$5),0)-C36,$AJ36-0))</f>
        <v/>
      </c>
      <c r="N36">
        <f>MAX(0,MIN(ROUND(X35*(1+D$5),0)-D36,$AJ36-SUM($M36:M36)))</f>
        <v/>
      </c>
      <c r="O36">
        <f>MAX(0,MIN(ROUND(Y35*(1+E$5),0)-E36,$AJ36-SUM($M36:N36)))</f>
        <v/>
      </c>
      <c r="P36">
        <f>MAX(0,MIN(ROUND(Z35*(1+F$5),0)-F36,$AJ36-SUM($M36:O36)))</f>
        <v/>
      </c>
      <c r="Q36">
        <f>MAX(0,MIN(ROUND(AA35*(1+G$5),0)-G36,$AJ36-SUM($M36:P36)))</f>
        <v/>
      </c>
      <c r="R36">
        <f>MAX(0,MIN(ROUND(AB35*(1+H$5),0)-H36,$AJ36-SUM($M36:Q36)))</f>
        <v/>
      </c>
      <c r="S36">
        <f>MAX(0,MIN(ROUND(AC35*(1+I$5),0)-I36,$AJ36-SUM($M36:R36)))</f>
        <v/>
      </c>
      <c r="T36">
        <f>MAX(0,MIN(ROUND(AD35*(1+J$5),0)-J36,$AJ36-SUM($M36:S36)))</f>
        <v/>
      </c>
      <c r="U36">
        <f>MAX(0,MIN(ROUND(AE35*(1+K$5),0)-K36,$AJ36-SUM($M36:T36)))</f>
        <v/>
      </c>
      <c r="V36">
        <f>MAX(0,MIN(ROUND(AF35*(1+L$5),0)-L36,$AJ36-SUM($M36:U36)))</f>
        <v/>
      </c>
      <c r="W36">
        <f>MAX(0,ROUND(W35*(1+C$5),0)-C36-M36)</f>
        <v/>
      </c>
      <c r="X36">
        <f>MAX(0,ROUND(X35*(1+D$5),0)-D36-N36)</f>
        <v/>
      </c>
      <c r="Y36">
        <f>MAX(0,ROUND(Y35*(1+E$5),0)-E36-O36)</f>
        <v/>
      </c>
      <c r="Z36">
        <f>MAX(0,ROUND(Z35*(1+F$5),0)-F36-P36)</f>
        <v/>
      </c>
      <c r="AA36">
        <f>MAX(0,ROUND(AA35*(1+G$5),0)-G36-Q36)</f>
        <v/>
      </c>
      <c r="AB36">
        <f>MAX(0,ROUND(AB35*(1+H$5),0)-H36-R36)</f>
        <v/>
      </c>
      <c r="AC36">
        <f>MAX(0,ROUND(AC35*(1+I$5),0)-I36-S36)</f>
        <v/>
      </c>
      <c r="AD36">
        <f>MAX(0,ROUND(AD35*(1+J$5),0)-J36-T36)</f>
        <v/>
      </c>
      <c r="AE36">
        <f>MAX(0,ROUND(AE35*(1+K$5),0)-K36-U36)</f>
        <v/>
      </c>
      <c r="AF36">
        <f>MAX(0,ROUND(AF35*(1+L$5),0)-L36-V36)</f>
        <v/>
      </c>
      <c r="AG36">
        <f>AH36-(AI35-AI36)</f>
        <v/>
      </c>
      <c r="AH36">
        <f>SUM(C36:V36)</f>
        <v/>
      </c>
      <c r="AI36">
        <f>SUM(W36:AF36)</f>
        <v/>
      </c>
      <c r="AJ36">
        <f>MAX(0,PresTot-SUM(C36:L36))</f>
        <v/>
      </c>
      <c r="AK36">
        <f>IF(AI35&lt;=0,0,11-SUMPRODUCT(MAX((W35:AF35&gt;0)*(11-(COLUMN(W35:AF35)-COLUMN($V35))))))</f>
        <v/>
      </c>
    </row>
    <row r="37">
      <c r="A37" t="n">
        <v>27</v>
      </c>
      <c r="B37">
        <f>DATE(YEAR(InicioEf),MONTH(InicioEf)+A37-1,1)</f>
        <v/>
      </c>
      <c r="C37">
        <f>MIN(C$6,ROUND(W36*(1+C$5),0))</f>
        <v/>
      </c>
      <c r="D37">
        <f>MIN(D$6,ROUND(X36*(1+D$5),0))</f>
        <v/>
      </c>
      <c r="E37">
        <f>MIN(E$6,ROUND(Y36*(1+E$5),0))</f>
        <v/>
      </c>
      <c r="F37">
        <f>MIN(F$6,ROUND(Z36*(1+F$5),0))</f>
        <v/>
      </c>
      <c r="G37">
        <f>MIN(G$6,ROUND(AA36*(1+G$5),0))</f>
        <v/>
      </c>
      <c r="H37">
        <f>MIN(H$6,ROUND(AB36*(1+H$5),0))</f>
        <v/>
      </c>
      <c r="I37">
        <f>MIN(I$6,ROUND(AC36*(1+I$5),0))</f>
        <v/>
      </c>
      <c r="J37">
        <f>MIN(J$6,ROUND(AD36*(1+J$5),0))</f>
        <v/>
      </c>
      <c r="K37">
        <f>MIN(K$6,ROUND(AE36*(1+K$5),0))</f>
        <v/>
      </c>
      <c r="L37">
        <f>MIN(L$6,ROUND(AF36*(1+L$5),0))</f>
        <v/>
      </c>
      <c r="M37">
        <f>MAX(0,MIN(ROUND(W36*(1+C$5),0)-C37,$AJ37-0))</f>
        <v/>
      </c>
      <c r="N37">
        <f>MAX(0,MIN(ROUND(X36*(1+D$5),0)-D37,$AJ37-SUM($M37:M37)))</f>
        <v/>
      </c>
      <c r="O37">
        <f>MAX(0,MIN(ROUND(Y36*(1+E$5),0)-E37,$AJ37-SUM($M37:N37)))</f>
        <v/>
      </c>
      <c r="P37">
        <f>MAX(0,MIN(ROUND(Z36*(1+F$5),0)-F37,$AJ37-SUM($M37:O37)))</f>
        <v/>
      </c>
      <c r="Q37">
        <f>MAX(0,MIN(ROUND(AA36*(1+G$5),0)-G37,$AJ37-SUM($M37:P37)))</f>
        <v/>
      </c>
      <c r="R37">
        <f>MAX(0,MIN(ROUND(AB36*(1+H$5),0)-H37,$AJ37-SUM($M37:Q37)))</f>
        <v/>
      </c>
      <c r="S37">
        <f>MAX(0,MIN(ROUND(AC36*(1+I$5),0)-I37,$AJ37-SUM($M37:R37)))</f>
        <v/>
      </c>
      <c r="T37">
        <f>MAX(0,MIN(ROUND(AD36*(1+J$5),0)-J37,$AJ37-SUM($M37:S37)))</f>
        <v/>
      </c>
      <c r="U37">
        <f>MAX(0,MIN(ROUND(AE36*(1+K$5),0)-K37,$AJ37-SUM($M37:T37)))</f>
        <v/>
      </c>
      <c r="V37">
        <f>MAX(0,MIN(ROUND(AF36*(1+L$5),0)-L37,$AJ37-SUM($M37:U37)))</f>
        <v/>
      </c>
      <c r="W37">
        <f>MAX(0,ROUND(W36*(1+C$5),0)-C37-M37)</f>
        <v/>
      </c>
      <c r="X37">
        <f>MAX(0,ROUND(X36*(1+D$5),0)-D37-N37)</f>
        <v/>
      </c>
      <c r="Y37">
        <f>MAX(0,ROUND(Y36*(1+E$5),0)-E37-O37)</f>
        <v/>
      </c>
      <c r="Z37">
        <f>MAX(0,ROUND(Z36*(1+F$5),0)-F37-P37)</f>
        <v/>
      </c>
      <c r="AA37">
        <f>MAX(0,ROUND(AA36*(1+G$5),0)-G37-Q37)</f>
        <v/>
      </c>
      <c r="AB37">
        <f>MAX(0,ROUND(AB36*(1+H$5),0)-H37-R37)</f>
        <v/>
      </c>
      <c r="AC37">
        <f>MAX(0,ROUND(AC36*(1+I$5),0)-I37-S37)</f>
        <v/>
      </c>
      <c r="AD37">
        <f>MAX(0,ROUND(AD36*(1+J$5),0)-J37-T37)</f>
        <v/>
      </c>
      <c r="AE37">
        <f>MAX(0,ROUND(AE36*(1+K$5),0)-K37-U37)</f>
        <v/>
      </c>
      <c r="AF37">
        <f>MAX(0,ROUND(AF36*(1+L$5),0)-L37-V37)</f>
        <v/>
      </c>
      <c r="AG37">
        <f>AH37-(AI36-AI37)</f>
        <v/>
      </c>
      <c r="AH37">
        <f>SUM(C37:V37)</f>
        <v/>
      </c>
      <c r="AI37">
        <f>SUM(W37:AF37)</f>
        <v/>
      </c>
      <c r="AJ37">
        <f>MAX(0,PresTot-SUM(C37:L37))</f>
        <v/>
      </c>
      <c r="AK37">
        <f>IF(AI36&lt;=0,0,11-SUMPRODUCT(MAX((W36:AF36&gt;0)*(11-(COLUMN(W36:AF36)-COLUMN($V36))))))</f>
        <v/>
      </c>
    </row>
    <row r="38">
      <c r="A38" t="n">
        <v>28</v>
      </c>
      <c r="B38">
        <f>DATE(YEAR(InicioEf),MONTH(InicioEf)+A38-1,1)</f>
        <v/>
      </c>
      <c r="C38">
        <f>MIN(C$6,ROUND(W37*(1+C$5),0))</f>
        <v/>
      </c>
      <c r="D38">
        <f>MIN(D$6,ROUND(X37*(1+D$5),0))</f>
        <v/>
      </c>
      <c r="E38">
        <f>MIN(E$6,ROUND(Y37*(1+E$5),0))</f>
        <v/>
      </c>
      <c r="F38">
        <f>MIN(F$6,ROUND(Z37*(1+F$5),0))</f>
        <v/>
      </c>
      <c r="G38">
        <f>MIN(G$6,ROUND(AA37*(1+G$5),0))</f>
        <v/>
      </c>
      <c r="H38">
        <f>MIN(H$6,ROUND(AB37*(1+H$5),0))</f>
        <v/>
      </c>
      <c r="I38">
        <f>MIN(I$6,ROUND(AC37*(1+I$5),0))</f>
        <v/>
      </c>
      <c r="J38">
        <f>MIN(J$6,ROUND(AD37*(1+J$5),0))</f>
        <v/>
      </c>
      <c r="K38">
        <f>MIN(K$6,ROUND(AE37*(1+K$5),0))</f>
        <v/>
      </c>
      <c r="L38">
        <f>MIN(L$6,ROUND(AF37*(1+L$5),0))</f>
        <v/>
      </c>
      <c r="M38">
        <f>MAX(0,MIN(ROUND(W37*(1+C$5),0)-C38,$AJ38-0))</f>
        <v/>
      </c>
      <c r="N38">
        <f>MAX(0,MIN(ROUND(X37*(1+D$5),0)-D38,$AJ38-SUM($M38:M38)))</f>
        <v/>
      </c>
      <c r="O38">
        <f>MAX(0,MIN(ROUND(Y37*(1+E$5),0)-E38,$AJ38-SUM($M38:N38)))</f>
        <v/>
      </c>
      <c r="P38">
        <f>MAX(0,MIN(ROUND(Z37*(1+F$5),0)-F38,$AJ38-SUM($M38:O38)))</f>
        <v/>
      </c>
      <c r="Q38">
        <f>MAX(0,MIN(ROUND(AA37*(1+G$5),0)-G38,$AJ38-SUM($M38:P38)))</f>
        <v/>
      </c>
      <c r="R38">
        <f>MAX(0,MIN(ROUND(AB37*(1+H$5),0)-H38,$AJ38-SUM($M38:Q38)))</f>
        <v/>
      </c>
      <c r="S38">
        <f>MAX(0,MIN(ROUND(AC37*(1+I$5),0)-I38,$AJ38-SUM($M38:R38)))</f>
        <v/>
      </c>
      <c r="T38">
        <f>MAX(0,MIN(ROUND(AD37*(1+J$5),0)-J38,$AJ38-SUM($M38:S38)))</f>
        <v/>
      </c>
      <c r="U38">
        <f>MAX(0,MIN(ROUND(AE37*(1+K$5),0)-K38,$AJ38-SUM($M38:T38)))</f>
        <v/>
      </c>
      <c r="V38">
        <f>MAX(0,MIN(ROUND(AF37*(1+L$5),0)-L38,$AJ38-SUM($M38:U38)))</f>
        <v/>
      </c>
      <c r="W38">
        <f>MAX(0,ROUND(W37*(1+C$5),0)-C38-M38)</f>
        <v/>
      </c>
      <c r="X38">
        <f>MAX(0,ROUND(X37*(1+D$5),0)-D38-N38)</f>
        <v/>
      </c>
      <c r="Y38">
        <f>MAX(0,ROUND(Y37*(1+E$5),0)-E38-O38)</f>
        <v/>
      </c>
      <c r="Z38">
        <f>MAX(0,ROUND(Z37*(1+F$5),0)-F38-P38)</f>
        <v/>
      </c>
      <c r="AA38">
        <f>MAX(0,ROUND(AA37*(1+G$5),0)-G38-Q38)</f>
        <v/>
      </c>
      <c r="AB38">
        <f>MAX(0,ROUND(AB37*(1+H$5),0)-H38-R38)</f>
        <v/>
      </c>
      <c r="AC38">
        <f>MAX(0,ROUND(AC37*(1+I$5),0)-I38-S38)</f>
        <v/>
      </c>
      <c r="AD38">
        <f>MAX(0,ROUND(AD37*(1+J$5),0)-J38-T38)</f>
        <v/>
      </c>
      <c r="AE38">
        <f>MAX(0,ROUND(AE37*(1+K$5),0)-K38-U38)</f>
        <v/>
      </c>
      <c r="AF38">
        <f>MAX(0,ROUND(AF37*(1+L$5),0)-L38-V38)</f>
        <v/>
      </c>
      <c r="AG38">
        <f>AH38-(AI37-AI38)</f>
        <v/>
      </c>
      <c r="AH38">
        <f>SUM(C38:V38)</f>
        <v/>
      </c>
      <c r="AI38">
        <f>SUM(W38:AF38)</f>
        <v/>
      </c>
      <c r="AJ38">
        <f>MAX(0,PresTot-SUM(C38:L38))</f>
        <v/>
      </c>
      <c r="AK38">
        <f>IF(AI37&lt;=0,0,11-SUMPRODUCT(MAX((W37:AF37&gt;0)*(11-(COLUMN(W37:AF37)-COLUMN($V37))))))</f>
        <v/>
      </c>
    </row>
    <row r="39">
      <c r="A39" t="n">
        <v>29</v>
      </c>
      <c r="B39">
        <f>DATE(YEAR(InicioEf),MONTH(InicioEf)+A39-1,1)</f>
        <v/>
      </c>
      <c r="C39">
        <f>MIN(C$6,ROUND(W38*(1+C$5),0))</f>
        <v/>
      </c>
      <c r="D39">
        <f>MIN(D$6,ROUND(X38*(1+D$5),0))</f>
        <v/>
      </c>
      <c r="E39">
        <f>MIN(E$6,ROUND(Y38*(1+E$5),0))</f>
        <v/>
      </c>
      <c r="F39">
        <f>MIN(F$6,ROUND(Z38*(1+F$5),0))</f>
        <v/>
      </c>
      <c r="G39">
        <f>MIN(G$6,ROUND(AA38*(1+G$5),0))</f>
        <v/>
      </c>
      <c r="H39">
        <f>MIN(H$6,ROUND(AB38*(1+H$5),0))</f>
        <v/>
      </c>
      <c r="I39">
        <f>MIN(I$6,ROUND(AC38*(1+I$5),0))</f>
        <v/>
      </c>
      <c r="J39">
        <f>MIN(J$6,ROUND(AD38*(1+J$5),0))</f>
        <v/>
      </c>
      <c r="K39">
        <f>MIN(K$6,ROUND(AE38*(1+K$5),0))</f>
        <v/>
      </c>
      <c r="L39">
        <f>MIN(L$6,ROUND(AF38*(1+L$5),0))</f>
        <v/>
      </c>
      <c r="M39">
        <f>MAX(0,MIN(ROUND(W38*(1+C$5),0)-C39,$AJ39-0))</f>
        <v/>
      </c>
      <c r="N39">
        <f>MAX(0,MIN(ROUND(X38*(1+D$5),0)-D39,$AJ39-SUM($M39:M39)))</f>
        <v/>
      </c>
      <c r="O39">
        <f>MAX(0,MIN(ROUND(Y38*(1+E$5),0)-E39,$AJ39-SUM($M39:N39)))</f>
        <v/>
      </c>
      <c r="P39">
        <f>MAX(0,MIN(ROUND(Z38*(1+F$5),0)-F39,$AJ39-SUM($M39:O39)))</f>
        <v/>
      </c>
      <c r="Q39">
        <f>MAX(0,MIN(ROUND(AA38*(1+G$5),0)-G39,$AJ39-SUM($M39:P39)))</f>
        <v/>
      </c>
      <c r="R39">
        <f>MAX(0,MIN(ROUND(AB38*(1+H$5),0)-H39,$AJ39-SUM($M39:Q39)))</f>
        <v/>
      </c>
      <c r="S39">
        <f>MAX(0,MIN(ROUND(AC38*(1+I$5),0)-I39,$AJ39-SUM($M39:R39)))</f>
        <v/>
      </c>
      <c r="T39">
        <f>MAX(0,MIN(ROUND(AD38*(1+J$5),0)-J39,$AJ39-SUM($M39:S39)))</f>
        <v/>
      </c>
      <c r="U39">
        <f>MAX(0,MIN(ROUND(AE38*(1+K$5),0)-K39,$AJ39-SUM($M39:T39)))</f>
        <v/>
      </c>
      <c r="V39">
        <f>MAX(0,MIN(ROUND(AF38*(1+L$5),0)-L39,$AJ39-SUM($M39:U39)))</f>
        <v/>
      </c>
      <c r="W39">
        <f>MAX(0,ROUND(W38*(1+C$5),0)-C39-M39)</f>
        <v/>
      </c>
      <c r="X39">
        <f>MAX(0,ROUND(X38*(1+D$5),0)-D39-N39)</f>
        <v/>
      </c>
      <c r="Y39">
        <f>MAX(0,ROUND(Y38*(1+E$5),0)-E39-O39)</f>
        <v/>
      </c>
      <c r="Z39">
        <f>MAX(0,ROUND(Z38*(1+F$5),0)-F39-P39)</f>
        <v/>
      </c>
      <c r="AA39">
        <f>MAX(0,ROUND(AA38*(1+G$5),0)-G39-Q39)</f>
        <v/>
      </c>
      <c r="AB39">
        <f>MAX(0,ROUND(AB38*(1+H$5),0)-H39-R39)</f>
        <v/>
      </c>
      <c r="AC39">
        <f>MAX(0,ROUND(AC38*(1+I$5),0)-I39-S39)</f>
        <v/>
      </c>
      <c r="AD39">
        <f>MAX(0,ROUND(AD38*(1+J$5),0)-J39-T39)</f>
        <v/>
      </c>
      <c r="AE39">
        <f>MAX(0,ROUND(AE38*(1+K$5),0)-K39-U39)</f>
        <v/>
      </c>
      <c r="AF39">
        <f>MAX(0,ROUND(AF38*(1+L$5),0)-L39-V39)</f>
        <v/>
      </c>
      <c r="AG39">
        <f>AH39-(AI38-AI39)</f>
        <v/>
      </c>
      <c r="AH39">
        <f>SUM(C39:V39)</f>
        <v/>
      </c>
      <c r="AI39">
        <f>SUM(W39:AF39)</f>
        <v/>
      </c>
      <c r="AJ39">
        <f>MAX(0,PresTot-SUM(C39:L39))</f>
        <v/>
      </c>
      <c r="AK39">
        <f>IF(AI38&lt;=0,0,11-SUMPRODUCT(MAX((W38:AF38&gt;0)*(11-(COLUMN(W38:AF38)-COLUMN($V38))))))</f>
        <v/>
      </c>
    </row>
    <row r="40">
      <c r="A40" t="n">
        <v>30</v>
      </c>
      <c r="B40">
        <f>DATE(YEAR(InicioEf),MONTH(InicioEf)+A40-1,1)</f>
        <v/>
      </c>
      <c r="C40">
        <f>MIN(C$6,ROUND(W39*(1+C$5),0))</f>
        <v/>
      </c>
      <c r="D40">
        <f>MIN(D$6,ROUND(X39*(1+D$5),0))</f>
        <v/>
      </c>
      <c r="E40">
        <f>MIN(E$6,ROUND(Y39*(1+E$5),0))</f>
        <v/>
      </c>
      <c r="F40">
        <f>MIN(F$6,ROUND(Z39*(1+F$5),0))</f>
        <v/>
      </c>
      <c r="G40">
        <f>MIN(G$6,ROUND(AA39*(1+G$5),0))</f>
        <v/>
      </c>
      <c r="H40">
        <f>MIN(H$6,ROUND(AB39*(1+H$5),0))</f>
        <v/>
      </c>
      <c r="I40">
        <f>MIN(I$6,ROUND(AC39*(1+I$5),0))</f>
        <v/>
      </c>
      <c r="J40">
        <f>MIN(J$6,ROUND(AD39*(1+J$5),0))</f>
        <v/>
      </c>
      <c r="K40">
        <f>MIN(K$6,ROUND(AE39*(1+K$5),0))</f>
        <v/>
      </c>
      <c r="L40">
        <f>MIN(L$6,ROUND(AF39*(1+L$5),0))</f>
        <v/>
      </c>
      <c r="M40">
        <f>MAX(0,MIN(ROUND(W39*(1+C$5),0)-C40,$AJ40-0))</f>
        <v/>
      </c>
      <c r="N40">
        <f>MAX(0,MIN(ROUND(X39*(1+D$5),0)-D40,$AJ40-SUM($M40:M40)))</f>
        <v/>
      </c>
      <c r="O40">
        <f>MAX(0,MIN(ROUND(Y39*(1+E$5),0)-E40,$AJ40-SUM($M40:N40)))</f>
        <v/>
      </c>
      <c r="P40">
        <f>MAX(0,MIN(ROUND(Z39*(1+F$5),0)-F40,$AJ40-SUM($M40:O40)))</f>
        <v/>
      </c>
      <c r="Q40">
        <f>MAX(0,MIN(ROUND(AA39*(1+G$5),0)-G40,$AJ40-SUM($M40:P40)))</f>
        <v/>
      </c>
      <c r="R40">
        <f>MAX(0,MIN(ROUND(AB39*(1+H$5),0)-H40,$AJ40-SUM($M40:Q40)))</f>
        <v/>
      </c>
      <c r="S40">
        <f>MAX(0,MIN(ROUND(AC39*(1+I$5),0)-I40,$AJ40-SUM($M40:R40)))</f>
        <v/>
      </c>
      <c r="T40">
        <f>MAX(0,MIN(ROUND(AD39*(1+J$5),0)-J40,$AJ40-SUM($M40:S40)))</f>
        <v/>
      </c>
      <c r="U40">
        <f>MAX(0,MIN(ROUND(AE39*(1+K$5),0)-K40,$AJ40-SUM($M40:T40)))</f>
        <v/>
      </c>
      <c r="V40">
        <f>MAX(0,MIN(ROUND(AF39*(1+L$5),0)-L40,$AJ40-SUM($M40:U40)))</f>
        <v/>
      </c>
      <c r="W40">
        <f>MAX(0,ROUND(W39*(1+C$5),0)-C40-M40)</f>
        <v/>
      </c>
      <c r="X40">
        <f>MAX(0,ROUND(X39*(1+D$5),0)-D40-N40)</f>
        <v/>
      </c>
      <c r="Y40">
        <f>MAX(0,ROUND(Y39*(1+E$5),0)-E40-O40)</f>
        <v/>
      </c>
      <c r="Z40">
        <f>MAX(0,ROUND(Z39*(1+F$5),0)-F40-P40)</f>
        <v/>
      </c>
      <c r="AA40">
        <f>MAX(0,ROUND(AA39*(1+G$5),0)-G40-Q40)</f>
        <v/>
      </c>
      <c r="AB40">
        <f>MAX(0,ROUND(AB39*(1+H$5),0)-H40-R40)</f>
        <v/>
      </c>
      <c r="AC40">
        <f>MAX(0,ROUND(AC39*(1+I$5),0)-I40-S40)</f>
        <v/>
      </c>
      <c r="AD40">
        <f>MAX(0,ROUND(AD39*(1+J$5),0)-J40-T40)</f>
        <v/>
      </c>
      <c r="AE40">
        <f>MAX(0,ROUND(AE39*(1+K$5),0)-K40-U40)</f>
        <v/>
      </c>
      <c r="AF40">
        <f>MAX(0,ROUND(AF39*(1+L$5),0)-L40-V40)</f>
        <v/>
      </c>
      <c r="AG40">
        <f>AH40-(AI39-AI40)</f>
        <v/>
      </c>
      <c r="AH40">
        <f>SUM(C40:V40)</f>
        <v/>
      </c>
      <c r="AI40">
        <f>SUM(W40:AF40)</f>
        <v/>
      </c>
      <c r="AJ40">
        <f>MAX(0,PresTot-SUM(C40:L40))</f>
        <v/>
      </c>
      <c r="AK40">
        <f>IF(AI39&lt;=0,0,11-SUMPRODUCT(MAX((W39:AF39&gt;0)*(11-(COLUMN(W39:AF39)-COLUMN($V39))))))</f>
        <v/>
      </c>
    </row>
    <row r="41">
      <c r="A41" t="n">
        <v>31</v>
      </c>
      <c r="B41">
        <f>DATE(YEAR(InicioEf),MONTH(InicioEf)+A41-1,1)</f>
        <v/>
      </c>
      <c r="C41">
        <f>MIN(C$6,ROUND(W40*(1+C$5),0))</f>
        <v/>
      </c>
      <c r="D41">
        <f>MIN(D$6,ROUND(X40*(1+D$5),0))</f>
        <v/>
      </c>
      <c r="E41">
        <f>MIN(E$6,ROUND(Y40*(1+E$5),0))</f>
        <v/>
      </c>
      <c r="F41">
        <f>MIN(F$6,ROUND(Z40*(1+F$5),0))</f>
        <v/>
      </c>
      <c r="G41">
        <f>MIN(G$6,ROUND(AA40*(1+G$5),0))</f>
        <v/>
      </c>
      <c r="H41">
        <f>MIN(H$6,ROUND(AB40*(1+H$5),0))</f>
        <v/>
      </c>
      <c r="I41">
        <f>MIN(I$6,ROUND(AC40*(1+I$5),0))</f>
        <v/>
      </c>
      <c r="J41">
        <f>MIN(J$6,ROUND(AD40*(1+J$5),0))</f>
        <v/>
      </c>
      <c r="K41">
        <f>MIN(K$6,ROUND(AE40*(1+K$5),0))</f>
        <v/>
      </c>
      <c r="L41">
        <f>MIN(L$6,ROUND(AF40*(1+L$5),0))</f>
        <v/>
      </c>
      <c r="M41">
        <f>MAX(0,MIN(ROUND(W40*(1+C$5),0)-C41,$AJ41-0))</f>
        <v/>
      </c>
      <c r="N41">
        <f>MAX(0,MIN(ROUND(X40*(1+D$5),0)-D41,$AJ41-SUM($M41:M41)))</f>
        <v/>
      </c>
      <c r="O41">
        <f>MAX(0,MIN(ROUND(Y40*(1+E$5),0)-E41,$AJ41-SUM($M41:N41)))</f>
        <v/>
      </c>
      <c r="P41">
        <f>MAX(0,MIN(ROUND(Z40*(1+F$5),0)-F41,$AJ41-SUM($M41:O41)))</f>
        <v/>
      </c>
      <c r="Q41">
        <f>MAX(0,MIN(ROUND(AA40*(1+G$5),0)-G41,$AJ41-SUM($M41:P41)))</f>
        <v/>
      </c>
      <c r="R41">
        <f>MAX(0,MIN(ROUND(AB40*(1+H$5),0)-H41,$AJ41-SUM($M41:Q41)))</f>
        <v/>
      </c>
      <c r="S41">
        <f>MAX(0,MIN(ROUND(AC40*(1+I$5),0)-I41,$AJ41-SUM($M41:R41)))</f>
        <v/>
      </c>
      <c r="T41">
        <f>MAX(0,MIN(ROUND(AD40*(1+J$5),0)-J41,$AJ41-SUM($M41:S41)))</f>
        <v/>
      </c>
      <c r="U41">
        <f>MAX(0,MIN(ROUND(AE40*(1+K$5),0)-K41,$AJ41-SUM($M41:T41)))</f>
        <v/>
      </c>
      <c r="V41">
        <f>MAX(0,MIN(ROUND(AF40*(1+L$5),0)-L41,$AJ41-SUM($M41:U41)))</f>
        <v/>
      </c>
      <c r="W41">
        <f>MAX(0,ROUND(W40*(1+C$5),0)-C41-M41)</f>
        <v/>
      </c>
      <c r="X41">
        <f>MAX(0,ROUND(X40*(1+D$5),0)-D41-N41)</f>
        <v/>
      </c>
      <c r="Y41">
        <f>MAX(0,ROUND(Y40*(1+E$5),0)-E41-O41)</f>
        <v/>
      </c>
      <c r="Z41">
        <f>MAX(0,ROUND(Z40*(1+F$5),0)-F41-P41)</f>
        <v/>
      </c>
      <c r="AA41">
        <f>MAX(0,ROUND(AA40*(1+G$5),0)-G41-Q41)</f>
        <v/>
      </c>
      <c r="AB41">
        <f>MAX(0,ROUND(AB40*(1+H$5),0)-H41-R41)</f>
        <v/>
      </c>
      <c r="AC41">
        <f>MAX(0,ROUND(AC40*(1+I$5),0)-I41-S41)</f>
        <v/>
      </c>
      <c r="AD41">
        <f>MAX(0,ROUND(AD40*(1+J$5),0)-J41-T41)</f>
        <v/>
      </c>
      <c r="AE41">
        <f>MAX(0,ROUND(AE40*(1+K$5),0)-K41-U41)</f>
        <v/>
      </c>
      <c r="AF41">
        <f>MAX(0,ROUND(AF40*(1+L$5),0)-L41-V41)</f>
        <v/>
      </c>
      <c r="AG41">
        <f>AH41-(AI40-AI41)</f>
        <v/>
      </c>
      <c r="AH41">
        <f>SUM(C41:V41)</f>
        <v/>
      </c>
      <c r="AI41">
        <f>SUM(W41:AF41)</f>
        <v/>
      </c>
      <c r="AJ41">
        <f>MAX(0,PresTot-SUM(C41:L41))</f>
        <v/>
      </c>
      <c r="AK41">
        <f>IF(AI40&lt;=0,0,11-SUMPRODUCT(MAX((W40:AF40&gt;0)*(11-(COLUMN(W40:AF40)-COLUMN($V40))))))</f>
        <v/>
      </c>
    </row>
    <row r="42">
      <c r="A42" t="n">
        <v>32</v>
      </c>
      <c r="B42">
        <f>DATE(YEAR(InicioEf),MONTH(InicioEf)+A42-1,1)</f>
        <v/>
      </c>
      <c r="C42">
        <f>MIN(C$6,ROUND(W41*(1+C$5),0))</f>
        <v/>
      </c>
      <c r="D42">
        <f>MIN(D$6,ROUND(X41*(1+D$5),0))</f>
        <v/>
      </c>
      <c r="E42">
        <f>MIN(E$6,ROUND(Y41*(1+E$5),0))</f>
        <v/>
      </c>
      <c r="F42">
        <f>MIN(F$6,ROUND(Z41*(1+F$5),0))</f>
        <v/>
      </c>
      <c r="G42">
        <f>MIN(G$6,ROUND(AA41*(1+G$5),0))</f>
        <v/>
      </c>
      <c r="H42">
        <f>MIN(H$6,ROUND(AB41*(1+H$5),0))</f>
        <v/>
      </c>
      <c r="I42">
        <f>MIN(I$6,ROUND(AC41*(1+I$5),0))</f>
        <v/>
      </c>
      <c r="J42">
        <f>MIN(J$6,ROUND(AD41*(1+J$5),0))</f>
        <v/>
      </c>
      <c r="K42">
        <f>MIN(K$6,ROUND(AE41*(1+K$5),0))</f>
        <v/>
      </c>
      <c r="L42">
        <f>MIN(L$6,ROUND(AF41*(1+L$5),0))</f>
        <v/>
      </c>
      <c r="M42">
        <f>MAX(0,MIN(ROUND(W41*(1+C$5),0)-C42,$AJ42-0))</f>
        <v/>
      </c>
      <c r="N42">
        <f>MAX(0,MIN(ROUND(X41*(1+D$5),0)-D42,$AJ42-SUM($M42:M42)))</f>
        <v/>
      </c>
      <c r="O42">
        <f>MAX(0,MIN(ROUND(Y41*(1+E$5),0)-E42,$AJ42-SUM($M42:N42)))</f>
        <v/>
      </c>
      <c r="P42">
        <f>MAX(0,MIN(ROUND(Z41*(1+F$5),0)-F42,$AJ42-SUM($M42:O42)))</f>
        <v/>
      </c>
      <c r="Q42">
        <f>MAX(0,MIN(ROUND(AA41*(1+G$5),0)-G42,$AJ42-SUM($M42:P42)))</f>
        <v/>
      </c>
      <c r="R42">
        <f>MAX(0,MIN(ROUND(AB41*(1+H$5),0)-H42,$AJ42-SUM($M42:Q42)))</f>
        <v/>
      </c>
      <c r="S42">
        <f>MAX(0,MIN(ROUND(AC41*(1+I$5),0)-I42,$AJ42-SUM($M42:R42)))</f>
        <v/>
      </c>
      <c r="T42">
        <f>MAX(0,MIN(ROUND(AD41*(1+J$5),0)-J42,$AJ42-SUM($M42:S42)))</f>
        <v/>
      </c>
      <c r="U42">
        <f>MAX(0,MIN(ROUND(AE41*(1+K$5),0)-K42,$AJ42-SUM($M42:T42)))</f>
        <v/>
      </c>
      <c r="V42">
        <f>MAX(0,MIN(ROUND(AF41*(1+L$5),0)-L42,$AJ42-SUM($M42:U42)))</f>
        <v/>
      </c>
      <c r="W42">
        <f>MAX(0,ROUND(W41*(1+C$5),0)-C42-M42)</f>
        <v/>
      </c>
      <c r="X42">
        <f>MAX(0,ROUND(X41*(1+D$5),0)-D42-N42)</f>
        <v/>
      </c>
      <c r="Y42">
        <f>MAX(0,ROUND(Y41*(1+E$5),0)-E42-O42)</f>
        <v/>
      </c>
      <c r="Z42">
        <f>MAX(0,ROUND(Z41*(1+F$5),0)-F42-P42)</f>
        <v/>
      </c>
      <c r="AA42">
        <f>MAX(0,ROUND(AA41*(1+G$5),0)-G42-Q42)</f>
        <v/>
      </c>
      <c r="AB42">
        <f>MAX(0,ROUND(AB41*(1+H$5),0)-H42-R42)</f>
        <v/>
      </c>
      <c r="AC42">
        <f>MAX(0,ROUND(AC41*(1+I$5),0)-I42-S42)</f>
        <v/>
      </c>
      <c r="AD42">
        <f>MAX(0,ROUND(AD41*(1+J$5),0)-J42-T42)</f>
        <v/>
      </c>
      <c r="AE42">
        <f>MAX(0,ROUND(AE41*(1+K$5),0)-K42-U42)</f>
        <v/>
      </c>
      <c r="AF42">
        <f>MAX(0,ROUND(AF41*(1+L$5),0)-L42-V42)</f>
        <v/>
      </c>
      <c r="AG42">
        <f>AH42-(AI41-AI42)</f>
        <v/>
      </c>
      <c r="AH42">
        <f>SUM(C42:V42)</f>
        <v/>
      </c>
      <c r="AI42">
        <f>SUM(W42:AF42)</f>
        <v/>
      </c>
      <c r="AJ42">
        <f>MAX(0,PresTot-SUM(C42:L42))</f>
        <v/>
      </c>
      <c r="AK42">
        <f>IF(AI41&lt;=0,0,11-SUMPRODUCT(MAX((W41:AF41&gt;0)*(11-(COLUMN(W41:AF41)-COLUMN($V41))))))</f>
        <v/>
      </c>
    </row>
    <row r="43">
      <c r="A43" t="n">
        <v>33</v>
      </c>
      <c r="B43">
        <f>DATE(YEAR(InicioEf),MONTH(InicioEf)+A43-1,1)</f>
        <v/>
      </c>
      <c r="C43">
        <f>MIN(C$6,ROUND(W42*(1+C$5),0))</f>
        <v/>
      </c>
      <c r="D43">
        <f>MIN(D$6,ROUND(X42*(1+D$5),0))</f>
        <v/>
      </c>
      <c r="E43">
        <f>MIN(E$6,ROUND(Y42*(1+E$5),0))</f>
        <v/>
      </c>
      <c r="F43">
        <f>MIN(F$6,ROUND(Z42*(1+F$5),0))</f>
        <v/>
      </c>
      <c r="G43">
        <f>MIN(G$6,ROUND(AA42*(1+G$5),0))</f>
        <v/>
      </c>
      <c r="H43">
        <f>MIN(H$6,ROUND(AB42*(1+H$5),0))</f>
        <v/>
      </c>
      <c r="I43">
        <f>MIN(I$6,ROUND(AC42*(1+I$5),0))</f>
        <v/>
      </c>
      <c r="J43">
        <f>MIN(J$6,ROUND(AD42*(1+J$5),0))</f>
        <v/>
      </c>
      <c r="K43">
        <f>MIN(K$6,ROUND(AE42*(1+K$5),0))</f>
        <v/>
      </c>
      <c r="L43">
        <f>MIN(L$6,ROUND(AF42*(1+L$5),0))</f>
        <v/>
      </c>
      <c r="M43">
        <f>MAX(0,MIN(ROUND(W42*(1+C$5),0)-C43,$AJ43-0))</f>
        <v/>
      </c>
      <c r="N43">
        <f>MAX(0,MIN(ROUND(X42*(1+D$5),0)-D43,$AJ43-SUM($M43:M43)))</f>
        <v/>
      </c>
      <c r="O43">
        <f>MAX(0,MIN(ROUND(Y42*(1+E$5),0)-E43,$AJ43-SUM($M43:N43)))</f>
        <v/>
      </c>
      <c r="P43">
        <f>MAX(0,MIN(ROUND(Z42*(1+F$5),0)-F43,$AJ43-SUM($M43:O43)))</f>
        <v/>
      </c>
      <c r="Q43">
        <f>MAX(0,MIN(ROUND(AA42*(1+G$5),0)-G43,$AJ43-SUM($M43:P43)))</f>
        <v/>
      </c>
      <c r="R43">
        <f>MAX(0,MIN(ROUND(AB42*(1+H$5),0)-H43,$AJ43-SUM($M43:Q43)))</f>
        <v/>
      </c>
      <c r="S43">
        <f>MAX(0,MIN(ROUND(AC42*(1+I$5),0)-I43,$AJ43-SUM($M43:R43)))</f>
        <v/>
      </c>
      <c r="T43">
        <f>MAX(0,MIN(ROUND(AD42*(1+J$5),0)-J43,$AJ43-SUM($M43:S43)))</f>
        <v/>
      </c>
      <c r="U43">
        <f>MAX(0,MIN(ROUND(AE42*(1+K$5),0)-K43,$AJ43-SUM($M43:T43)))</f>
        <v/>
      </c>
      <c r="V43">
        <f>MAX(0,MIN(ROUND(AF42*(1+L$5),0)-L43,$AJ43-SUM($M43:U43)))</f>
        <v/>
      </c>
      <c r="W43">
        <f>MAX(0,ROUND(W42*(1+C$5),0)-C43-M43)</f>
        <v/>
      </c>
      <c r="X43">
        <f>MAX(0,ROUND(X42*(1+D$5),0)-D43-N43)</f>
        <v/>
      </c>
      <c r="Y43">
        <f>MAX(0,ROUND(Y42*(1+E$5),0)-E43-O43)</f>
        <v/>
      </c>
      <c r="Z43">
        <f>MAX(0,ROUND(Z42*(1+F$5),0)-F43-P43)</f>
        <v/>
      </c>
      <c r="AA43">
        <f>MAX(0,ROUND(AA42*(1+G$5),0)-G43-Q43)</f>
        <v/>
      </c>
      <c r="AB43">
        <f>MAX(0,ROUND(AB42*(1+H$5),0)-H43-R43)</f>
        <v/>
      </c>
      <c r="AC43">
        <f>MAX(0,ROUND(AC42*(1+I$5),0)-I43-S43)</f>
        <v/>
      </c>
      <c r="AD43">
        <f>MAX(0,ROUND(AD42*(1+J$5),0)-J43-T43)</f>
        <v/>
      </c>
      <c r="AE43">
        <f>MAX(0,ROUND(AE42*(1+K$5),0)-K43-U43)</f>
        <v/>
      </c>
      <c r="AF43">
        <f>MAX(0,ROUND(AF42*(1+L$5),0)-L43-V43)</f>
        <v/>
      </c>
      <c r="AG43">
        <f>AH43-(AI42-AI43)</f>
        <v/>
      </c>
      <c r="AH43">
        <f>SUM(C43:V43)</f>
        <v/>
      </c>
      <c r="AI43">
        <f>SUM(W43:AF43)</f>
        <v/>
      </c>
      <c r="AJ43">
        <f>MAX(0,PresTot-SUM(C43:L43))</f>
        <v/>
      </c>
      <c r="AK43">
        <f>IF(AI42&lt;=0,0,11-SUMPRODUCT(MAX((W42:AF42&gt;0)*(11-(COLUMN(W42:AF42)-COLUMN($V42))))))</f>
        <v/>
      </c>
    </row>
    <row r="44">
      <c r="A44" t="n">
        <v>34</v>
      </c>
      <c r="B44">
        <f>DATE(YEAR(InicioEf),MONTH(InicioEf)+A44-1,1)</f>
        <v/>
      </c>
      <c r="C44">
        <f>MIN(C$6,ROUND(W43*(1+C$5),0))</f>
        <v/>
      </c>
      <c r="D44">
        <f>MIN(D$6,ROUND(X43*(1+D$5),0))</f>
        <v/>
      </c>
      <c r="E44">
        <f>MIN(E$6,ROUND(Y43*(1+E$5),0))</f>
        <v/>
      </c>
      <c r="F44">
        <f>MIN(F$6,ROUND(Z43*(1+F$5),0))</f>
        <v/>
      </c>
      <c r="G44">
        <f>MIN(G$6,ROUND(AA43*(1+G$5),0))</f>
        <v/>
      </c>
      <c r="H44">
        <f>MIN(H$6,ROUND(AB43*(1+H$5),0))</f>
        <v/>
      </c>
      <c r="I44">
        <f>MIN(I$6,ROUND(AC43*(1+I$5),0))</f>
        <v/>
      </c>
      <c r="J44">
        <f>MIN(J$6,ROUND(AD43*(1+J$5),0))</f>
        <v/>
      </c>
      <c r="K44">
        <f>MIN(K$6,ROUND(AE43*(1+K$5),0))</f>
        <v/>
      </c>
      <c r="L44">
        <f>MIN(L$6,ROUND(AF43*(1+L$5),0))</f>
        <v/>
      </c>
      <c r="M44">
        <f>MAX(0,MIN(ROUND(W43*(1+C$5),0)-C44,$AJ44-0))</f>
        <v/>
      </c>
      <c r="N44">
        <f>MAX(0,MIN(ROUND(X43*(1+D$5),0)-D44,$AJ44-SUM($M44:M44)))</f>
        <v/>
      </c>
      <c r="O44">
        <f>MAX(0,MIN(ROUND(Y43*(1+E$5),0)-E44,$AJ44-SUM($M44:N44)))</f>
        <v/>
      </c>
      <c r="P44">
        <f>MAX(0,MIN(ROUND(Z43*(1+F$5),0)-F44,$AJ44-SUM($M44:O44)))</f>
        <v/>
      </c>
      <c r="Q44">
        <f>MAX(0,MIN(ROUND(AA43*(1+G$5),0)-G44,$AJ44-SUM($M44:P44)))</f>
        <v/>
      </c>
      <c r="R44">
        <f>MAX(0,MIN(ROUND(AB43*(1+H$5),0)-H44,$AJ44-SUM($M44:Q44)))</f>
        <v/>
      </c>
      <c r="S44">
        <f>MAX(0,MIN(ROUND(AC43*(1+I$5),0)-I44,$AJ44-SUM($M44:R44)))</f>
        <v/>
      </c>
      <c r="T44">
        <f>MAX(0,MIN(ROUND(AD43*(1+J$5),0)-J44,$AJ44-SUM($M44:S44)))</f>
        <v/>
      </c>
      <c r="U44">
        <f>MAX(0,MIN(ROUND(AE43*(1+K$5),0)-K44,$AJ44-SUM($M44:T44)))</f>
        <v/>
      </c>
      <c r="V44">
        <f>MAX(0,MIN(ROUND(AF43*(1+L$5),0)-L44,$AJ44-SUM($M44:U44)))</f>
        <v/>
      </c>
      <c r="W44">
        <f>MAX(0,ROUND(W43*(1+C$5),0)-C44-M44)</f>
        <v/>
      </c>
      <c r="X44">
        <f>MAX(0,ROUND(X43*(1+D$5),0)-D44-N44)</f>
        <v/>
      </c>
      <c r="Y44">
        <f>MAX(0,ROUND(Y43*(1+E$5),0)-E44-O44)</f>
        <v/>
      </c>
      <c r="Z44">
        <f>MAX(0,ROUND(Z43*(1+F$5),0)-F44-P44)</f>
        <v/>
      </c>
      <c r="AA44">
        <f>MAX(0,ROUND(AA43*(1+G$5),0)-G44-Q44)</f>
        <v/>
      </c>
      <c r="AB44">
        <f>MAX(0,ROUND(AB43*(1+H$5),0)-H44-R44)</f>
        <v/>
      </c>
      <c r="AC44">
        <f>MAX(0,ROUND(AC43*(1+I$5),0)-I44-S44)</f>
        <v/>
      </c>
      <c r="AD44">
        <f>MAX(0,ROUND(AD43*(1+J$5),0)-J44-T44)</f>
        <v/>
      </c>
      <c r="AE44">
        <f>MAX(0,ROUND(AE43*(1+K$5),0)-K44-U44)</f>
        <v/>
      </c>
      <c r="AF44">
        <f>MAX(0,ROUND(AF43*(1+L$5),0)-L44-V44)</f>
        <v/>
      </c>
      <c r="AG44">
        <f>AH44-(AI43-AI44)</f>
        <v/>
      </c>
      <c r="AH44">
        <f>SUM(C44:V44)</f>
        <v/>
      </c>
      <c r="AI44">
        <f>SUM(W44:AF44)</f>
        <v/>
      </c>
      <c r="AJ44">
        <f>MAX(0,PresTot-SUM(C44:L44))</f>
        <v/>
      </c>
      <c r="AK44">
        <f>IF(AI43&lt;=0,0,11-SUMPRODUCT(MAX((W43:AF43&gt;0)*(11-(COLUMN(W43:AF43)-COLUMN($V43))))))</f>
        <v/>
      </c>
    </row>
    <row r="45">
      <c r="A45" t="n">
        <v>35</v>
      </c>
      <c r="B45">
        <f>DATE(YEAR(InicioEf),MONTH(InicioEf)+A45-1,1)</f>
        <v/>
      </c>
      <c r="C45">
        <f>MIN(C$6,ROUND(W44*(1+C$5),0))</f>
        <v/>
      </c>
      <c r="D45">
        <f>MIN(D$6,ROUND(X44*(1+D$5),0))</f>
        <v/>
      </c>
      <c r="E45">
        <f>MIN(E$6,ROUND(Y44*(1+E$5),0))</f>
        <v/>
      </c>
      <c r="F45">
        <f>MIN(F$6,ROUND(Z44*(1+F$5),0))</f>
        <v/>
      </c>
      <c r="G45">
        <f>MIN(G$6,ROUND(AA44*(1+G$5),0))</f>
        <v/>
      </c>
      <c r="H45">
        <f>MIN(H$6,ROUND(AB44*(1+H$5),0))</f>
        <v/>
      </c>
      <c r="I45">
        <f>MIN(I$6,ROUND(AC44*(1+I$5),0))</f>
        <v/>
      </c>
      <c r="J45">
        <f>MIN(J$6,ROUND(AD44*(1+J$5),0))</f>
        <v/>
      </c>
      <c r="K45">
        <f>MIN(K$6,ROUND(AE44*(1+K$5),0))</f>
        <v/>
      </c>
      <c r="L45">
        <f>MIN(L$6,ROUND(AF44*(1+L$5),0))</f>
        <v/>
      </c>
      <c r="M45">
        <f>MAX(0,MIN(ROUND(W44*(1+C$5),0)-C45,$AJ45-0))</f>
        <v/>
      </c>
      <c r="N45">
        <f>MAX(0,MIN(ROUND(X44*(1+D$5),0)-D45,$AJ45-SUM($M45:M45)))</f>
        <v/>
      </c>
      <c r="O45">
        <f>MAX(0,MIN(ROUND(Y44*(1+E$5),0)-E45,$AJ45-SUM($M45:N45)))</f>
        <v/>
      </c>
      <c r="P45">
        <f>MAX(0,MIN(ROUND(Z44*(1+F$5),0)-F45,$AJ45-SUM($M45:O45)))</f>
        <v/>
      </c>
      <c r="Q45">
        <f>MAX(0,MIN(ROUND(AA44*(1+G$5),0)-G45,$AJ45-SUM($M45:P45)))</f>
        <v/>
      </c>
      <c r="R45">
        <f>MAX(0,MIN(ROUND(AB44*(1+H$5),0)-H45,$AJ45-SUM($M45:Q45)))</f>
        <v/>
      </c>
      <c r="S45">
        <f>MAX(0,MIN(ROUND(AC44*(1+I$5),0)-I45,$AJ45-SUM($M45:R45)))</f>
        <v/>
      </c>
      <c r="T45">
        <f>MAX(0,MIN(ROUND(AD44*(1+J$5),0)-J45,$AJ45-SUM($M45:S45)))</f>
        <v/>
      </c>
      <c r="U45">
        <f>MAX(0,MIN(ROUND(AE44*(1+K$5),0)-K45,$AJ45-SUM($M45:T45)))</f>
        <v/>
      </c>
      <c r="V45">
        <f>MAX(0,MIN(ROUND(AF44*(1+L$5),0)-L45,$AJ45-SUM($M45:U45)))</f>
        <v/>
      </c>
      <c r="W45">
        <f>MAX(0,ROUND(W44*(1+C$5),0)-C45-M45)</f>
        <v/>
      </c>
      <c r="X45">
        <f>MAX(0,ROUND(X44*(1+D$5),0)-D45-N45)</f>
        <v/>
      </c>
      <c r="Y45">
        <f>MAX(0,ROUND(Y44*(1+E$5),0)-E45-O45)</f>
        <v/>
      </c>
      <c r="Z45">
        <f>MAX(0,ROUND(Z44*(1+F$5),0)-F45-P45)</f>
        <v/>
      </c>
      <c r="AA45">
        <f>MAX(0,ROUND(AA44*(1+G$5),0)-G45-Q45)</f>
        <v/>
      </c>
      <c r="AB45">
        <f>MAX(0,ROUND(AB44*(1+H$5),0)-H45-R45)</f>
        <v/>
      </c>
      <c r="AC45">
        <f>MAX(0,ROUND(AC44*(1+I$5),0)-I45-S45)</f>
        <v/>
      </c>
      <c r="AD45">
        <f>MAX(0,ROUND(AD44*(1+J$5),0)-J45-T45)</f>
        <v/>
      </c>
      <c r="AE45">
        <f>MAX(0,ROUND(AE44*(1+K$5),0)-K45-U45)</f>
        <v/>
      </c>
      <c r="AF45">
        <f>MAX(0,ROUND(AF44*(1+L$5),0)-L45-V45)</f>
        <v/>
      </c>
      <c r="AG45">
        <f>AH45-(AI44-AI45)</f>
        <v/>
      </c>
      <c r="AH45">
        <f>SUM(C45:V45)</f>
        <v/>
      </c>
      <c r="AI45">
        <f>SUM(W45:AF45)</f>
        <v/>
      </c>
      <c r="AJ45">
        <f>MAX(0,PresTot-SUM(C45:L45))</f>
        <v/>
      </c>
      <c r="AK45">
        <f>IF(AI44&lt;=0,0,11-SUMPRODUCT(MAX((W44:AF44&gt;0)*(11-(COLUMN(W44:AF44)-COLUMN($V44))))))</f>
        <v/>
      </c>
    </row>
    <row r="46">
      <c r="A46" t="n">
        <v>36</v>
      </c>
      <c r="B46">
        <f>DATE(YEAR(InicioEf),MONTH(InicioEf)+A46-1,1)</f>
        <v/>
      </c>
      <c r="C46">
        <f>MIN(C$6,ROUND(W45*(1+C$5),0))</f>
        <v/>
      </c>
      <c r="D46">
        <f>MIN(D$6,ROUND(X45*(1+D$5),0))</f>
        <v/>
      </c>
      <c r="E46">
        <f>MIN(E$6,ROUND(Y45*(1+E$5),0))</f>
        <v/>
      </c>
      <c r="F46">
        <f>MIN(F$6,ROUND(Z45*(1+F$5),0))</f>
        <v/>
      </c>
      <c r="G46">
        <f>MIN(G$6,ROUND(AA45*(1+G$5),0))</f>
        <v/>
      </c>
      <c r="H46">
        <f>MIN(H$6,ROUND(AB45*(1+H$5),0))</f>
        <v/>
      </c>
      <c r="I46">
        <f>MIN(I$6,ROUND(AC45*(1+I$5),0))</f>
        <v/>
      </c>
      <c r="J46">
        <f>MIN(J$6,ROUND(AD45*(1+J$5),0))</f>
        <v/>
      </c>
      <c r="K46">
        <f>MIN(K$6,ROUND(AE45*(1+K$5),0))</f>
        <v/>
      </c>
      <c r="L46">
        <f>MIN(L$6,ROUND(AF45*(1+L$5),0))</f>
        <v/>
      </c>
      <c r="M46">
        <f>MAX(0,MIN(ROUND(W45*(1+C$5),0)-C46,$AJ46-0))</f>
        <v/>
      </c>
      <c r="N46">
        <f>MAX(0,MIN(ROUND(X45*(1+D$5),0)-D46,$AJ46-SUM($M46:M46)))</f>
        <v/>
      </c>
      <c r="O46">
        <f>MAX(0,MIN(ROUND(Y45*(1+E$5),0)-E46,$AJ46-SUM($M46:N46)))</f>
        <v/>
      </c>
      <c r="P46">
        <f>MAX(0,MIN(ROUND(Z45*(1+F$5),0)-F46,$AJ46-SUM($M46:O46)))</f>
        <v/>
      </c>
      <c r="Q46">
        <f>MAX(0,MIN(ROUND(AA45*(1+G$5),0)-G46,$AJ46-SUM($M46:P46)))</f>
        <v/>
      </c>
      <c r="R46">
        <f>MAX(0,MIN(ROUND(AB45*(1+H$5),0)-H46,$AJ46-SUM($M46:Q46)))</f>
        <v/>
      </c>
      <c r="S46">
        <f>MAX(0,MIN(ROUND(AC45*(1+I$5),0)-I46,$AJ46-SUM($M46:R46)))</f>
        <v/>
      </c>
      <c r="T46">
        <f>MAX(0,MIN(ROUND(AD45*(1+J$5),0)-J46,$AJ46-SUM($M46:S46)))</f>
        <v/>
      </c>
      <c r="U46">
        <f>MAX(0,MIN(ROUND(AE45*(1+K$5),0)-K46,$AJ46-SUM($M46:T46)))</f>
        <v/>
      </c>
      <c r="V46">
        <f>MAX(0,MIN(ROUND(AF45*(1+L$5),0)-L46,$AJ46-SUM($M46:U46)))</f>
        <v/>
      </c>
      <c r="W46">
        <f>MAX(0,ROUND(W45*(1+C$5),0)-C46-M46)</f>
        <v/>
      </c>
      <c r="X46">
        <f>MAX(0,ROUND(X45*(1+D$5),0)-D46-N46)</f>
        <v/>
      </c>
      <c r="Y46">
        <f>MAX(0,ROUND(Y45*(1+E$5),0)-E46-O46)</f>
        <v/>
      </c>
      <c r="Z46">
        <f>MAX(0,ROUND(Z45*(1+F$5),0)-F46-P46)</f>
        <v/>
      </c>
      <c r="AA46">
        <f>MAX(0,ROUND(AA45*(1+G$5),0)-G46-Q46)</f>
        <v/>
      </c>
      <c r="AB46">
        <f>MAX(0,ROUND(AB45*(1+H$5),0)-H46-R46)</f>
        <v/>
      </c>
      <c r="AC46">
        <f>MAX(0,ROUND(AC45*(1+I$5),0)-I46-S46)</f>
        <v/>
      </c>
      <c r="AD46">
        <f>MAX(0,ROUND(AD45*(1+J$5),0)-J46-T46)</f>
        <v/>
      </c>
      <c r="AE46">
        <f>MAX(0,ROUND(AE45*(1+K$5),0)-K46-U46)</f>
        <v/>
      </c>
      <c r="AF46">
        <f>MAX(0,ROUND(AF45*(1+L$5),0)-L46-V46)</f>
        <v/>
      </c>
      <c r="AG46">
        <f>AH46-(AI45-AI46)</f>
        <v/>
      </c>
      <c r="AH46">
        <f>SUM(C46:V46)</f>
        <v/>
      </c>
      <c r="AI46">
        <f>SUM(W46:AF46)</f>
        <v/>
      </c>
      <c r="AJ46">
        <f>MAX(0,PresTot-SUM(C46:L46))</f>
        <v/>
      </c>
      <c r="AK46">
        <f>IF(AI45&lt;=0,0,11-SUMPRODUCT(MAX((W45:AF45&gt;0)*(11-(COLUMN(W45:AF45)-COLUMN($V45))))))</f>
        <v/>
      </c>
    </row>
    <row r="47">
      <c r="A47" t="n">
        <v>37</v>
      </c>
      <c r="B47">
        <f>DATE(YEAR(InicioEf),MONTH(InicioEf)+A47-1,1)</f>
        <v/>
      </c>
      <c r="C47">
        <f>MIN(C$6,ROUND(W46*(1+C$5),0))</f>
        <v/>
      </c>
      <c r="D47">
        <f>MIN(D$6,ROUND(X46*(1+D$5),0))</f>
        <v/>
      </c>
      <c r="E47">
        <f>MIN(E$6,ROUND(Y46*(1+E$5),0))</f>
        <v/>
      </c>
      <c r="F47">
        <f>MIN(F$6,ROUND(Z46*(1+F$5),0))</f>
        <v/>
      </c>
      <c r="G47">
        <f>MIN(G$6,ROUND(AA46*(1+G$5),0))</f>
        <v/>
      </c>
      <c r="H47">
        <f>MIN(H$6,ROUND(AB46*(1+H$5),0))</f>
        <v/>
      </c>
      <c r="I47">
        <f>MIN(I$6,ROUND(AC46*(1+I$5),0))</f>
        <v/>
      </c>
      <c r="J47">
        <f>MIN(J$6,ROUND(AD46*(1+J$5),0))</f>
        <v/>
      </c>
      <c r="K47">
        <f>MIN(K$6,ROUND(AE46*(1+K$5),0))</f>
        <v/>
      </c>
      <c r="L47">
        <f>MIN(L$6,ROUND(AF46*(1+L$5),0))</f>
        <v/>
      </c>
      <c r="M47">
        <f>MAX(0,MIN(ROUND(W46*(1+C$5),0)-C47,$AJ47-0))</f>
        <v/>
      </c>
      <c r="N47">
        <f>MAX(0,MIN(ROUND(X46*(1+D$5),0)-D47,$AJ47-SUM($M47:M47)))</f>
        <v/>
      </c>
      <c r="O47">
        <f>MAX(0,MIN(ROUND(Y46*(1+E$5),0)-E47,$AJ47-SUM($M47:N47)))</f>
        <v/>
      </c>
      <c r="P47">
        <f>MAX(0,MIN(ROUND(Z46*(1+F$5),0)-F47,$AJ47-SUM($M47:O47)))</f>
        <v/>
      </c>
      <c r="Q47">
        <f>MAX(0,MIN(ROUND(AA46*(1+G$5),0)-G47,$AJ47-SUM($M47:P47)))</f>
        <v/>
      </c>
      <c r="R47">
        <f>MAX(0,MIN(ROUND(AB46*(1+H$5),0)-H47,$AJ47-SUM($M47:Q47)))</f>
        <v/>
      </c>
      <c r="S47">
        <f>MAX(0,MIN(ROUND(AC46*(1+I$5),0)-I47,$AJ47-SUM($M47:R47)))</f>
        <v/>
      </c>
      <c r="T47">
        <f>MAX(0,MIN(ROUND(AD46*(1+J$5),0)-J47,$AJ47-SUM($M47:S47)))</f>
        <v/>
      </c>
      <c r="U47">
        <f>MAX(0,MIN(ROUND(AE46*(1+K$5),0)-K47,$AJ47-SUM($M47:T47)))</f>
        <v/>
      </c>
      <c r="V47">
        <f>MAX(0,MIN(ROUND(AF46*(1+L$5),0)-L47,$AJ47-SUM($M47:U47)))</f>
        <v/>
      </c>
      <c r="W47">
        <f>MAX(0,ROUND(W46*(1+C$5),0)-C47-M47)</f>
        <v/>
      </c>
      <c r="X47">
        <f>MAX(0,ROUND(X46*(1+D$5),0)-D47-N47)</f>
        <v/>
      </c>
      <c r="Y47">
        <f>MAX(0,ROUND(Y46*(1+E$5),0)-E47-O47)</f>
        <v/>
      </c>
      <c r="Z47">
        <f>MAX(0,ROUND(Z46*(1+F$5),0)-F47-P47)</f>
        <v/>
      </c>
      <c r="AA47">
        <f>MAX(0,ROUND(AA46*(1+G$5),0)-G47-Q47)</f>
        <v/>
      </c>
      <c r="AB47">
        <f>MAX(0,ROUND(AB46*(1+H$5),0)-H47-R47)</f>
        <v/>
      </c>
      <c r="AC47">
        <f>MAX(0,ROUND(AC46*(1+I$5),0)-I47-S47)</f>
        <v/>
      </c>
      <c r="AD47">
        <f>MAX(0,ROUND(AD46*(1+J$5),0)-J47-T47)</f>
        <v/>
      </c>
      <c r="AE47">
        <f>MAX(0,ROUND(AE46*(1+K$5),0)-K47-U47)</f>
        <v/>
      </c>
      <c r="AF47">
        <f>MAX(0,ROUND(AF46*(1+L$5),0)-L47-V47)</f>
        <v/>
      </c>
      <c r="AG47">
        <f>AH47-(AI46-AI47)</f>
        <v/>
      </c>
      <c r="AH47">
        <f>SUM(C47:V47)</f>
        <v/>
      </c>
      <c r="AI47">
        <f>SUM(W47:AF47)</f>
        <v/>
      </c>
      <c r="AJ47">
        <f>MAX(0,PresTot-SUM(C47:L47))</f>
        <v/>
      </c>
      <c r="AK47">
        <f>IF(AI46&lt;=0,0,11-SUMPRODUCT(MAX((W46:AF46&gt;0)*(11-(COLUMN(W46:AF46)-COLUMN($V46))))))</f>
        <v/>
      </c>
    </row>
    <row r="48">
      <c r="A48" t="n">
        <v>38</v>
      </c>
      <c r="B48">
        <f>DATE(YEAR(InicioEf),MONTH(InicioEf)+A48-1,1)</f>
        <v/>
      </c>
      <c r="C48">
        <f>MIN(C$6,ROUND(W47*(1+C$5),0))</f>
        <v/>
      </c>
      <c r="D48">
        <f>MIN(D$6,ROUND(X47*(1+D$5),0))</f>
        <v/>
      </c>
      <c r="E48">
        <f>MIN(E$6,ROUND(Y47*(1+E$5),0))</f>
        <v/>
      </c>
      <c r="F48">
        <f>MIN(F$6,ROUND(Z47*(1+F$5),0))</f>
        <v/>
      </c>
      <c r="G48">
        <f>MIN(G$6,ROUND(AA47*(1+G$5),0))</f>
        <v/>
      </c>
      <c r="H48">
        <f>MIN(H$6,ROUND(AB47*(1+H$5),0))</f>
        <v/>
      </c>
      <c r="I48">
        <f>MIN(I$6,ROUND(AC47*(1+I$5),0))</f>
        <v/>
      </c>
      <c r="J48">
        <f>MIN(J$6,ROUND(AD47*(1+J$5),0))</f>
        <v/>
      </c>
      <c r="K48">
        <f>MIN(K$6,ROUND(AE47*(1+K$5),0))</f>
        <v/>
      </c>
      <c r="L48">
        <f>MIN(L$6,ROUND(AF47*(1+L$5),0))</f>
        <v/>
      </c>
      <c r="M48">
        <f>MAX(0,MIN(ROUND(W47*(1+C$5),0)-C48,$AJ48-0))</f>
        <v/>
      </c>
      <c r="N48">
        <f>MAX(0,MIN(ROUND(X47*(1+D$5),0)-D48,$AJ48-SUM($M48:M48)))</f>
        <v/>
      </c>
      <c r="O48">
        <f>MAX(0,MIN(ROUND(Y47*(1+E$5),0)-E48,$AJ48-SUM($M48:N48)))</f>
        <v/>
      </c>
      <c r="P48">
        <f>MAX(0,MIN(ROUND(Z47*(1+F$5),0)-F48,$AJ48-SUM($M48:O48)))</f>
        <v/>
      </c>
      <c r="Q48">
        <f>MAX(0,MIN(ROUND(AA47*(1+G$5),0)-G48,$AJ48-SUM($M48:P48)))</f>
        <v/>
      </c>
      <c r="R48">
        <f>MAX(0,MIN(ROUND(AB47*(1+H$5),0)-H48,$AJ48-SUM($M48:Q48)))</f>
        <v/>
      </c>
      <c r="S48">
        <f>MAX(0,MIN(ROUND(AC47*(1+I$5),0)-I48,$AJ48-SUM($M48:R48)))</f>
        <v/>
      </c>
      <c r="T48">
        <f>MAX(0,MIN(ROUND(AD47*(1+J$5),0)-J48,$AJ48-SUM($M48:S48)))</f>
        <v/>
      </c>
      <c r="U48">
        <f>MAX(0,MIN(ROUND(AE47*(1+K$5),0)-K48,$AJ48-SUM($M48:T48)))</f>
        <v/>
      </c>
      <c r="V48">
        <f>MAX(0,MIN(ROUND(AF47*(1+L$5),0)-L48,$AJ48-SUM($M48:U48)))</f>
        <v/>
      </c>
      <c r="W48">
        <f>MAX(0,ROUND(W47*(1+C$5),0)-C48-M48)</f>
        <v/>
      </c>
      <c r="X48">
        <f>MAX(0,ROUND(X47*(1+D$5),0)-D48-N48)</f>
        <v/>
      </c>
      <c r="Y48">
        <f>MAX(0,ROUND(Y47*(1+E$5),0)-E48-O48)</f>
        <v/>
      </c>
      <c r="Z48">
        <f>MAX(0,ROUND(Z47*(1+F$5),0)-F48-P48)</f>
        <v/>
      </c>
      <c r="AA48">
        <f>MAX(0,ROUND(AA47*(1+G$5),0)-G48-Q48)</f>
        <v/>
      </c>
      <c r="AB48">
        <f>MAX(0,ROUND(AB47*(1+H$5),0)-H48-R48)</f>
        <v/>
      </c>
      <c r="AC48">
        <f>MAX(0,ROUND(AC47*(1+I$5),0)-I48-S48)</f>
        <v/>
      </c>
      <c r="AD48">
        <f>MAX(0,ROUND(AD47*(1+J$5),0)-J48-T48)</f>
        <v/>
      </c>
      <c r="AE48">
        <f>MAX(0,ROUND(AE47*(1+K$5),0)-K48-U48)</f>
        <v/>
      </c>
      <c r="AF48">
        <f>MAX(0,ROUND(AF47*(1+L$5),0)-L48-V48)</f>
        <v/>
      </c>
      <c r="AG48">
        <f>AH48-(AI47-AI48)</f>
        <v/>
      </c>
      <c r="AH48">
        <f>SUM(C48:V48)</f>
        <v/>
      </c>
      <c r="AI48">
        <f>SUM(W48:AF48)</f>
        <v/>
      </c>
      <c r="AJ48">
        <f>MAX(0,PresTot-SUM(C48:L48))</f>
        <v/>
      </c>
      <c r="AK48">
        <f>IF(AI47&lt;=0,0,11-SUMPRODUCT(MAX((W47:AF47&gt;0)*(11-(COLUMN(W47:AF47)-COLUMN($V47))))))</f>
        <v/>
      </c>
    </row>
    <row r="49">
      <c r="A49" t="n">
        <v>39</v>
      </c>
      <c r="B49">
        <f>DATE(YEAR(InicioEf),MONTH(InicioEf)+A49-1,1)</f>
        <v/>
      </c>
      <c r="C49">
        <f>MIN(C$6,ROUND(W48*(1+C$5),0))</f>
        <v/>
      </c>
      <c r="D49">
        <f>MIN(D$6,ROUND(X48*(1+D$5),0))</f>
        <v/>
      </c>
      <c r="E49">
        <f>MIN(E$6,ROUND(Y48*(1+E$5),0))</f>
        <v/>
      </c>
      <c r="F49">
        <f>MIN(F$6,ROUND(Z48*(1+F$5),0))</f>
        <v/>
      </c>
      <c r="G49">
        <f>MIN(G$6,ROUND(AA48*(1+G$5),0))</f>
        <v/>
      </c>
      <c r="H49">
        <f>MIN(H$6,ROUND(AB48*(1+H$5),0))</f>
        <v/>
      </c>
      <c r="I49">
        <f>MIN(I$6,ROUND(AC48*(1+I$5),0))</f>
        <v/>
      </c>
      <c r="J49">
        <f>MIN(J$6,ROUND(AD48*(1+J$5),0))</f>
        <v/>
      </c>
      <c r="K49">
        <f>MIN(K$6,ROUND(AE48*(1+K$5),0))</f>
        <v/>
      </c>
      <c r="L49">
        <f>MIN(L$6,ROUND(AF48*(1+L$5),0))</f>
        <v/>
      </c>
      <c r="M49">
        <f>MAX(0,MIN(ROUND(W48*(1+C$5),0)-C49,$AJ49-0))</f>
        <v/>
      </c>
      <c r="N49">
        <f>MAX(0,MIN(ROUND(X48*(1+D$5),0)-D49,$AJ49-SUM($M49:M49)))</f>
        <v/>
      </c>
      <c r="O49">
        <f>MAX(0,MIN(ROUND(Y48*(1+E$5),0)-E49,$AJ49-SUM($M49:N49)))</f>
        <v/>
      </c>
      <c r="P49">
        <f>MAX(0,MIN(ROUND(Z48*(1+F$5),0)-F49,$AJ49-SUM($M49:O49)))</f>
        <v/>
      </c>
      <c r="Q49">
        <f>MAX(0,MIN(ROUND(AA48*(1+G$5),0)-G49,$AJ49-SUM($M49:P49)))</f>
        <v/>
      </c>
      <c r="R49">
        <f>MAX(0,MIN(ROUND(AB48*(1+H$5),0)-H49,$AJ49-SUM($M49:Q49)))</f>
        <v/>
      </c>
      <c r="S49">
        <f>MAX(0,MIN(ROUND(AC48*(1+I$5),0)-I49,$AJ49-SUM($M49:R49)))</f>
        <v/>
      </c>
      <c r="T49">
        <f>MAX(0,MIN(ROUND(AD48*(1+J$5),0)-J49,$AJ49-SUM($M49:S49)))</f>
        <v/>
      </c>
      <c r="U49">
        <f>MAX(0,MIN(ROUND(AE48*(1+K$5),0)-K49,$AJ49-SUM($M49:T49)))</f>
        <v/>
      </c>
      <c r="V49">
        <f>MAX(0,MIN(ROUND(AF48*(1+L$5),0)-L49,$AJ49-SUM($M49:U49)))</f>
        <v/>
      </c>
      <c r="W49">
        <f>MAX(0,ROUND(W48*(1+C$5),0)-C49-M49)</f>
        <v/>
      </c>
      <c r="X49">
        <f>MAX(0,ROUND(X48*(1+D$5),0)-D49-N49)</f>
        <v/>
      </c>
      <c r="Y49">
        <f>MAX(0,ROUND(Y48*(1+E$5),0)-E49-O49)</f>
        <v/>
      </c>
      <c r="Z49">
        <f>MAX(0,ROUND(Z48*(1+F$5),0)-F49-P49)</f>
        <v/>
      </c>
      <c r="AA49">
        <f>MAX(0,ROUND(AA48*(1+G$5),0)-G49-Q49)</f>
        <v/>
      </c>
      <c r="AB49">
        <f>MAX(0,ROUND(AB48*(1+H$5),0)-H49-R49)</f>
        <v/>
      </c>
      <c r="AC49">
        <f>MAX(0,ROUND(AC48*(1+I$5),0)-I49-S49)</f>
        <v/>
      </c>
      <c r="AD49">
        <f>MAX(0,ROUND(AD48*(1+J$5),0)-J49-T49)</f>
        <v/>
      </c>
      <c r="AE49">
        <f>MAX(0,ROUND(AE48*(1+K$5),0)-K49-U49)</f>
        <v/>
      </c>
      <c r="AF49">
        <f>MAX(0,ROUND(AF48*(1+L$5),0)-L49-V49)</f>
        <v/>
      </c>
      <c r="AG49">
        <f>AH49-(AI48-AI49)</f>
        <v/>
      </c>
      <c r="AH49">
        <f>SUM(C49:V49)</f>
        <v/>
      </c>
      <c r="AI49">
        <f>SUM(W49:AF49)</f>
        <v/>
      </c>
      <c r="AJ49">
        <f>MAX(0,PresTot-SUM(C49:L49))</f>
        <v/>
      </c>
      <c r="AK49">
        <f>IF(AI48&lt;=0,0,11-SUMPRODUCT(MAX((W48:AF48&gt;0)*(11-(COLUMN(W48:AF48)-COLUMN($V48))))))</f>
        <v/>
      </c>
    </row>
    <row r="50">
      <c r="A50" t="n">
        <v>40</v>
      </c>
      <c r="B50">
        <f>DATE(YEAR(InicioEf),MONTH(InicioEf)+A50-1,1)</f>
        <v/>
      </c>
      <c r="C50">
        <f>MIN(C$6,ROUND(W49*(1+C$5),0))</f>
        <v/>
      </c>
      <c r="D50">
        <f>MIN(D$6,ROUND(X49*(1+D$5),0))</f>
        <v/>
      </c>
      <c r="E50">
        <f>MIN(E$6,ROUND(Y49*(1+E$5),0))</f>
        <v/>
      </c>
      <c r="F50">
        <f>MIN(F$6,ROUND(Z49*(1+F$5),0))</f>
        <v/>
      </c>
      <c r="G50">
        <f>MIN(G$6,ROUND(AA49*(1+G$5),0))</f>
        <v/>
      </c>
      <c r="H50">
        <f>MIN(H$6,ROUND(AB49*(1+H$5),0))</f>
        <v/>
      </c>
      <c r="I50">
        <f>MIN(I$6,ROUND(AC49*(1+I$5),0))</f>
        <v/>
      </c>
      <c r="J50">
        <f>MIN(J$6,ROUND(AD49*(1+J$5),0))</f>
        <v/>
      </c>
      <c r="K50">
        <f>MIN(K$6,ROUND(AE49*(1+K$5),0))</f>
        <v/>
      </c>
      <c r="L50">
        <f>MIN(L$6,ROUND(AF49*(1+L$5),0))</f>
        <v/>
      </c>
      <c r="M50">
        <f>MAX(0,MIN(ROUND(W49*(1+C$5),0)-C50,$AJ50-0))</f>
        <v/>
      </c>
      <c r="N50">
        <f>MAX(0,MIN(ROUND(X49*(1+D$5),0)-D50,$AJ50-SUM($M50:M50)))</f>
        <v/>
      </c>
      <c r="O50">
        <f>MAX(0,MIN(ROUND(Y49*(1+E$5),0)-E50,$AJ50-SUM($M50:N50)))</f>
        <v/>
      </c>
      <c r="P50">
        <f>MAX(0,MIN(ROUND(Z49*(1+F$5),0)-F50,$AJ50-SUM($M50:O50)))</f>
        <v/>
      </c>
      <c r="Q50">
        <f>MAX(0,MIN(ROUND(AA49*(1+G$5),0)-G50,$AJ50-SUM($M50:P50)))</f>
        <v/>
      </c>
      <c r="R50">
        <f>MAX(0,MIN(ROUND(AB49*(1+H$5),0)-H50,$AJ50-SUM($M50:Q50)))</f>
        <v/>
      </c>
      <c r="S50">
        <f>MAX(0,MIN(ROUND(AC49*(1+I$5),0)-I50,$AJ50-SUM($M50:R50)))</f>
        <v/>
      </c>
      <c r="T50">
        <f>MAX(0,MIN(ROUND(AD49*(1+J$5),0)-J50,$AJ50-SUM($M50:S50)))</f>
        <v/>
      </c>
      <c r="U50">
        <f>MAX(0,MIN(ROUND(AE49*(1+K$5),0)-K50,$AJ50-SUM($M50:T50)))</f>
        <v/>
      </c>
      <c r="V50">
        <f>MAX(0,MIN(ROUND(AF49*(1+L$5),0)-L50,$AJ50-SUM($M50:U50)))</f>
        <v/>
      </c>
      <c r="W50">
        <f>MAX(0,ROUND(W49*(1+C$5),0)-C50-M50)</f>
        <v/>
      </c>
      <c r="X50">
        <f>MAX(0,ROUND(X49*(1+D$5),0)-D50-N50)</f>
        <v/>
      </c>
      <c r="Y50">
        <f>MAX(0,ROUND(Y49*(1+E$5),0)-E50-O50)</f>
        <v/>
      </c>
      <c r="Z50">
        <f>MAX(0,ROUND(Z49*(1+F$5),0)-F50-P50)</f>
        <v/>
      </c>
      <c r="AA50">
        <f>MAX(0,ROUND(AA49*(1+G$5),0)-G50-Q50)</f>
        <v/>
      </c>
      <c r="AB50">
        <f>MAX(0,ROUND(AB49*(1+H$5),0)-H50-R50)</f>
        <v/>
      </c>
      <c r="AC50">
        <f>MAX(0,ROUND(AC49*(1+I$5),0)-I50-S50)</f>
        <v/>
      </c>
      <c r="AD50">
        <f>MAX(0,ROUND(AD49*(1+J$5),0)-J50-T50)</f>
        <v/>
      </c>
      <c r="AE50">
        <f>MAX(0,ROUND(AE49*(1+K$5),0)-K50-U50)</f>
        <v/>
      </c>
      <c r="AF50">
        <f>MAX(0,ROUND(AF49*(1+L$5),0)-L50-V50)</f>
        <v/>
      </c>
      <c r="AG50">
        <f>AH50-(AI49-AI50)</f>
        <v/>
      </c>
      <c r="AH50">
        <f>SUM(C50:V50)</f>
        <v/>
      </c>
      <c r="AI50">
        <f>SUM(W50:AF50)</f>
        <v/>
      </c>
      <c r="AJ50">
        <f>MAX(0,PresTot-SUM(C50:L50))</f>
        <v/>
      </c>
      <c r="AK50">
        <f>IF(AI49&lt;=0,0,11-SUMPRODUCT(MAX((W49:AF49&gt;0)*(11-(COLUMN(W49:AF49)-COLUMN($V49))))))</f>
        <v/>
      </c>
    </row>
    <row r="51">
      <c r="A51" t="n">
        <v>41</v>
      </c>
      <c r="B51">
        <f>DATE(YEAR(InicioEf),MONTH(InicioEf)+A51-1,1)</f>
        <v/>
      </c>
      <c r="C51">
        <f>MIN(C$6,ROUND(W50*(1+C$5),0))</f>
        <v/>
      </c>
      <c r="D51">
        <f>MIN(D$6,ROUND(X50*(1+D$5),0))</f>
        <v/>
      </c>
      <c r="E51">
        <f>MIN(E$6,ROUND(Y50*(1+E$5),0))</f>
        <v/>
      </c>
      <c r="F51">
        <f>MIN(F$6,ROUND(Z50*(1+F$5),0))</f>
        <v/>
      </c>
      <c r="G51">
        <f>MIN(G$6,ROUND(AA50*(1+G$5),0))</f>
        <v/>
      </c>
      <c r="H51">
        <f>MIN(H$6,ROUND(AB50*(1+H$5),0))</f>
        <v/>
      </c>
      <c r="I51">
        <f>MIN(I$6,ROUND(AC50*(1+I$5),0))</f>
        <v/>
      </c>
      <c r="J51">
        <f>MIN(J$6,ROUND(AD50*(1+J$5),0))</f>
        <v/>
      </c>
      <c r="K51">
        <f>MIN(K$6,ROUND(AE50*(1+K$5),0))</f>
        <v/>
      </c>
      <c r="L51">
        <f>MIN(L$6,ROUND(AF50*(1+L$5),0))</f>
        <v/>
      </c>
      <c r="M51">
        <f>MAX(0,MIN(ROUND(W50*(1+C$5),0)-C51,$AJ51-0))</f>
        <v/>
      </c>
      <c r="N51">
        <f>MAX(0,MIN(ROUND(X50*(1+D$5),0)-D51,$AJ51-SUM($M51:M51)))</f>
        <v/>
      </c>
      <c r="O51">
        <f>MAX(0,MIN(ROUND(Y50*(1+E$5),0)-E51,$AJ51-SUM($M51:N51)))</f>
        <v/>
      </c>
      <c r="P51">
        <f>MAX(0,MIN(ROUND(Z50*(1+F$5),0)-F51,$AJ51-SUM($M51:O51)))</f>
        <v/>
      </c>
      <c r="Q51">
        <f>MAX(0,MIN(ROUND(AA50*(1+G$5),0)-G51,$AJ51-SUM($M51:P51)))</f>
        <v/>
      </c>
      <c r="R51">
        <f>MAX(0,MIN(ROUND(AB50*(1+H$5),0)-H51,$AJ51-SUM($M51:Q51)))</f>
        <v/>
      </c>
      <c r="S51">
        <f>MAX(0,MIN(ROUND(AC50*(1+I$5),0)-I51,$AJ51-SUM($M51:R51)))</f>
        <v/>
      </c>
      <c r="T51">
        <f>MAX(0,MIN(ROUND(AD50*(1+J$5),0)-J51,$AJ51-SUM($M51:S51)))</f>
        <v/>
      </c>
      <c r="U51">
        <f>MAX(0,MIN(ROUND(AE50*(1+K$5),0)-K51,$AJ51-SUM($M51:T51)))</f>
        <v/>
      </c>
      <c r="V51">
        <f>MAX(0,MIN(ROUND(AF50*(1+L$5),0)-L51,$AJ51-SUM($M51:U51)))</f>
        <v/>
      </c>
      <c r="W51">
        <f>MAX(0,ROUND(W50*(1+C$5),0)-C51-M51)</f>
        <v/>
      </c>
      <c r="X51">
        <f>MAX(0,ROUND(X50*(1+D$5),0)-D51-N51)</f>
        <v/>
      </c>
      <c r="Y51">
        <f>MAX(0,ROUND(Y50*(1+E$5),0)-E51-O51)</f>
        <v/>
      </c>
      <c r="Z51">
        <f>MAX(0,ROUND(Z50*(1+F$5),0)-F51-P51)</f>
        <v/>
      </c>
      <c r="AA51">
        <f>MAX(0,ROUND(AA50*(1+G$5),0)-G51-Q51)</f>
        <v/>
      </c>
      <c r="AB51">
        <f>MAX(0,ROUND(AB50*(1+H$5),0)-H51-R51)</f>
        <v/>
      </c>
      <c r="AC51">
        <f>MAX(0,ROUND(AC50*(1+I$5),0)-I51-S51)</f>
        <v/>
      </c>
      <c r="AD51">
        <f>MAX(0,ROUND(AD50*(1+J$5),0)-J51-T51)</f>
        <v/>
      </c>
      <c r="AE51">
        <f>MAX(0,ROUND(AE50*(1+K$5),0)-K51-U51)</f>
        <v/>
      </c>
      <c r="AF51">
        <f>MAX(0,ROUND(AF50*(1+L$5),0)-L51-V51)</f>
        <v/>
      </c>
      <c r="AG51">
        <f>AH51-(AI50-AI51)</f>
        <v/>
      </c>
      <c r="AH51">
        <f>SUM(C51:V51)</f>
        <v/>
      </c>
      <c r="AI51">
        <f>SUM(W51:AF51)</f>
        <v/>
      </c>
      <c r="AJ51">
        <f>MAX(0,PresTot-SUM(C51:L51))</f>
        <v/>
      </c>
      <c r="AK51">
        <f>IF(AI50&lt;=0,0,11-SUMPRODUCT(MAX((W50:AF50&gt;0)*(11-(COLUMN(W50:AF50)-COLUMN($V50))))))</f>
        <v/>
      </c>
    </row>
    <row r="52">
      <c r="A52" t="n">
        <v>42</v>
      </c>
      <c r="B52">
        <f>DATE(YEAR(InicioEf),MONTH(InicioEf)+A52-1,1)</f>
        <v/>
      </c>
      <c r="C52">
        <f>MIN(C$6,ROUND(W51*(1+C$5),0))</f>
        <v/>
      </c>
      <c r="D52">
        <f>MIN(D$6,ROUND(X51*(1+D$5),0))</f>
        <v/>
      </c>
      <c r="E52">
        <f>MIN(E$6,ROUND(Y51*(1+E$5),0))</f>
        <v/>
      </c>
      <c r="F52">
        <f>MIN(F$6,ROUND(Z51*(1+F$5),0))</f>
        <v/>
      </c>
      <c r="G52">
        <f>MIN(G$6,ROUND(AA51*(1+G$5),0))</f>
        <v/>
      </c>
      <c r="H52">
        <f>MIN(H$6,ROUND(AB51*(1+H$5),0))</f>
        <v/>
      </c>
      <c r="I52">
        <f>MIN(I$6,ROUND(AC51*(1+I$5),0))</f>
        <v/>
      </c>
      <c r="J52">
        <f>MIN(J$6,ROUND(AD51*(1+J$5),0))</f>
        <v/>
      </c>
      <c r="K52">
        <f>MIN(K$6,ROUND(AE51*(1+K$5),0))</f>
        <v/>
      </c>
      <c r="L52">
        <f>MIN(L$6,ROUND(AF51*(1+L$5),0))</f>
        <v/>
      </c>
      <c r="M52">
        <f>MAX(0,MIN(ROUND(W51*(1+C$5),0)-C52,$AJ52-0))</f>
        <v/>
      </c>
      <c r="N52">
        <f>MAX(0,MIN(ROUND(X51*(1+D$5),0)-D52,$AJ52-SUM($M52:M52)))</f>
        <v/>
      </c>
      <c r="O52">
        <f>MAX(0,MIN(ROUND(Y51*(1+E$5),0)-E52,$AJ52-SUM($M52:N52)))</f>
        <v/>
      </c>
      <c r="P52">
        <f>MAX(0,MIN(ROUND(Z51*(1+F$5),0)-F52,$AJ52-SUM($M52:O52)))</f>
        <v/>
      </c>
      <c r="Q52">
        <f>MAX(0,MIN(ROUND(AA51*(1+G$5),0)-G52,$AJ52-SUM($M52:P52)))</f>
        <v/>
      </c>
      <c r="R52">
        <f>MAX(0,MIN(ROUND(AB51*(1+H$5),0)-H52,$AJ52-SUM($M52:Q52)))</f>
        <v/>
      </c>
      <c r="S52">
        <f>MAX(0,MIN(ROUND(AC51*(1+I$5),0)-I52,$AJ52-SUM($M52:R52)))</f>
        <v/>
      </c>
      <c r="T52">
        <f>MAX(0,MIN(ROUND(AD51*(1+J$5),0)-J52,$AJ52-SUM($M52:S52)))</f>
        <v/>
      </c>
      <c r="U52">
        <f>MAX(0,MIN(ROUND(AE51*(1+K$5),0)-K52,$AJ52-SUM($M52:T52)))</f>
        <v/>
      </c>
      <c r="V52">
        <f>MAX(0,MIN(ROUND(AF51*(1+L$5),0)-L52,$AJ52-SUM($M52:U52)))</f>
        <v/>
      </c>
      <c r="W52">
        <f>MAX(0,ROUND(W51*(1+C$5),0)-C52-M52)</f>
        <v/>
      </c>
      <c r="X52">
        <f>MAX(0,ROUND(X51*(1+D$5),0)-D52-N52)</f>
        <v/>
      </c>
      <c r="Y52">
        <f>MAX(0,ROUND(Y51*(1+E$5),0)-E52-O52)</f>
        <v/>
      </c>
      <c r="Z52">
        <f>MAX(0,ROUND(Z51*(1+F$5),0)-F52-P52)</f>
        <v/>
      </c>
      <c r="AA52">
        <f>MAX(0,ROUND(AA51*(1+G$5),0)-G52-Q52)</f>
        <v/>
      </c>
      <c r="AB52">
        <f>MAX(0,ROUND(AB51*(1+H$5),0)-H52-R52)</f>
        <v/>
      </c>
      <c r="AC52">
        <f>MAX(0,ROUND(AC51*(1+I$5),0)-I52-S52)</f>
        <v/>
      </c>
      <c r="AD52">
        <f>MAX(0,ROUND(AD51*(1+J$5),0)-J52-T52)</f>
        <v/>
      </c>
      <c r="AE52">
        <f>MAX(0,ROUND(AE51*(1+K$5),0)-K52-U52)</f>
        <v/>
      </c>
      <c r="AF52">
        <f>MAX(0,ROUND(AF51*(1+L$5),0)-L52-V52)</f>
        <v/>
      </c>
      <c r="AG52">
        <f>AH52-(AI51-AI52)</f>
        <v/>
      </c>
      <c r="AH52">
        <f>SUM(C52:V52)</f>
        <v/>
      </c>
      <c r="AI52">
        <f>SUM(W52:AF52)</f>
        <v/>
      </c>
      <c r="AJ52">
        <f>MAX(0,PresTot-SUM(C52:L52))</f>
        <v/>
      </c>
      <c r="AK52">
        <f>IF(AI51&lt;=0,0,11-SUMPRODUCT(MAX((W51:AF51&gt;0)*(11-(COLUMN(W51:AF51)-COLUMN($V51))))))</f>
        <v/>
      </c>
    </row>
    <row r="53">
      <c r="A53" t="n">
        <v>43</v>
      </c>
      <c r="B53">
        <f>DATE(YEAR(InicioEf),MONTH(InicioEf)+A53-1,1)</f>
        <v/>
      </c>
      <c r="C53">
        <f>MIN(C$6,ROUND(W52*(1+C$5),0))</f>
        <v/>
      </c>
      <c r="D53">
        <f>MIN(D$6,ROUND(X52*(1+D$5),0))</f>
        <v/>
      </c>
      <c r="E53">
        <f>MIN(E$6,ROUND(Y52*(1+E$5),0))</f>
        <v/>
      </c>
      <c r="F53">
        <f>MIN(F$6,ROUND(Z52*(1+F$5),0))</f>
        <v/>
      </c>
      <c r="G53">
        <f>MIN(G$6,ROUND(AA52*(1+G$5),0))</f>
        <v/>
      </c>
      <c r="H53">
        <f>MIN(H$6,ROUND(AB52*(1+H$5),0))</f>
        <v/>
      </c>
      <c r="I53">
        <f>MIN(I$6,ROUND(AC52*(1+I$5),0))</f>
        <v/>
      </c>
      <c r="J53">
        <f>MIN(J$6,ROUND(AD52*(1+J$5),0))</f>
        <v/>
      </c>
      <c r="K53">
        <f>MIN(K$6,ROUND(AE52*(1+K$5),0))</f>
        <v/>
      </c>
      <c r="L53">
        <f>MIN(L$6,ROUND(AF52*(1+L$5),0))</f>
        <v/>
      </c>
      <c r="M53">
        <f>MAX(0,MIN(ROUND(W52*(1+C$5),0)-C53,$AJ53-0))</f>
        <v/>
      </c>
      <c r="N53">
        <f>MAX(0,MIN(ROUND(X52*(1+D$5),0)-D53,$AJ53-SUM($M53:M53)))</f>
        <v/>
      </c>
      <c r="O53">
        <f>MAX(0,MIN(ROUND(Y52*(1+E$5),0)-E53,$AJ53-SUM($M53:N53)))</f>
        <v/>
      </c>
      <c r="P53">
        <f>MAX(0,MIN(ROUND(Z52*(1+F$5),0)-F53,$AJ53-SUM($M53:O53)))</f>
        <v/>
      </c>
      <c r="Q53">
        <f>MAX(0,MIN(ROUND(AA52*(1+G$5),0)-G53,$AJ53-SUM($M53:P53)))</f>
        <v/>
      </c>
      <c r="R53">
        <f>MAX(0,MIN(ROUND(AB52*(1+H$5),0)-H53,$AJ53-SUM($M53:Q53)))</f>
        <v/>
      </c>
      <c r="S53">
        <f>MAX(0,MIN(ROUND(AC52*(1+I$5),0)-I53,$AJ53-SUM($M53:R53)))</f>
        <v/>
      </c>
      <c r="T53">
        <f>MAX(0,MIN(ROUND(AD52*(1+J$5),0)-J53,$AJ53-SUM($M53:S53)))</f>
        <v/>
      </c>
      <c r="U53">
        <f>MAX(0,MIN(ROUND(AE52*(1+K$5),0)-K53,$AJ53-SUM($M53:T53)))</f>
        <v/>
      </c>
      <c r="V53">
        <f>MAX(0,MIN(ROUND(AF52*(1+L$5),0)-L53,$AJ53-SUM($M53:U53)))</f>
        <v/>
      </c>
      <c r="W53">
        <f>MAX(0,ROUND(W52*(1+C$5),0)-C53-M53)</f>
        <v/>
      </c>
      <c r="X53">
        <f>MAX(0,ROUND(X52*(1+D$5),0)-D53-N53)</f>
        <v/>
      </c>
      <c r="Y53">
        <f>MAX(0,ROUND(Y52*(1+E$5),0)-E53-O53)</f>
        <v/>
      </c>
      <c r="Z53">
        <f>MAX(0,ROUND(Z52*(1+F$5),0)-F53-P53)</f>
        <v/>
      </c>
      <c r="AA53">
        <f>MAX(0,ROUND(AA52*(1+G$5),0)-G53-Q53)</f>
        <v/>
      </c>
      <c r="AB53">
        <f>MAX(0,ROUND(AB52*(1+H$5),0)-H53-R53)</f>
        <v/>
      </c>
      <c r="AC53">
        <f>MAX(0,ROUND(AC52*(1+I$5),0)-I53-S53)</f>
        <v/>
      </c>
      <c r="AD53">
        <f>MAX(0,ROUND(AD52*(1+J$5),0)-J53-T53)</f>
        <v/>
      </c>
      <c r="AE53">
        <f>MAX(0,ROUND(AE52*(1+K$5),0)-K53-U53)</f>
        <v/>
      </c>
      <c r="AF53">
        <f>MAX(0,ROUND(AF52*(1+L$5),0)-L53-V53)</f>
        <v/>
      </c>
      <c r="AG53">
        <f>AH53-(AI52-AI53)</f>
        <v/>
      </c>
      <c r="AH53">
        <f>SUM(C53:V53)</f>
        <v/>
      </c>
      <c r="AI53">
        <f>SUM(W53:AF53)</f>
        <v/>
      </c>
      <c r="AJ53">
        <f>MAX(0,PresTot-SUM(C53:L53))</f>
        <v/>
      </c>
      <c r="AK53">
        <f>IF(AI52&lt;=0,0,11-SUMPRODUCT(MAX((W52:AF52&gt;0)*(11-(COLUMN(W52:AF52)-COLUMN($V52))))))</f>
        <v/>
      </c>
    </row>
    <row r="54">
      <c r="A54" t="n">
        <v>44</v>
      </c>
      <c r="B54">
        <f>DATE(YEAR(InicioEf),MONTH(InicioEf)+A54-1,1)</f>
        <v/>
      </c>
      <c r="C54">
        <f>MIN(C$6,ROUND(W53*(1+C$5),0))</f>
        <v/>
      </c>
      <c r="D54">
        <f>MIN(D$6,ROUND(X53*(1+D$5),0))</f>
        <v/>
      </c>
      <c r="E54">
        <f>MIN(E$6,ROUND(Y53*(1+E$5),0))</f>
        <v/>
      </c>
      <c r="F54">
        <f>MIN(F$6,ROUND(Z53*(1+F$5),0))</f>
        <v/>
      </c>
      <c r="G54">
        <f>MIN(G$6,ROUND(AA53*(1+G$5),0))</f>
        <v/>
      </c>
      <c r="H54">
        <f>MIN(H$6,ROUND(AB53*(1+H$5),0))</f>
        <v/>
      </c>
      <c r="I54">
        <f>MIN(I$6,ROUND(AC53*(1+I$5),0))</f>
        <v/>
      </c>
      <c r="J54">
        <f>MIN(J$6,ROUND(AD53*(1+J$5),0))</f>
        <v/>
      </c>
      <c r="K54">
        <f>MIN(K$6,ROUND(AE53*(1+K$5),0))</f>
        <v/>
      </c>
      <c r="L54">
        <f>MIN(L$6,ROUND(AF53*(1+L$5),0))</f>
        <v/>
      </c>
      <c r="M54">
        <f>MAX(0,MIN(ROUND(W53*(1+C$5),0)-C54,$AJ54-0))</f>
        <v/>
      </c>
      <c r="N54">
        <f>MAX(0,MIN(ROUND(X53*(1+D$5),0)-D54,$AJ54-SUM($M54:M54)))</f>
        <v/>
      </c>
      <c r="O54">
        <f>MAX(0,MIN(ROUND(Y53*(1+E$5),0)-E54,$AJ54-SUM($M54:N54)))</f>
        <v/>
      </c>
      <c r="P54">
        <f>MAX(0,MIN(ROUND(Z53*(1+F$5),0)-F54,$AJ54-SUM($M54:O54)))</f>
        <v/>
      </c>
      <c r="Q54">
        <f>MAX(0,MIN(ROUND(AA53*(1+G$5),0)-G54,$AJ54-SUM($M54:P54)))</f>
        <v/>
      </c>
      <c r="R54">
        <f>MAX(0,MIN(ROUND(AB53*(1+H$5),0)-H54,$AJ54-SUM($M54:Q54)))</f>
        <v/>
      </c>
      <c r="S54">
        <f>MAX(0,MIN(ROUND(AC53*(1+I$5),0)-I54,$AJ54-SUM($M54:R54)))</f>
        <v/>
      </c>
      <c r="T54">
        <f>MAX(0,MIN(ROUND(AD53*(1+J$5),0)-J54,$AJ54-SUM($M54:S54)))</f>
        <v/>
      </c>
      <c r="U54">
        <f>MAX(0,MIN(ROUND(AE53*(1+K$5),0)-K54,$AJ54-SUM($M54:T54)))</f>
        <v/>
      </c>
      <c r="V54">
        <f>MAX(0,MIN(ROUND(AF53*(1+L$5),0)-L54,$AJ54-SUM($M54:U54)))</f>
        <v/>
      </c>
      <c r="W54">
        <f>MAX(0,ROUND(W53*(1+C$5),0)-C54-M54)</f>
        <v/>
      </c>
      <c r="X54">
        <f>MAX(0,ROUND(X53*(1+D$5),0)-D54-N54)</f>
        <v/>
      </c>
      <c r="Y54">
        <f>MAX(0,ROUND(Y53*(1+E$5),0)-E54-O54)</f>
        <v/>
      </c>
      <c r="Z54">
        <f>MAX(0,ROUND(Z53*(1+F$5),0)-F54-P54)</f>
        <v/>
      </c>
      <c r="AA54">
        <f>MAX(0,ROUND(AA53*(1+G$5),0)-G54-Q54)</f>
        <v/>
      </c>
      <c r="AB54">
        <f>MAX(0,ROUND(AB53*(1+H$5),0)-H54-R54)</f>
        <v/>
      </c>
      <c r="AC54">
        <f>MAX(0,ROUND(AC53*(1+I$5),0)-I54-S54)</f>
        <v/>
      </c>
      <c r="AD54">
        <f>MAX(0,ROUND(AD53*(1+J$5),0)-J54-T54)</f>
        <v/>
      </c>
      <c r="AE54">
        <f>MAX(0,ROUND(AE53*(1+K$5),0)-K54-U54)</f>
        <v/>
      </c>
      <c r="AF54">
        <f>MAX(0,ROUND(AF53*(1+L$5),0)-L54-V54)</f>
        <v/>
      </c>
      <c r="AG54">
        <f>AH54-(AI53-AI54)</f>
        <v/>
      </c>
      <c r="AH54">
        <f>SUM(C54:V54)</f>
        <v/>
      </c>
      <c r="AI54">
        <f>SUM(W54:AF54)</f>
        <v/>
      </c>
      <c r="AJ54">
        <f>MAX(0,PresTot-SUM(C54:L54))</f>
        <v/>
      </c>
      <c r="AK54">
        <f>IF(AI53&lt;=0,0,11-SUMPRODUCT(MAX((W53:AF53&gt;0)*(11-(COLUMN(W53:AF53)-COLUMN($V53))))))</f>
        <v/>
      </c>
    </row>
    <row r="55">
      <c r="A55" t="n">
        <v>45</v>
      </c>
      <c r="B55">
        <f>DATE(YEAR(InicioEf),MONTH(InicioEf)+A55-1,1)</f>
        <v/>
      </c>
      <c r="C55">
        <f>MIN(C$6,ROUND(W54*(1+C$5),0))</f>
        <v/>
      </c>
      <c r="D55">
        <f>MIN(D$6,ROUND(X54*(1+D$5),0))</f>
        <v/>
      </c>
      <c r="E55">
        <f>MIN(E$6,ROUND(Y54*(1+E$5),0))</f>
        <v/>
      </c>
      <c r="F55">
        <f>MIN(F$6,ROUND(Z54*(1+F$5),0))</f>
        <v/>
      </c>
      <c r="G55">
        <f>MIN(G$6,ROUND(AA54*(1+G$5),0))</f>
        <v/>
      </c>
      <c r="H55">
        <f>MIN(H$6,ROUND(AB54*(1+H$5),0))</f>
        <v/>
      </c>
      <c r="I55">
        <f>MIN(I$6,ROUND(AC54*(1+I$5),0))</f>
        <v/>
      </c>
      <c r="J55">
        <f>MIN(J$6,ROUND(AD54*(1+J$5),0))</f>
        <v/>
      </c>
      <c r="K55">
        <f>MIN(K$6,ROUND(AE54*(1+K$5),0))</f>
        <v/>
      </c>
      <c r="L55">
        <f>MIN(L$6,ROUND(AF54*(1+L$5),0))</f>
        <v/>
      </c>
      <c r="M55">
        <f>MAX(0,MIN(ROUND(W54*(1+C$5),0)-C55,$AJ55-0))</f>
        <v/>
      </c>
      <c r="N55">
        <f>MAX(0,MIN(ROUND(X54*(1+D$5),0)-D55,$AJ55-SUM($M55:M55)))</f>
        <v/>
      </c>
      <c r="O55">
        <f>MAX(0,MIN(ROUND(Y54*(1+E$5),0)-E55,$AJ55-SUM($M55:N55)))</f>
        <v/>
      </c>
      <c r="P55">
        <f>MAX(0,MIN(ROUND(Z54*(1+F$5),0)-F55,$AJ55-SUM($M55:O55)))</f>
        <v/>
      </c>
      <c r="Q55">
        <f>MAX(0,MIN(ROUND(AA54*(1+G$5),0)-G55,$AJ55-SUM($M55:P55)))</f>
        <v/>
      </c>
      <c r="R55">
        <f>MAX(0,MIN(ROUND(AB54*(1+H$5),0)-H55,$AJ55-SUM($M55:Q55)))</f>
        <v/>
      </c>
      <c r="S55">
        <f>MAX(0,MIN(ROUND(AC54*(1+I$5),0)-I55,$AJ55-SUM($M55:R55)))</f>
        <v/>
      </c>
      <c r="T55">
        <f>MAX(0,MIN(ROUND(AD54*(1+J$5),0)-J55,$AJ55-SUM($M55:S55)))</f>
        <v/>
      </c>
      <c r="U55">
        <f>MAX(0,MIN(ROUND(AE54*(1+K$5),0)-K55,$AJ55-SUM($M55:T55)))</f>
        <v/>
      </c>
      <c r="V55">
        <f>MAX(0,MIN(ROUND(AF54*(1+L$5),0)-L55,$AJ55-SUM($M55:U55)))</f>
        <v/>
      </c>
      <c r="W55">
        <f>MAX(0,ROUND(W54*(1+C$5),0)-C55-M55)</f>
        <v/>
      </c>
      <c r="X55">
        <f>MAX(0,ROUND(X54*(1+D$5),0)-D55-N55)</f>
        <v/>
      </c>
      <c r="Y55">
        <f>MAX(0,ROUND(Y54*(1+E$5),0)-E55-O55)</f>
        <v/>
      </c>
      <c r="Z55">
        <f>MAX(0,ROUND(Z54*(1+F$5),0)-F55-P55)</f>
        <v/>
      </c>
      <c r="AA55">
        <f>MAX(0,ROUND(AA54*(1+G$5),0)-G55-Q55)</f>
        <v/>
      </c>
      <c r="AB55">
        <f>MAX(0,ROUND(AB54*(1+H$5),0)-H55-R55)</f>
        <v/>
      </c>
      <c r="AC55">
        <f>MAX(0,ROUND(AC54*(1+I$5),0)-I55-S55)</f>
        <v/>
      </c>
      <c r="AD55">
        <f>MAX(0,ROUND(AD54*(1+J$5),0)-J55-T55)</f>
        <v/>
      </c>
      <c r="AE55">
        <f>MAX(0,ROUND(AE54*(1+K$5),0)-K55-U55)</f>
        <v/>
      </c>
      <c r="AF55">
        <f>MAX(0,ROUND(AF54*(1+L$5),0)-L55-V55)</f>
        <v/>
      </c>
      <c r="AG55">
        <f>AH55-(AI54-AI55)</f>
        <v/>
      </c>
      <c r="AH55">
        <f>SUM(C55:V55)</f>
        <v/>
      </c>
      <c r="AI55">
        <f>SUM(W55:AF55)</f>
        <v/>
      </c>
      <c r="AJ55">
        <f>MAX(0,PresTot-SUM(C55:L55))</f>
        <v/>
      </c>
      <c r="AK55">
        <f>IF(AI54&lt;=0,0,11-SUMPRODUCT(MAX((W54:AF54&gt;0)*(11-(COLUMN(W54:AF54)-COLUMN($V54))))))</f>
        <v/>
      </c>
    </row>
    <row r="56">
      <c r="A56" t="n">
        <v>46</v>
      </c>
      <c r="B56">
        <f>DATE(YEAR(InicioEf),MONTH(InicioEf)+A56-1,1)</f>
        <v/>
      </c>
      <c r="C56">
        <f>MIN(C$6,ROUND(W55*(1+C$5),0))</f>
        <v/>
      </c>
      <c r="D56">
        <f>MIN(D$6,ROUND(X55*(1+D$5),0))</f>
        <v/>
      </c>
      <c r="E56">
        <f>MIN(E$6,ROUND(Y55*(1+E$5),0))</f>
        <v/>
      </c>
      <c r="F56">
        <f>MIN(F$6,ROUND(Z55*(1+F$5),0))</f>
        <v/>
      </c>
      <c r="G56">
        <f>MIN(G$6,ROUND(AA55*(1+G$5),0))</f>
        <v/>
      </c>
      <c r="H56">
        <f>MIN(H$6,ROUND(AB55*(1+H$5),0))</f>
        <v/>
      </c>
      <c r="I56">
        <f>MIN(I$6,ROUND(AC55*(1+I$5),0))</f>
        <v/>
      </c>
      <c r="J56">
        <f>MIN(J$6,ROUND(AD55*(1+J$5),0))</f>
        <v/>
      </c>
      <c r="K56">
        <f>MIN(K$6,ROUND(AE55*(1+K$5),0))</f>
        <v/>
      </c>
      <c r="L56">
        <f>MIN(L$6,ROUND(AF55*(1+L$5),0))</f>
        <v/>
      </c>
      <c r="M56">
        <f>MAX(0,MIN(ROUND(W55*(1+C$5),0)-C56,$AJ56-0))</f>
        <v/>
      </c>
      <c r="N56">
        <f>MAX(0,MIN(ROUND(X55*(1+D$5),0)-D56,$AJ56-SUM($M56:M56)))</f>
        <v/>
      </c>
      <c r="O56">
        <f>MAX(0,MIN(ROUND(Y55*(1+E$5),0)-E56,$AJ56-SUM($M56:N56)))</f>
        <v/>
      </c>
      <c r="P56">
        <f>MAX(0,MIN(ROUND(Z55*(1+F$5),0)-F56,$AJ56-SUM($M56:O56)))</f>
        <v/>
      </c>
      <c r="Q56">
        <f>MAX(0,MIN(ROUND(AA55*(1+G$5),0)-G56,$AJ56-SUM($M56:P56)))</f>
        <v/>
      </c>
      <c r="R56">
        <f>MAX(0,MIN(ROUND(AB55*(1+H$5),0)-H56,$AJ56-SUM($M56:Q56)))</f>
        <v/>
      </c>
      <c r="S56">
        <f>MAX(0,MIN(ROUND(AC55*(1+I$5),0)-I56,$AJ56-SUM($M56:R56)))</f>
        <v/>
      </c>
      <c r="T56">
        <f>MAX(0,MIN(ROUND(AD55*(1+J$5),0)-J56,$AJ56-SUM($M56:S56)))</f>
        <v/>
      </c>
      <c r="U56">
        <f>MAX(0,MIN(ROUND(AE55*(1+K$5),0)-K56,$AJ56-SUM($M56:T56)))</f>
        <v/>
      </c>
      <c r="V56">
        <f>MAX(0,MIN(ROUND(AF55*(1+L$5),0)-L56,$AJ56-SUM($M56:U56)))</f>
        <v/>
      </c>
      <c r="W56">
        <f>MAX(0,ROUND(W55*(1+C$5),0)-C56-M56)</f>
        <v/>
      </c>
      <c r="X56">
        <f>MAX(0,ROUND(X55*(1+D$5),0)-D56-N56)</f>
        <v/>
      </c>
      <c r="Y56">
        <f>MAX(0,ROUND(Y55*(1+E$5),0)-E56-O56)</f>
        <v/>
      </c>
      <c r="Z56">
        <f>MAX(0,ROUND(Z55*(1+F$5),0)-F56-P56)</f>
        <v/>
      </c>
      <c r="AA56">
        <f>MAX(0,ROUND(AA55*(1+G$5),0)-G56-Q56)</f>
        <v/>
      </c>
      <c r="AB56">
        <f>MAX(0,ROUND(AB55*(1+H$5),0)-H56-R56)</f>
        <v/>
      </c>
      <c r="AC56">
        <f>MAX(0,ROUND(AC55*(1+I$5),0)-I56-S56)</f>
        <v/>
      </c>
      <c r="AD56">
        <f>MAX(0,ROUND(AD55*(1+J$5),0)-J56-T56)</f>
        <v/>
      </c>
      <c r="AE56">
        <f>MAX(0,ROUND(AE55*(1+K$5),0)-K56-U56)</f>
        <v/>
      </c>
      <c r="AF56">
        <f>MAX(0,ROUND(AF55*(1+L$5),0)-L56-V56)</f>
        <v/>
      </c>
      <c r="AG56">
        <f>AH56-(AI55-AI56)</f>
        <v/>
      </c>
      <c r="AH56">
        <f>SUM(C56:V56)</f>
        <v/>
      </c>
      <c r="AI56">
        <f>SUM(W56:AF56)</f>
        <v/>
      </c>
      <c r="AJ56">
        <f>MAX(0,PresTot-SUM(C56:L56))</f>
        <v/>
      </c>
      <c r="AK56">
        <f>IF(AI55&lt;=0,0,11-SUMPRODUCT(MAX((W55:AF55&gt;0)*(11-(COLUMN(W55:AF55)-COLUMN($V55))))))</f>
        <v/>
      </c>
    </row>
    <row r="57">
      <c r="A57" t="n">
        <v>47</v>
      </c>
      <c r="B57">
        <f>DATE(YEAR(InicioEf),MONTH(InicioEf)+A57-1,1)</f>
        <v/>
      </c>
      <c r="C57">
        <f>MIN(C$6,ROUND(W56*(1+C$5),0))</f>
        <v/>
      </c>
      <c r="D57">
        <f>MIN(D$6,ROUND(X56*(1+D$5),0))</f>
        <v/>
      </c>
      <c r="E57">
        <f>MIN(E$6,ROUND(Y56*(1+E$5),0))</f>
        <v/>
      </c>
      <c r="F57">
        <f>MIN(F$6,ROUND(Z56*(1+F$5),0))</f>
        <v/>
      </c>
      <c r="G57">
        <f>MIN(G$6,ROUND(AA56*(1+G$5),0))</f>
        <v/>
      </c>
      <c r="H57">
        <f>MIN(H$6,ROUND(AB56*(1+H$5),0))</f>
        <v/>
      </c>
      <c r="I57">
        <f>MIN(I$6,ROUND(AC56*(1+I$5),0))</f>
        <v/>
      </c>
      <c r="J57">
        <f>MIN(J$6,ROUND(AD56*(1+J$5),0))</f>
        <v/>
      </c>
      <c r="K57">
        <f>MIN(K$6,ROUND(AE56*(1+K$5),0))</f>
        <v/>
      </c>
      <c r="L57">
        <f>MIN(L$6,ROUND(AF56*(1+L$5),0))</f>
        <v/>
      </c>
      <c r="M57">
        <f>MAX(0,MIN(ROUND(W56*(1+C$5),0)-C57,$AJ57-0))</f>
        <v/>
      </c>
      <c r="N57">
        <f>MAX(0,MIN(ROUND(X56*(1+D$5),0)-D57,$AJ57-SUM($M57:M57)))</f>
        <v/>
      </c>
      <c r="O57">
        <f>MAX(0,MIN(ROUND(Y56*(1+E$5),0)-E57,$AJ57-SUM($M57:N57)))</f>
        <v/>
      </c>
      <c r="P57">
        <f>MAX(0,MIN(ROUND(Z56*(1+F$5),0)-F57,$AJ57-SUM($M57:O57)))</f>
        <v/>
      </c>
      <c r="Q57">
        <f>MAX(0,MIN(ROUND(AA56*(1+G$5),0)-G57,$AJ57-SUM($M57:P57)))</f>
        <v/>
      </c>
      <c r="R57">
        <f>MAX(0,MIN(ROUND(AB56*(1+H$5),0)-H57,$AJ57-SUM($M57:Q57)))</f>
        <v/>
      </c>
      <c r="S57">
        <f>MAX(0,MIN(ROUND(AC56*(1+I$5),0)-I57,$AJ57-SUM($M57:R57)))</f>
        <v/>
      </c>
      <c r="T57">
        <f>MAX(0,MIN(ROUND(AD56*(1+J$5),0)-J57,$AJ57-SUM($M57:S57)))</f>
        <v/>
      </c>
      <c r="U57">
        <f>MAX(0,MIN(ROUND(AE56*(1+K$5),0)-K57,$AJ57-SUM($M57:T57)))</f>
        <v/>
      </c>
      <c r="V57">
        <f>MAX(0,MIN(ROUND(AF56*(1+L$5),0)-L57,$AJ57-SUM($M57:U57)))</f>
        <v/>
      </c>
      <c r="W57">
        <f>MAX(0,ROUND(W56*(1+C$5),0)-C57-M57)</f>
        <v/>
      </c>
      <c r="X57">
        <f>MAX(0,ROUND(X56*(1+D$5),0)-D57-N57)</f>
        <v/>
      </c>
      <c r="Y57">
        <f>MAX(0,ROUND(Y56*(1+E$5),0)-E57-O57)</f>
        <v/>
      </c>
      <c r="Z57">
        <f>MAX(0,ROUND(Z56*(1+F$5),0)-F57-P57)</f>
        <v/>
      </c>
      <c r="AA57">
        <f>MAX(0,ROUND(AA56*(1+G$5),0)-G57-Q57)</f>
        <v/>
      </c>
      <c r="AB57">
        <f>MAX(0,ROUND(AB56*(1+H$5),0)-H57-R57)</f>
        <v/>
      </c>
      <c r="AC57">
        <f>MAX(0,ROUND(AC56*(1+I$5),0)-I57-S57)</f>
        <v/>
      </c>
      <c r="AD57">
        <f>MAX(0,ROUND(AD56*(1+J$5),0)-J57-T57)</f>
        <v/>
      </c>
      <c r="AE57">
        <f>MAX(0,ROUND(AE56*(1+K$5),0)-K57-U57)</f>
        <v/>
      </c>
      <c r="AF57">
        <f>MAX(0,ROUND(AF56*(1+L$5),0)-L57-V57)</f>
        <v/>
      </c>
      <c r="AG57">
        <f>AH57-(AI56-AI57)</f>
        <v/>
      </c>
      <c r="AH57">
        <f>SUM(C57:V57)</f>
        <v/>
      </c>
      <c r="AI57">
        <f>SUM(W57:AF57)</f>
        <v/>
      </c>
      <c r="AJ57">
        <f>MAX(0,PresTot-SUM(C57:L57))</f>
        <v/>
      </c>
      <c r="AK57">
        <f>IF(AI56&lt;=0,0,11-SUMPRODUCT(MAX((W56:AF56&gt;0)*(11-(COLUMN(W56:AF56)-COLUMN($V56))))))</f>
        <v/>
      </c>
    </row>
    <row r="58">
      <c r="A58" t="n">
        <v>48</v>
      </c>
      <c r="B58">
        <f>DATE(YEAR(InicioEf),MONTH(InicioEf)+A58-1,1)</f>
        <v/>
      </c>
      <c r="C58">
        <f>MIN(C$6,ROUND(W57*(1+C$5),0))</f>
        <v/>
      </c>
      <c r="D58">
        <f>MIN(D$6,ROUND(X57*(1+D$5),0))</f>
        <v/>
      </c>
      <c r="E58">
        <f>MIN(E$6,ROUND(Y57*(1+E$5),0))</f>
        <v/>
      </c>
      <c r="F58">
        <f>MIN(F$6,ROUND(Z57*(1+F$5),0))</f>
        <v/>
      </c>
      <c r="G58">
        <f>MIN(G$6,ROUND(AA57*(1+G$5),0))</f>
        <v/>
      </c>
      <c r="H58">
        <f>MIN(H$6,ROUND(AB57*(1+H$5),0))</f>
        <v/>
      </c>
      <c r="I58">
        <f>MIN(I$6,ROUND(AC57*(1+I$5),0))</f>
        <v/>
      </c>
      <c r="J58">
        <f>MIN(J$6,ROUND(AD57*(1+J$5),0))</f>
        <v/>
      </c>
      <c r="K58">
        <f>MIN(K$6,ROUND(AE57*(1+K$5),0))</f>
        <v/>
      </c>
      <c r="L58">
        <f>MIN(L$6,ROUND(AF57*(1+L$5),0))</f>
        <v/>
      </c>
      <c r="M58">
        <f>MAX(0,MIN(ROUND(W57*(1+C$5),0)-C58,$AJ58-0))</f>
        <v/>
      </c>
      <c r="N58">
        <f>MAX(0,MIN(ROUND(X57*(1+D$5),0)-D58,$AJ58-SUM($M58:M58)))</f>
        <v/>
      </c>
      <c r="O58">
        <f>MAX(0,MIN(ROUND(Y57*(1+E$5),0)-E58,$AJ58-SUM($M58:N58)))</f>
        <v/>
      </c>
      <c r="P58">
        <f>MAX(0,MIN(ROUND(Z57*(1+F$5),0)-F58,$AJ58-SUM($M58:O58)))</f>
        <v/>
      </c>
      <c r="Q58">
        <f>MAX(0,MIN(ROUND(AA57*(1+G$5),0)-G58,$AJ58-SUM($M58:P58)))</f>
        <v/>
      </c>
      <c r="R58">
        <f>MAX(0,MIN(ROUND(AB57*(1+H$5),0)-H58,$AJ58-SUM($M58:Q58)))</f>
        <v/>
      </c>
      <c r="S58">
        <f>MAX(0,MIN(ROUND(AC57*(1+I$5),0)-I58,$AJ58-SUM($M58:R58)))</f>
        <v/>
      </c>
      <c r="T58">
        <f>MAX(0,MIN(ROUND(AD57*(1+J$5),0)-J58,$AJ58-SUM($M58:S58)))</f>
        <v/>
      </c>
      <c r="U58">
        <f>MAX(0,MIN(ROUND(AE57*(1+K$5),0)-K58,$AJ58-SUM($M58:T58)))</f>
        <v/>
      </c>
      <c r="V58">
        <f>MAX(0,MIN(ROUND(AF57*(1+L$5),0)-L58,$AJ58-SUM($M58:U58)))</f>
        <v/>
      </c>
      <c r="W58">
        <f>MAX(0,ROUND(W57*(1+C$5),0)-C58-M58)</f>
        <v/>
      </c>
      <c r="X58">
        <f>MAX(0,ROUND(X57*(1+D$5),0)-D58-N58)</f>
        <v/>
      </c>
      <c r="Y58">
        <f>MAX(0,ROUND(Y57*(1+E$5),0)-E58-O58)</f>
        <v/>
      </c>
      <c r="Z58">
        <f>MAX(0,ROUND(Z57*(1+F$5),0)-F58-P58)</f>
        <v/>
      </c>
      <c r="AA58">
        <f>MAX(0,ROUND(AA57*(1+G$5),0)-G58-Q58)</f>
        <v/>
      </c>
      <c r="AB58">
        <f>MAX(0,ROUND(AB57*(1+H$5),0)-H58-R58)</f>
        <v/>
      </c>
      <c r="AC58">
        <f>MAX(0,ROUND(AC57*(1+I$5),0)-I58-S58)</f>
        <v/>
      </c>
      <c r="AD58">
        <f>MAX(0,ROUND(AD57*(1+J$5),0)-J58-T58)</f>
        <v/>
      </c>
      <c r="AE58">
        <f>MAX(0,ROUND(AE57*(1+K$5),0)-K58-U58)</f>
        <v/>
      </c>
      <c r="AF58">
        <f>MAX(0,ROUND(AF57*(1+L$5),0)-L58-V58)</f>
        <v/>
      </c>
      <c r="AG58">
        <f>AH58-(AI57-AI58)</f>
        <v/>
      </c>
      <c r="AH58">
        <f>SUM(C58:V58)</f>
        <v/>
      </c>
      <c r="AI58">
        <f>SUM(W58:AF58)</f>
        <v/>
      </c>
      <c r="AJ58">
        <f>MAX(0,PresTot-SUM(C58:L58))</f>
        <v/>
      </c>
      <c r="AK58">
        <f>IF(AI57&lt;=0,0,11-SUMPRODUCT(MAX((W57:AF57&gt;0)*(11-(COLUMN(W57:AF57)-COLUMN($V57))))))</f>
        <v/>
      </c>
    </row>
    <row r="59">
      <c r="A59" t="n">
        <v>49</v>
      </c>
      <c r="B59">
        <f>DATE(YEAR(InicioEf),MONTH(InicioEf)+A59-1,1)</f>
        <v/>
      </c>
      <c r="C59">
        <f>MIN(C$6,ROUND(W58*(1+C$5),0))</f>
        <v/>
      </c>
      <c r="D59">
        <f>MIN(D$6,ROUND(X58*(1+D$5),0))</f>
        <v/>
      </c>
      <c r="E59">
        <f>MIN(E$6,ROUND(Y58*(1+E$5),0))</f>
        <v/>
      </c>
      <c r="F59">
        <f>MIN(F$6,ROUND(Z58*(1+F$5),0))</f>
        <v/>
      </c>
      <c r="G59">
        <f>MIN(G$6,ROUND(AA58*(1+G$5),0))</f>
        <v/>
      </c>
      <c r="H59">
        <f>MIN(H$6,ROUND(AB58*(1+H$5),0))</f>
        <v/>
      </c>
      <c r="I59">
        <f>MIN(I$6,ROUND(AC58*(1+I$5),0))</f>
        <v/>
      </c>
      <c r="J59">
        <f>MIN(J$6,ROUND(AD58*(1+J$5),0))</f>
        <v/>
      </c>
      <c r="K59">
        <f>MIN(K$6,ROUND(AE58*(1+K$5),0))</f>
        <v/>
      </c>
      <c r="L59">
        <f>MIN(L$6,ROUND(AF58*(1+L$5),0))</f>
        <v/>
      </c>
      <c r="M59">
        <f>MAX(0,MIN(ROUND(W58*(1+C$5),0)-C59,$AJ59-0))</f>
        <v/>
      </c>
      <c r="N59">
        <f>MAX(0,MIN(ROUND(X58*(1+D$5),0)-D59,$AJ59-SUM($M59:M59)))</f>
        <v/>
      </c>
      <c r="O59">
        <f>MAX(0,MIN(ROUND(Y58*(1+E$5),0)-E59,$AJ59-SUM($M59:N59)))</f>
        <v/>
      </c>
      <c r="P59">
        <f>MAX(0,MIN(ROUND(Z58*(1+F$5),0)-F59,$AJ59-SUM($M59:O59)))</f>
        <v/>
      </c>
      <c r="Q59">
        <f>MAX(0,MIN(ROUND(AA58*(1+G$5),0)-G59,$AJ59-SUM($M59:P59)))</f>
        <v/>
      </c>
      <c r="R59">
        <f>MAX(0,MIN(ROUND(AB58*(1+H$5),0)-H59,$AJ59-SUM($M59:Q59)))</f>
        <v/>
      </c>
      <c r="S59">
        <f>MAX(0,MIN(ROUND(AC58*(1+I$5),0)-I59,$AJ59-SUM($M59:R59)))</f>
        <v/>
      </c>
      <c r="T59">
        <f>MAX(0,MIN(ROUND(AD58*(1+J$5),0)-J59,$AJ59-SUM($M59:S59)))</f>
        <v/>
      </c>
      <c r="U59">
        <f>MAX(0,MIN(ROUND(AE58*(1+K$5),0)-K59,$AJ59-SUM($M59:T59)))</f>
        <v/>
      </c>
      <c r="V59">
        <f>MAX(0,MIN(ROUND(AF58*(1+L$5),0)-L59,$AJ59-SUM($M59:U59)))</f>
        <v/>
      </c>
      <c r="W59">
        <f>MAX(0,ROUND(W58*(1+C$5),0)-C59-M59)</f>
        <v/>
      </c>
      <c r="X59">
        <f>MAX(0,ROUND(X58*(1+D$5),0)-D59-N59)</f>
        <v/>
      </c>
      <c r="Y59">
        <f>MAX(0,ROUND(Y58*(1+E$5),0)-E59-O59)</f>
        <v/>
      </c>
      <c r="Z59">
        <f>MAX(0,ROUND(Z58*(1+F$5),0)-F59-P59)</f>
        <v/>
      </c>
      <c r="AA59">
        <f>MAX(0,ROUND(AA58*(1+G$5),0)-G59-Q59)</f>
        <v/>
      </c>
      <c r="AB59">
        <f>MAX(0,ROUND(AB58*(1+H$5),0)-H59-R59)</f>
        <v/>
      </c>
      <c r="AC59">
        <f>MAX(0,ROUND(AC58*(1+I$5),0)-I59-S59)</f>
        <v/>
      </c>
      <c r="AD59">
        <f>MAX(0,ROUND(AD58*(1+J$5),0)-J59-T59)</f>
        <v/>
      </c>
      <c r="AE59">
        <f>MAX(0,ROUND(AE58*(1+K$5),0)-K59-U59)</f>
        <v/>
      </c>
      <c r="AF59">
        <f>MAX(0,ROUND(AF58*(1+L$5),0)-L59-V59)</f>
        <v/>
      </c>
      <c r="AG59">
        <f>AH59-(AI58-AI59)</f>
        <v/>
      </c>
      <c r="AH59">
        <f>SUM(C59:V59)</f>
        <v/>
      </c>
      <c r="AI59">
        <f>SUM(W59:AF59)</f>
        <v/>
      </c>
      <c r="AJ59">
        <f>MAX(0,PresTot-SUM(C59:L59))</f>
        <v/>
      </c>
      <c r="AK59">
        <f>IF(AI58&lt;=0,0,11-SUMPRODUCT(MAX((W58:AF58&gt;0)*(11-(COLUMN(W58:AF58)-COLUMN($V58))))))</f>
        <v/>
      </c>
    </row>
    <row r="60">
      <c r="A60" t="n">
        <v>50</v>
      </c>
      <c r="B60">
        <f>DATE(YEAR(InicioEf),MONTH(InicioEf)+A60-1,1)</f>
        <v/>
      </c>
      <c r="C60">
        <f>MIN(C$6,ROUND(W59*(1+C$5),0))</f>
        <v/>
      </c>
      <c r="D60">
        <f>MIN(D$6,ROUND(X59*(1+D$5),0))</f>
        <v/>
      </c>
      <c r="E60">
        <f>MIN(E$6,ROUND(Y59*(1+E$5),0))</f>
        <v/>
      </c>
      <c r="F60">
        <f>MIN(F$6,ROUND(Z59*(1+F$5),0))</f>
        <v/>
      </c>
      <c r="G60">
        <f>MIN(G$6,ROUND(AA59*(1+G$5),0))</f>
        <v/>
      </c>
      <c r="H60">
        <f>MIN(H$6,ROUND(AB59*(1+H$5),0))</f>
        <v/>
      </c>
      <c r="I60">
        <f>MIN(I$6,ROUND(AC59*(1+I$5),0))</f>
        <v/>
      </c>
      <c r="J60">
        <f>MIN(J$6,ROUND(AD59*(1+J$5),0))</f>
        <v/>
      </c>
      <c r="K60">
        <f>MIN(K$6,ROUND(AE59*(1+K$5),0))</f>
        <v/>
      </c>
      <c r="L60">
        <f>MIN(L$6,ROUND(AF59*(1+L$5),0))</f>
        <v/>
      </c>
      <c r="M60">
        <f>MAX(0,MIN(ROUND(W59*(1+C$5),0)-C60,$AJ60-0))</f>
        <v/>
      </c>
      <c r="N60">
        <f>MAX(0,MIN(ROUND(X59*(1+D$5),0)-D60,$AJ60-SUM($M60:M60)))</f>
        <v/>
      </c>
      <c r="O60">
        <f>MAX(0,MIN(ROUND(Y59*(1+E$5),0)-E60,$AJ60-SUM($M60:N60)))</f>
        <v/>
      </c>
      <c r="P60">
        <f>MAX(0,MIN(ROUND(Z59*(1+F$5),0)-F60,$AJ60-SUM($M60:O60)))</f>
        <v/>
      </c>
      <c r="Q60">
        <f>MAX(0,MIN(ROUND(AA59*(1+G$5),0)-G60,$AJ60-SUM($M60:P60)))</f>
        <v/>
      </c>
      <c r="R60">
        <f>MAX(0,MIN(ROUND(AB59*(1+H$5),0)-H60,$AJ60-SUM($M60:Q60)))</f>
        <v/>
      </c>
      <c r="S60">
        <f>MAX(0,MIN(ROUND(AC59*(1+I$5),0)-I60,$AJ60-SUM($M60:R60)))</f>
        <v/>
      </c>
      <c r="T60">
        <f>MAX(0,MIN(ROUND(AD59*(1+J$5),0)-J60,$AJ60-SUM($M60:S60)))</f>
        <v/>
      </c>
      <c r="U60">
        <f>MAX(0,MIN(ROUND(AE59*(1+K$5),0)-K60,$AJ60-SUM($M60:T60)))</f>
        <v/>
      </c>
      <c r="V60">
        <f>MAX(0,MIN(ROUND(AF59*(1+L$5),0)-L60,$AJ60-SUM($M60:U60)))</f>
        <v/>
      </c>
      <c r="W60">
        <f>MAX(0,ROUND(W59*(1+C$5),0)-C60-M60)</f>
        <v/>
      </c>
      <c r="X60">
        <f>MAX(0,ROUND(X59*(1+D$5),0)-D60-N60)</f>
        <v/>
      </c>
      <c r="Y60">
        <f>MAX(0,ROUND(Y59*(1+E$5),0)-E60-O60)</f>
        <v/>
      </c>
      <c r="Z60">
        <f>MAX(0,ROUND(Z59*(1+F$5),0)-F60-P60)</f>
        <v/>
      </c>
      <c r="AA60">
        <f>MAX(0,ROUND(AA59*(1+G$5),0)-G60-Q60)</f>
        <v/>
      </c>
      <c r="AB60">
        <f>MAX(0,ROUND(AB59*(1+H$5),0)-H60-R60)</f>
        <v/>
      </c>
      <c r="AC60">
        <f>MAX(0,ROUND(AC59*(1+I$5),0)-I60-S60)</f>
        <v/>
      </c>
      <c r="AD60">
        <f>MAX(0,ROUND(AD59*(1+J$5),0)-J60-T60)</f>
        <v/>
      </c>
      <c r="AE60">
        <f>MAX(0,ROUND(AE59*(1+K$5),0)-K60-U60)</f>
        <v/>
      </c>
      <c r="AF60">
        <f>MAX(0,ROUND(AF59*(1+L$5),0)-L60-V60)</f>
        <v/>
      </c>
      <c r="AG60">
        <f>AH60-(AI59-AI60)</f>
        <v/>
      </c>
      <c r="AH60">
        <f>SUM(C60:V60)</f>
        <v/>
      </c>
      <c r="AI60">
        <f>SUM(W60:AF60)</f>
        <v/>
      </c>
      <c r="AJ60">
        <f>MAX(0,PresTot-SUM(C60:L60))</f>
        <v/>
      </c>
      <c r="AK60">
        <f>IF(AI59&lt;=0,0,11-SUMPRODUCT(MAX((W59:AF59&gt;0)*(11-(COLUMN(W59:AF59)-COLUMN($V59))))))</f>
        <v/>
      </c>
    </row>
    <row r="61">
      <c r="A61" t="n">
        <v>51</v>
      </c>
      <c r="B61">
        <f>DATE(YEAR(InicioEf),MONTH(InicioEf)+A61-1,1)</f>
        <v/>
      </c>
      <c r="C61">
        <f>MIN(C$6,ROUND(W60*(1+C$5),0))</f>
        <v/>
      </c>
      <c r="D61">
        <f>MIN(D$6,ROUND(X60*(1+D$5),0))</f>
        <v/>
      </c>
      <c r="E61">
        <f>MIN(E$6,ROUND(Y60*(1+E$5),0))</f>
        <v/>
      </c>
      <c r="F61">
        <f>MIN(F$6,ROUND(Z60*(1+F$5),0))</f>
        <v/>
      </c>
      <c r="G61">
        <f>MIN(G$6,ROUND(AA60*(1+G$5),0))</f>
        <v/>
      </c>
      <c r="H61">
        <f>MIN(H$6,ROUND(AB60*(1+H$5),0))</f>
        <v/>
      </c>
      <c r="I61">
        <f>MIN(I$6,ROUND(AC60*(1+I$5),0))</f>
        <v/>
      </c>
      <c r="J61">
        <f>MIN(J$6,ROUND(AD60*(1+J$5),0))</f>
        <v/>
      </c>
      <c r="K61">
        <f>MIN(K$6,ROUND(AE60*(1+K$5),0))</f>
        <v/>
      </c>
      <c r="L61">
        <f>MIN(L$6,ROUND(AF60*(1+L$5),0))</f>
        <v/>
      </c>
      <c r="M61">
        <f>MAX(0,MIN(ROUND(W60*(1+C$5),0)-C61,$AJ61-0))</f>
        <v/>
      </c>
      <c r="N61">
        <f>MAX(0,MIN(ROUND(X60*(1+D$5),0)-D61,$AJ61-SUM($M61:M61)))</f>
        <v/>
      </c>
      <c r="O61">
        <f>MAX(0,MIN(ROUND(Y60*(1+E$5),0)-E61,$AJ61-SUM($M61:N61)))</f>
        <v/>
      </c>
      <c r="P61">
        <f>MAX(0,MIN(ROUND(Z60*(1+F$5),0)-F61,$AJ61-SUM($M61:O61)))</f>
        <v/>
      </c>
      <c r="Q61">
        <f>MAX(0,MIN(ROUND(AA60*(1+G$5),0)-G61,$AJ61-SUM($M61:P61)))</f>
        <v/>
      </c>
      <c r="R61">
        <f>MAX(0,MIN(ROUND(AB60*(1+H$5),0)-H61,$AJ61-SUM($M61:Q61)))</f>
        <v/>
      </c>
      <c r="S61">
        <f>MAX(0,MIN(ROUND(AC60*(1+I$5),0)-I61,$AJ61-SUM($M61:R61)))</f>
        <v/>
      </c>
      <c r="T61">
        <f>MAX(0,MIN(ROUND(AD60*(1+J$5),0)-J61,$AJ61-SUM($M61:S61)))</f>
        <v/>
      </c>
      <c r="U61">
        <f>MAX(0,MIN(ROUND(AE60*(1+K$5),0)-K61,$AJ61-SUM($M61:T61)))</f>
        <v/>
      </c>
      <c r="V61">
        <f>MAX(0,MIN(ROUND(AF60*(1+L$5),0)-L61,$AJ61-SUM($M61:U61)))</f>
        <v/>
      </c>
      <c r="W61">
        <f>MAX(0,ROUND(W60*(1+C$5),0)-C61-M61)</f>
        <v/>
      </c>
      <c r="X61">
        <f>MAX(0,ROUND(X60*(1+D$5),0)-D61-N61)</f>
        <v/>
      </c>
      <c r="Y61">
        <f>MAX(0,ROUND(Y60*(1+E$5),0)-E61-O61)</f>
        <v/>
      </c>
      <c r="Z61">
        <f>MAX(0,ROUND(Z60*(1+F$5),0)-F61-P61)</f>
        <v/>
      </c>
      <c r="AA61">
        <f>MAX(0,ROUND(AA60*(1+G$5),0)-G61-Q61)</f>
        <v/>
      </c>
      <c r="AB61">
        <f>MAX(0,ROUND(AB60*(1+H$5),0)-H61-R61)</f>
        <v/>
      </c>
      <c r="AC61">
        <f>MAX(0,ROUND(AC60*(1+I$5),0)-I61-S61)</f>
        <v/>
      </c>
      <c r="AD61">
        <f>MAX(0,ROUND(AD60*(1+J$5),0)-J61-T61)</f>
        <v/>
      </c>
      <c r="AE61">
        <f>MAX(0,ROUND(AE60*(1+K$5),0)-K61-U61)</f>
        <v/>
      </c>
      <c r="AF61">
        <f>MAX(0,ROUND(AF60*(1+L$5),0)-L61-V61)</f>
        <v/>
      </c>
      <c r="AG61">
        <f>AH61-(AI60-AI61)</f>
        <v/>
      </c>
      <c r="AH61">
        <f>SUM(C61:V61)</f>
        <v/>
      </c>
      <c r="AI61">
        <f>SUM(W61:AF61)</f>
        <v/>
      </c>
      <c r="AJ61">
        <f>MAX(0,PresTot-SUM(C61:L61))</f>
        <v/>
      </c>
      <c r="AK61">
        <f>IF(AI60&lt;=0,0,11-SUMPRODUCT(MAX((W60:AF60&gt;0)*(11-(COLUMN(W60:AF60)-COLUMN($V60))))))</f>
        <v/>
      </c>
    </row>
    <row r="62">
      <c r="A62" t="n">
        <v>52</v>
      </c>
      <c r="B62">
        <f>DATE(YEAR(InicioEf),MONTH(InicioEf)+A62-1,1)</f>
        <v/>
      </c>
      <c r="C62">
        <f>MIN(C$6,ROUND(W61*(1+C$5),0))</f>
        <v/>
      </c>
      <c r="D62">
        <f>MIN(D$6,ROUND(X61*(1+D$5),0))</f>
        <v/>
      </c>
      <c r="E62">
        <f>MIN(E$6,ROUND(Y61*(1+E$5),0))</f>
        <v/>
      </c>
      <c r="F62">
        <f>MIN(F$6,ROUND(Z61*(1+F$5),0))</f>
        <v/>
      </c>
      <c r="G62">
        <f>MIN(G$6,ROUND(AA61*(1+G$5),0))</f>
        <v/>
      </c>
      <c r="H62">
        <f>MIN(H$6,ROUND(AB61*(1+H$5),0))</f>
        <v/>
      </c>
      <c r="I62">
        <f>MIN(I$6,ROUND(AC61*(1+I$5),0))</f>
        <v/>
      </c>
      <c r="J62">
        <f>MIN(J$6,ROUND(AD61*(1+J$5),0))</f>
        <v/>
      </c>
      <c r="K62">
        <f>MIN(K$6,ROUND(AE61*(1+K$5),0))</f>
        <v/>
      </c>
      <c r="L62">
        <f>MIN(L$6,ROUND(AF61*(1+L$5),0))</f>
        <v/>
      </c>
      <c r="M62">
        <f>MAX(0,MIN(ROUND(W61*(1+C$5),0)-C62,$AJ62-0))</f>
        <v/>
      </c>
      <c r="N62">
        <f>MAX(0,MIN(ROUND(X61*(1+D$5),0)-D62,$AJ62-SUM($M62:M62)))</f>
        <v/>
      </c>
      <c r="O62">
        <f>MAX(0,MIN(ROUND(Y61*(1+E$5),0)-E62,$AJ62-SUM($M62:N62)))</f>
        <v/>
      </c>
      <c r="P62">
        <f>MAX(0,MIN(ROUND(Z61*(1+F$5),0)-F62,$AJ62-SUM($M62:O62)))</f>
        <v/>
      </c>
      <c r="Q62">
        <f>MAX(0,MIN(ROUND(AA61*(1+G$5),0)-G62,$AJ62-SUM($M62:P62)))</f>
        <v/>
      </c>
      <c r="R62">
        <f>MAX(0,MIN(ROUND(AB61*(1+H$5),0)-H62,$AJ62-SUM($M62:Q62)))</f>
        <v/>
      </c>
      <c r="S62">
        <f>MAX(0,MIN(ROUND(AC61*(1+I$5),0)-I62,$AJ62-SUM($M62:R62)))</f>
        <v/>
      </c>
      <c r="T62">
        <f>MAX(0,MIN(ROUND(AD61*(1+J$5),0)-J62,$AJ62-SUM($M62:S62)))</f>
        <v/>
      </c>
      <c r="U62">
        <f>MAX(0,MIN(ROUND(AE61*(1+K$5),0)-K62,$AJ62-SUM($M62:T62)))</f>
        <v/>
      </c>
      <c r="V62">
        <f>MAX(0,MIN(ROUND(AF61*(1+L$5),0)-L62,$AJ62-SUM($M62:U62)))</f>
        <v/>
      </c>
      <c r="W62">
        <f>MAX(0,ROUND(W61*(1+C$5),0)-C62-M62)</f>
        <v/>
      </c>
      <c r="X62">
        <f>MAX(0,ROUND(X61*(1+D$5),0)-D62-N62)</f>
        <v/>
      </c>
      <c r="Y62">
        <f>MAX(0,ROUND(Y61*(1+E$5),0)-E62-O62)</f>
        <v/>
      </c>
      <c r="Z62">
        <f>MAX(0,ROUND(Z61*(1+F$5),0)-F62-P62)</f>
        <v/>
      </c>
      <c r="AA62">
        <f>MAX(0,ROUND(AA61*(1+G$5),0)-G62-Q62)</f>
        <v/>
      </c>
      <c r="AB62">
        <f>MAX(0,ROUND(AB61*(1+H$5),0)-H62-R62)</f>
        <v/>
      </c>
      <c r="AC62">
        <f>MAX(0,ROUND(AC61*(1+I$5),0)-I62-S62)</f>
        <v/>
      </c>
      <c r="AD62">
        <f>MAX(0,ROUND(AD61*(1+J$5),0)-J62-T62)</f>
        <v/>
      </c>
      <c r="AE62">
        <f>MAX(0,ROUND(AE61*(1+K$5),0)-K62-U62)</f>
        <v/>
      </c>
      <c r="AF62">
        <f>MAX(0,ROUND(AF61*(1+L$5),0)-L62-V62)</f>
        <v/>
      </c>
      <c r="AG62">
        <f>AH62-(AI61-AI62)</f>
        <v/>
      </c>
      <c r="AH62">
        <f>SUM(C62:V62)</f>
        <v/>
      </c>
      <c r="AI62">
        <f>SUM(W62:AF62)</f>
        <v/>
      </c>
      <c r="AJ62">
        <f>MAX(0,PresTot-SUM(C62:L62))</f>
        <v/>
      </c>
      <c r="AK62">
        <f>IF(AI61&lt;=0,0,11-SUMPRODUCT(MAX((W61:AF61&gt;0)*(11-(COLUMN(W61:AF61)-COLUMN($V61))))))</f>
        <v/>
      </c>
    </row>
    <row r="63">
      <c r="A63" t="n">
        <v>53</v>
      </c>
      <c r="B63">
        <f>DATE(YEAR(InicioEf),MONTH(InicioEf)+A63-1,1)</f>
        <v/>
      </c>
      <c r="C63">
        <f>MIN(C$6,ROUND(W62*(1+C$5),0))</f>
        <v/>
      </c>
      <c r="D63">
        <f>MIN(D$6,ROUND(X62*(1+D$5),0))</f>
        <v/>
      </c>
      <c r="E63">
        <f>MIN(E$6,ROUND(Y62*(1+E$5),0))</f>
        <v/>
      </c>
      <c r="F63">
        <f>MIN(F$6,ROUND(Z62*(1+F$5),0))</f>
        <v/>
      </c>
      <c r="G63">
        <f>MIN(G$6,ROUND(AA62*(1+G$5),0))</f>
        <v/>
      </c>
      <c r="H63">
        <f>MIN(H$6,ROUND(AB62*(1+H$5),0))</f>
        <v/>
      </c>
      <c r="I63">
        <f>MIN(I$6,ROUND(AC62*(1+I$5),0))</f>
        <v/>
      </c>
      <c r="J63">
        <f>MIN(J$6,ROUND(AD62*(1+J$5),0))</f>
        <v/>
      </c>
      <c r="K63">
        <f>MIN(K$6,ROUND(AE62*(1+K$5),0))</f>
        <v/>
      </c>
      <c r="L63">
        <f>MIN(L$6,ROUND(AF62*(1+L$5),0))</f>
        <v/>
      </c>
      <c r="M63">
        <f>MAX(0,MIN(ROUND(W62*(1+C$5),0)-C63,$AJ63-0))</f>
        <v/>
      </c>
      <c r="N63">
        <f>MAX(0,MIN(ROUND(X62*(1+D$5),0)-D63,$AJ63-SUM($M63:M63)))</f>
        <v/>
      </c>
      <c r="O63">
        <f>MAX(0,MIN(ROUND(Y62*(1+E$5),0)-E63,$AJ63-SUM($M63:N63)))</f>
        <v/>
      </c>
      <c r="P63">
        <f>MAX(0,MIN(ROUND(Z62*(1+F$5),0)-F63,$AJ63-SUM($M63:O63)))</f>
        <v/>
      </c>
      <c r="Q63">
        <f>MAX(0,MIN(ROUND(AA62*(1+G$5),0)-G63,$AJ63-SUM($M63:P63)))</f>
        <v/>
      </c>
      <c r="R63">
        <f>MAX(0,MIN(ROUND(AB62*(1+H$5),0)-H63,$AJ63-SUM($M63:Q63)))</f>
        <v/>
      </c>
      <c r="S63">
        <f>MAX(0,MIN(ROUND(AC62*(1+I$5),0)-I63,$AJ63-SUM($M63:R63)))</f>
        <v/>
      </c>
      <c r="T63">
        <f>MAX(0,MIN(ROUND(AD62*(1+J$5),0)-J63,$AJ63-SUM($M63:S63)))</f>
        <v/>
      </c>
      <c r="U63">
        <f>MAX(0,MIN(ROUND(AE62*(1+K$5),0)-K63,$AJ63-SUM($M63:T63)))</f>
        <v/>
      </c>
      <c r="V63">
        <f>MAX(0,MIN(ROUND(AF62*(1+L$5),0)-L63,$AJ63-SUM($M63:U63)))</f>
        <v/>
      </c>
      <c r="W63">
        <f>MAX(0,ROUND(W62*(1+C$5),0)-C63-M63)</f>
        <v/>
      </c>
      <c r="X63">
        <f>MAX(0,ROUND(X62*(1+D$5),0)-D63-N63)</f>
        <v/>
      </c>
      <c r="Y63">
        <f>MAX(0,ROUND(Y62*(1+E$5),0)-E63-O63)</f>
        <v/>
      </c>
      <c r="Z63">
        <f>MAX(0,ROUND(Z62*(1+F$5),0)-F63-P63)</f>
        <v/>
      </c>
      <c r="AA63">
        <f>MAX(0,ROUND(AA62*(1+G$5),0)-G63-Q63)</f>
        <v/>
      </c>
      <c r="AB63">
        <f>MAX(0,ROUND(AB62*(1+H$5),0)-H63-R63)</f>
        <v/>
      </c>
      <c r="AC63">
        <f>MAX(0,ROUND(AC62*(1+I$5),0)-I63-S63)</f>
        <v/>
      </c>
      <c r="AD63">
        <f>MAX(0,ROUND(AD62*(1+J$5),0)-J63-T63)</f>
        <v/>
      </c>
      <c r="AE63">
        <f>MAX(0,ROUND(AE62*(1+K$5),0)-K63-U63)</f>
        <v/>
      </c>
      <c r="AF63">
        <f>MAX(0,ROUND(AF62*(1+L$5),0)-L63-V63)</f>
        <v/>
      </c>
      <c r="AG63">
        <f>AH63-(AI62-AI63)</f>
        <v/>
      </c>
      <c r="AH63">
        <f>SUM(C63:V63)</f>
        <v/>
      </c>
      <c r="AI63">
        <f>SUM(W63:AF63)</f>
        <v/>
      </c>
      <c r="AJ63">
        <f>MAX(0,PresTot-SUM(C63:L63))</f>
        <v/>
      </c>
      <c r="AK63">
        <f>IF(AI62&lt;=0,0,11-SUMPRODUCT(MAX((W62:AF62&gt;0)*(11-(COLUMN(W62:AF62)-COLUMN($V62))))))</f>
        <v/>
      </c>
    </row>
    <row r="64">
      <c r="A64" t="n">
        <v>54</v>
      </c>
      <c r="B64">
        <f>DATE(YEAR(InicioEf),MONTH(InicioEf)+A64-1,1)</f>
        <v/>
      </c>
      <c r="C64">
        <f>MIN(C$6,ROUND(W63*(1+C$5),0))</f>
        <v/>
      </c>
      <c r="D64">
        <f>MIN(D$6,ROUND(X63*(1+D$5),0))</f>
        <v/>
      </c>
      <c r="E64">
        <f>MIN(E$6,ROUND(Y63*(1+E$5),0))</f>
        <v/>
      </c>
      <c r="F64">
        <f>MIN(F$6,ROUND(Z63*(1+F$5),0))</f>
        <v/>
      </c>
      <c r="G64">
        <f>MIN(G$6,ROUND(AA63*(1+G$5),0))</f>
        <v/>
      </c>
      <c r="H64">
        <f>MIN(H$6,ROUND(AB63*(1+H$5),0))</f>
        <v/>
      </c>
      <c r="I64">
        <f>MIN(I$6,ROUND(AC63*(1+I$5),0))</f>
        <v/>
      </c>
      <c r="J64">
        <f>MIN(J$6,ROUND(AD63*(1+J$5),0))</f>
        <v/>
      </c>
      <c r="K64">
        <f>MIN(K$6,ROUND(AE63*(1+K$5),0))</f>
        <v/>
      </c>
      <c r="L64">
        <f>MIN(L$6,ROUND(AF63*(1+L$5),0))</f>
        <v/>
      </c>
      <c r="M64">
        <f>MAX(0,MIN(ROUND(W63*(1+C$5),0)-C64,$AJ64-0))</f>
        <v/>
      </c>
      <c r="N64">
        <f>MAX(0,MIN(ROUND(X63*(1+D$5),0)-D64,$AJ64-SUM($M64:M64)))</f>
        <v/>
      </c>
      <c r="O64">
        <f>MAX(0,MIN(ROUND(Y63*(1+E$5),0)-E64,$AJ64-SUM($M64:N64)))</f>
        <v/>
      </c>
      <c r="P64">
        <f>MAX(0,MIN(ROUND(Z63*(1+F$5),0)-F64,$AJ64-SUM($M64:O64)))</f>
        <v/>
      </c>
      <c r="Q64">
        <f>MAX(0,MIN(ROUND(AA63*(1+G$5),0)-G64,$AJ64-SUM($M64:P64)))</f>
        <v/>
      </c>
      <c r="R64">
        <f>MAX(0,MIN(ROUND(AB63*(1+H$5),0)-H64,$AJ64-SUM($M64:Q64)))</f>
        <v/>
      </c>
      <c r="S64">
        <f>MAX(0,MIN(ROUND(AC63*(1+I$5),0)-I64,$AJ64-SUM($M64:R64)))</f>
        <v/>
      </c>
      <c r="T64">
        <f>MAX(0,MIN(ROUND(AD63*(1+J$5),0)-J64,$AJ64-SUM($M64:S64)))</f>
        <v/>
      </c>
      <c r="U64">
        <f>MAX(0,MIN(ROUND(AE63*(1+K$5),0)-K64,$AJ64-SUM($M64:T64)))</f>
        <v/>
      </c>
      <c r="V64">
        <f>MAX(0,MIN(ROUND(AF63*(1+L$5),0)-L64,$AJ64-SUM($M64:U64)))</f>
        <v/>
      </c>
      <c r="W64">
        <f>MAX(0,ROUND(W63*(1+C$5),0)-C64-M64)</f>
        <v/>
      </c>
      <c r="X64">
        <f>MAX(0,ROUND(X63*(1+D$5),0)-D64-N64)</f>
        <v/>
      </c>
      <c r="Y64">
        <f>MAX(0,ROUND(Y63*(1+E$5),0)-E64-O64)</f>
        <v/>
      </c>
      <c r="Z64">
        <f>MAX(0,ROUND(Z63*(1+F$5),0)-F64-P64)</f>
        <v/>
      </c>
      <c r="AA64">
        <f>MAX(0,ROUND(AA63*(1+G$5),0)-G64-Q64)</f>
        <v/>
      </c>
      <c r="AB64">
        <f>MAX(0,ROUND(AB63*(1+H$5),0)-H64-R64)</f>
        <v/>
      </c>
      <c r="AC64">
        <f>MAX(0,ROUND(AC63*(1+I$5),0)-I64-S64)</f>
        <v/>
      </c>
      <c r="AD64">
        <f>MAX(0,ROUND(AD63*(1+J$5),0)-J64-T64)</f>
        <v/>
      </c>
      <c r="AE64">
        <f>MAX(0,ROUND(AE63*(1+K$5),0)-K64-U64)</f>
        <v/>
      </c>
      <c r="AF64">
        <f>MAX(0,ROUND(AF63*(1+L$5),0)-L64-V64)</f>
        <v/>
      </c>
      <c r="AG64">
        <f>AH64-(AI63-AI64)</f>
        <v/>
      </c>
      <c r="AH64">
        <f>SUM(C64:V64)</f>
        <v/>
      </c>
      <c r="AI64">
        <f>SUM(W64:AF64)</f>
        <v/>
      </c>
      <c r="AJ64">
        <f>MAX(0,PresTot-SUM(C64:L64))</f>
        <v/>
      </c>
      <c r="AK64">
        <f>IF(AI63&lt;=0,0,11-SUMPRODUCT(MAX((W63:AF63&gt;0)*(11-(COLUMN(W63:AF63)-COLUMN($V63))))))</f>
        <v/>
      </c>
    </row>
    <row r="65">
      <c r="A65" t="n">
        <v>55</v>
      </c>
      <c r="B65">
        <f>DATE(YEAR(InicioEf),MONTH(InicioEf)+A65-1,1)</f>
        <v/>
      </c>
      <c r="C65">
        <f>MIN(C$6,ROUND(W64*(1+C$5),0))</f>
        <v/>
      </c>
      <c r="D65">
        <f>MIN(D$6,ROUND(X64*(1+D$5),0))</f>
        <v/>
      </c>
      <c r="E65">
        <f>MIN(E$6,ROUND(Y64*(1+E$5),0))</f>
        <v/>
      </c>
      <c r="F65">
        <f>MIN(F$6,ROUND(Z64*(1+F$5),0))</f>
        <v/>
      </c>
      <c r="G65">
        <f>MIN(G$6,ROUND(AA64*(1+G$5),0))</f>
        <v/>
      </c>
      <c r="H65">
        <f>MIN(H$6,ROUND(AB64*(1+H$5),0))</f>
        <v/>
      </c>
      <c r="I65">
        <f>MIN(I$6,ROUND(AC64*(1+I$5),0))</f>
        <v/>
      </c>
      <c r="J65">
        <f>MIN(J$6,ROUND(AD64*(1+J$5),0))</f>
        <v/>
      </c>
      <c r="K65">
        <f>MIN(K$6,ROUND(AE64*(1+K$5),0))</f>
        <v/>
      </c>
      <c r="L65">
        <f>MIN(L$6,ROUND(AF64*(1+L$5),0))</f>
        <v/>
      </c>
      <c r="M65">
        <f>MAX(0,MIN(ROUND(W64*(1+C$5),0)-C65,$AJ65-0))</f>
        <v/>
      </c>
      <c r="N65">
        <f>MAX(0,MIN(ROUND(X64*(1+D$5),0)-D65,$AJ65-SUM($M65:M65)))</f>
        <v/>
      </c>
      <c r="O65">
        <f>MAX(0,MIN(ROUND(Y64*(1+E$5),0)-E65,$AJ65-SUM($M65:N65)))</f>
        <v/>
      </c>
      <c r="P65">
        <f>MAX(0,MIN(ROUND(Z64*(1+F$5),0)-F65,$AJ65-SUM($M65:O65)))</f>
        <v/>
      </c>
      <c r="Q65">
        <f>MAX(0,MIN(ROUND(AA64*(1+G$5),0)-G65,$AJ65-SUM($M65:P65)))</f>
        <v/>
      </c>
      <c r="R65">
        <f>MAX(0,MIN(ROUND(AB64*(1+H$5),0)-H65,$AJ65-SUM($M65:Q65)))</f>
        <v/>
      </c>
      <c r="S65">
        <f>MAX(0,MIN(ROUND(AC64*(1+I$5),0)-I65,$AJ65-SUM($M65:R65)))</f>
        <v/>
      </c>
      <c r="T65">
        <f>MAX(0,MIN(ROUND(AD64*(1+J$5),0)-J65,$AJ65-SUM($M65:S65)))</f>
        <v/>
      </c>
      <c r="U65">
        <f>MAX(0,MIN(ROUND(AE64*(1+K$5),0)-K65,$AJ65-SUM($M65:T65)))</f>
        <v/>
      </c>
      <c r="V65">
        <f>MAX(0,MIN(ROUND(AF64*(1+L$5),0)-L65,$AJ65-SUM($M65:U65)))</f>
        <v/>
      </c>
      <c r="W65">
        <f>MAX(0,ROUND(W64*(1+C$5),0)-C65-M65)</f>
        <v/>
      </c>
      <c r="X65">
        <f>MAX(0,ROUND(X64*(1+D$5),0)-D65-N65)</f>
        <v/>
      </c>
      <c r="Y65">
        <f>MAX(0,ROUND(Y64*(1+E$5),0)-E65-O65)</f>
        <v/>
      </c>
      <c r="Z65">
        <f>MAX(0,ROUND(Z64*(1+F$5),0)-F65-P65)</f>
        <v/>
      </c>
      <c r="AA65">
        <f>MAX(0,ROUND(AA64*(1+G$5),0)-G65-Q65)</f>
        <v/>
      </c>
      <c r="AB65">
        <f>MAX(0,ROUND(AB64*(1+H$5),0)-H65-R65)</f>
        <v/>
      </c>
      <c r="AC65">
        <f>MAX(0,ROUND(AC64*(1+I$5),0)-I65-S65)</f>
        <v/>
      </c>
      <c r="AD65">
        <f>MAX(0,ROUND(AD64*(1+J$5),0)-J65-T65)</f>
        <v/>
      </c>
      <c r="AE65">
        <f>MAX(0,ROUND(AE64*(1+K$5),0)-K65-U65)</f>
        <v/>
      </c>
      <c r="AF65">
        <f>MAX(0,ROUND(AF64*(1+L$5),0)-L65-V65)</f>
        <v/>
      </c>
      <c r="AG65">
        <f>AH65-(AI64-AI65)</f>
        <v/>
      </c>
      <c r="AH65">
        <f>SUM(C65:V65)</f>
        <v/>
      </c>
      <c r="AI65">
        <f>SUM(W65:AF65)</f>
        <v/>
      </c>
      <c r="AJ65">
        <f>MAX(0,PresTot-SUM(C65:L65))</f>
        <v/>
      </c>
      <c r="AK65">
        <f>IF(AI64&lt;=0,0,11-SUMPRODUCT(MAX((W64:AF64&gt;0)*(11-(COLUMN(W64:AF64)-COLUMN($V64))))))</f>
        <v/>
      </c>
    </row>
    <row r="66">
      <c r="A66" t="n">
        <v>56</v>
      </c>
      <c r="B66">
        <f>DATE(YEAR(InicioEf),MONTH(InicioEf)+A66-1,1)</f>
        <v/>
      </c>
      <c r="C66">
        <f>MIN(C$6,ROUND(W65*(1+C$5),0))</f>
        <v/>
      </c>
      <c r="D66">
        <f>MIN(D$6,ROUND(X65*(1+D$5),0))</f>
        <v/>
      </c>
      <c r="E66">
        <f>MIN(E$6,ROUND(Y65*(1+E$5),0))</f>
        <v/>
      </c>
      <c r="F66">
        <f>MIN(F$6,ROUND(Z65*(1+F$5),0))</f>
        <v/>
      </c>
      <c r="G66">
        <f>MIN(G$6,ROUND(AA65*(1+G$5),0))</f>
        <v/>
      </c>
      <c r="H66">
        <f>MIN(H$6,ROUND(AB65*(1+H$5),0))</f>
        <v/>
      </c>
      <c r="I66">
        <f>MIN(I$6,ROUND(AC65*(1+I$5),0))</f>
        <v/>
      </c>
      <c r="J66">
        <f>MIN(J$6,ROUND(AD65*(1+J$5),0))</f>
        <v/>
      </c>
      <c r="K66">
        <f>MIN(K$6,ROUND(AE65*(1+K$5),0))</f>
        <v/>
      </c>
      <c r="L66">
        <f>MIN(L$6,ROUND(AF65*(1+L$5),0))</f>
        <v/>
      </c>
      <c r="M66">
        <f>MAX(0,MIN(ROUND(W65*(1+C$5),0)-C66,$AJ66-0))</f>
        <v/>
      </c>
      <c r="N66">
        <f>MAX(0,MIN(ROUND(X65*(1+D$5),0)-D66,$AJ66-SUM($M66:M66)))</f>
        <v/>
      </c>
      <c r="O66">
        <f>MAX(0,MIN(ROUND(Y65*(1+E$5),0)-E66,$AJ66-SUM($M66:N66)))</f>
        <v/>
      </c>
      <c r="P66">
        <f>MAX(0,MIN(ROUND(Z65*(1+F$5),0)-F66,$AJ66-SUM($M66:O66)))</f>
        <v/>
      </c>
      <c r="Q66">
        <f>MAX(0,MIN(ROUND(AA65*(1+G$5),0)-G66,$AJ66-SUM($M66:P66)))</f>
        <v/>
      </c>
      <c r="R66">
        <f>MAX(0,MIN(ROUND(AB65*(1+H$5),0)-H66,$AJ66-SUM($M66:Q66)))</f>
        <v/>
      </c>
      <c r="S66">
        <f>MAX(0,MIN(ROUND(AC65*(1+I$5),0)-I66,$AJ66-SUM($M66:R66)))</f>
        <v/>
      </c>
      <c r="T66">
        <f>MAX(0,MIN(ROUND(AD65*(1+J$5),0)-J66,$AJ66-SUM($M66:S66)))</f>
        <v/>
      </c>
      <c r="U66">
        <f>MAX(0,MIN(ROUND(AE65*(1+K$5),0)-K66,$AJ66-SUM($M66:T66)))</f>
        <v/>
      </c>
      <c r="V66">
        <f>MAX(0,MIN(ROUND(AF65*(1+L$5),0)-L66,$AJ66-SUM($M66:U66)))</f>
        <v/>
      </c>
      <c r="W66">
        <f>MAX(0,ROUND(W65*(1+C$5),0)-C66-M66)</f>
        <v/>
      </c>
      <c r="X66">
        <f>MAX(0,ROUND(X65*(1+D$5),0)-D66-N66)</f>
        <v/>
      </c>
      <c r="Y66">
        <f>MAX(0,ROUND(Y65*(1+E$5),0)-E66-O66)</f>
        <v/>
      </c>
      <c r="Z66">
        <f>MAX(0,ROUND(Z65*(1+F$5),0)-F66-P66)</f>
        <v/>
      </c>
      <c r="AA66">
        <f>MAX(0,ROUND(AA65*(1+G$5),0)-G66-Q66)</f>
        <v/>
      </c>
      <c r="AB66">
        <f>MAX(0,ROUND(AB65*(1+H$5),0)-H66-R66)</f>
        <v/>
      </c>
      <c r="AC66">
        <f>MAX(0,ROUND(AC65*(1+I$5),0)-I66-S66)</f>
        <v/>
      </c>
      <c r="AD66">
        <f>MAX(0,ROUND(AD65*(1+J$5),0)-J66-T66)</f>
        <v/>
      </c>
      <c r="AE66">
        <f>MAX(0,ROUND(AE65*(1+K$5),0)-K66-U66)</f>
        <v/>
      </c>
      <c r="AF66">
        <f>MAX(0,ROUND(AF65*(1+L$5),0)-L66-V66)</f>
        <v/>
      </c>
      <c r="AG66">
        <f>AH66-(AI65-AI66)</f>
        <v/>
      </c>
      <c r="AH66">
        <f>SUM(C66:V66)</f>
        <v/>
      </c>
      <c r="AI66">
        <f>SUM(W66:AF66)</f>
        <v/>
      </c>
      <c r="AJ66">
        <f>MAX(0,PresTot-SUM(C66:L66))</f>
        <v/>
      </c>
      <c r="AK66">
        <f>IF(AI65&lt;=0,0,11-SUMPRODUCT(MAX((W65:AF65&gt;0)*(11-(COLUMN(W65:AF65)-COLUMN($V65))))))</f>
        <v/>
      </c>
    </row>
    <row r="67">
      <c r="A67" t="n">
        <v>57</v>
      </c>
      <c r="B67">
        <f>DATE(YEAR(InicioEf),MONTH(InicioEf)+A67-1,1)</f>
        <v/>
      </c>
      <c r="C67">
        <f>MIN(C$6,ROUND(W66*(1+C$5),0))</f>
        <v/>
      </c>
      <c r="D67">
        <f>MIN(D$6,ROUND(X66*(1+D$5),0))</f>
        <v/>
      </c>
      <c r="E67">
        <f>MIN(E$6,ROUND(Y66*(1+E$5),0))</f>
        <v/>
      </c>
      <c r="F67">
        <f>MIN(F$6,ROUND(Z66*(1+F$5),0))</f>
        <v/>
      </c>
      <c r="G67">
        <f>MIN(G$6,ROUND(AA66*(1+G$5),0))</f>
        <v/>
      </c>
      <c r="H67">
        <f>MIN(H$6,ROUND(AB66*(1+H$5),0))</f>
        <v/>
      </c>
      <c r="I67">
        <f>MIN(I$6,ROUND(AC66*(1+I$5),0))</f>
        <v/>
      </c>
      <c r="J67">
        <f>MIN(J$6,ROUND(AD66*(1+J$5),0))</f>
        <v/>
      </c>
      <c r="K67">
        <f>MIN(K$6,ROUND(AE66*(1+K$5),0))</f>
        <v/>
      </c>
      <c r="L67">
        <f>MIN(L$6,ROUND(AF66*(1+L$5),0))</f>
        <v/>
      </c>
      <c r="M67">
        <f>MAX(0,MIN(ROUND(W66*(1+C$5),0)-C67,$AJ67-0))</f>
        <v/>
      </c>
      <c r="N67">
        <f>MAX(0,MIN(ROUND(X66*(1+D$5),0)-D67,$AJ67-SUM($M67:M67)))</f>
        <v/>
      </c>
      <c r="O67">
        <f>MAX(0,MIN(ROUND(Y66*(1+E$5),0)-E67,$AJ67-SUM($M67:N67)))</f>
        <v/>
      </c>
      <c r="P67">
        <f>MAX(0,MIN(ROUND(Z66*(1+F$5),0)-F67,$AJ67-SUM($M67:O67)))</f>
        <v/>
      </c>
      <c r="Q67">
        <f>MAX(0,MIN(ROUND(AA66*(1+G$5),0)-G67,$AJ67-SUM($M67:P67)))</f>
        <v/>
      </c>
      <c r="R67">
        <f>MAX(0,MIN(ROUND(AB66*(1+H$5),0)-H67,$AJ67-SUM($M67:Q67)))</f>
        <v/>
      </c>
      <c r="S67">
        <f>MAX(0,MIN(ROUND(AC66*(1+I$5),0)-I67,$AJ67-SUM($M67:R67)))</f>
        <v/>
      </c>
      <c r="T67">
        <f>MAX(0,MIN(ROUND(AD66*(1+J$5),0)-J67,$AJ67-SUM($M67:S67)))</f>
        <v/>
      </c>
      <c r="U67">
        <f>MAX(0,MIN(ROUND(AE66*(1+K$5),0)-K67,$AJ67-SUM($M67:T67)))</f>
        <v/>
      </c>
      <c r="V67">
        <f>MAX(0,MIN(ROUND(AF66*(1+L$5),0)-L67,$AJ67-SUM($M67:U67)))</f>
        <v/>
      </c>
      <c r="W67">
        <f>MAX(0,ROUND(W66*(1+C$5),0)-C67-M67)</f>
        <v/>
      </c>
      <c r="X67">
        <f>MAX(0,ROUND(X66*(1+D$5),0)-D67-N67)</f>
        <v/>
      </c>
      <c r="Y67">
        <f>MAX(0,ROUND(Y66*(1+E$5),0)-E67-O67)</f>
        <v/>
      </c>
      <c r="Z67">
        <f>MAX(0,ROUND(Z66*(1+F$5),0)-F67-P67)</f>
        <v/>
      </c>
      <c r="AA67">
        <f>MAX(0,ROUND(AA66*(1+G$5),0)-G67-Q67)</f>
        <v/>
      </c>
      <c r="AB67">
        <f>MAX(0,ROUND(AB66*(1+H$5),0)-H67-R67)</f>
        <v/>
      </c>
      <c r="AC67">
        <f>MAX(0,ROUND(AC66*(1+I$5),0)-I67-S67)</f>
        <v/>
      </c>
      <c r="AD67">
        <f>MAX(0,ROUND(AD66*(1+J$5),0)-J67-T67)</f>
        <v/>
      </c>
      <c r="AE67">
        <f>MAX(0,ROUND(AE66*(1+K$5),0)-K67-U67)</f>
        <v/>
      </c>
      <c r="AF67">
        <f>MAX(0,ROUND(AF66*(1+L$5),0)-L67-V67)</f>
        <v/>
      </c>
      <c r="AG67">
        <f>AH67-(AI66-AI67)</f>
        <v/>
      </c>
      <c r="AH67">
        <f>SUM(C67:V67)</f>
        <v/>
      </c>
      <c r="AI67">
        <f>SUM(W67:AF67)</f>
        <v/>
      </c>
      <c r="AJ67">
        <f>MAX(0,PresTot-SUM(C67:L67))</f>
        <v/>
      </c>
      <c r="AK67">
        <f>IF(AI66&lt;=0,0,11-SUMPRODUCT(MAX((W66:AF66&gt;0)*(11-(COLUMN(W66:AF66)-COLUMN($V66))))))</f>
        <v/>
      </c>
    </row>
    <row r="68">
      <c r="A68" t="n">
        <v>58</v>
      </c>
      <c r="B68">
        <f>DATE(YEAR(InicioEf),MONTH(InicioEf)+A68-1,1)</f>
        <v/>
      </c>
      <c r="C68">
        <f>MIN(C$6,ROUND(W67*(1+C$5),0))</f>
        <v/>
      </c>
      <c r="D68">
        <f>MIN(D$6,ROUND(X67*(1+D$5),0))</f>
        <v/>
      </c>
      <c r="E68">
        <f>MIN(E$6,ROUND(Y67*(1+E$5),0))</f>
        <v/>
      </c>
      <c r="F68">
        <f>MIN(F$6,ROUND(Z67*(1+F$5),0))</f>
        <v/>
      </c>
      <c r="G68">
        <f>MIN(G$6,ROUND(AA67*(1+G$5),0))</f>
        <v/>
      </c>
      <c r="H68">
        <f>MIN(H$6,ROUND(AB67*(1+H$5),0))</f>
        <v/>
      </c>
      <c r="I68">
        <f>MIN(I$6,ROUND(AC67*(1+I$5),0))</f>
        <v/>
      </c>
      <c r="J68">
        <f>MIN(J$6,ROUND(AD67*(1+J$5),0))</f>
        <v/>
      </c>
      <c r="K68">
        <f>MIN(K$6,ROUND(AE67*(1+K$5),0))</f>
        <v/>
      </c>
      <c r="L68">
        <f>MIN(L$6,ROUND(AF67*(1+L$5),0))</f>
        <v/>
      </c>
      <c r="M68">
        <f>MAX(0,MIN(ROUND(W67*(1+C$5),0)-C68,$AJ68-0))</f>
        <v/>
      </c>
      <c r="N68">
        <f>MAX(0,MIN(ROUND(X67*(1+D$5),0)-D68,$AJ68-SUM($M68:M68)))</f>
        <v/>
      </c>
      <c r="O68">
        <f>MAX(0,MIN(ROUND(Y67*(1+E$5),0)-E68,$AJ68-SUM($M68:N68)))</f>
        <v/>
      </c>
      <c r="P68">
        <f>MAX(0,MIN(ROUND(Z67*(1+F$5),0)-F68,$AJ68-SUM($M68:O68)))</f>
        <v/>
      </c>
      <c r="Q68">
        <f>MAX(0,MIN(ROUND(AA67*(1+G$5),0)-G68,$AJ68-SUM($M68:P68)))</f>
        <v/>
      </c>
      <c r="R68">
        <f>MAX(0,MIN(ROUND(AB67*(1+H$5),0)-H68,$AJ68-SUM($M68:Q68)))</f>
        <v/>
      </c>
      <c r="S68">
        <f>MAX(0,MIN(ROUND(AC67*(1+I$5),0)-I68,$AJ68-SUM($M68:R68)))</f>
        <v/>
      </c>
      <c r="T68">
        <f>MAX(0,MIN(ROUND(AD67*(1+J$5),0)-J68,$AJ68-SUM($M68:S68)))</f>
        <v/>
      </c>
      <c r="U68">
        <f>MAX(0,MIN(ROUND(AE67*(1+K$5),0)-K68,$AJ68-SUM($M68:T68)))</f>
        <v/>
      </c>
      <c r="V68">
        <f>MAX(0,MIN(ROUND(AF67*(1+L$5),0)-L68,$AJ68-SUM($M68:U68)))</f>
        <v/>
      </c>
      <c r="W68">
        <f>MAX(0,ROUND(W67*(1+C$5),0)-C68-M68)</f>
        <v/>
      </c>
      <c r="X68">
        <f>MAX(0,ROUND(X67*(1+D$5),0)-D68-N68)</f>
        <v/>
      </c>
      <c r="Y68">
        <f>MAX(0,ROUND(Y67*(1+E$5),0)-E68-O68)</f>
        <v/>
      </c>
      <c r="Z68">
        <f>MAX(0,ROUND(Z67*(1+F$5),0)-F68-P68)</f>
        <v/>
      </c>
      <c r="AA68">
        <f>MAX(0,ROUND(AA67*(1+G$5),0)-G68-Q68)</f>
        <v/>
      </c>
      <c r="AB68">
        <f>MAX(0,ROUND(AB67*(1+H$5),0)-H68-R68)</f>
        <v/>
      </c>
      <c r="AC68">
        <f>MAX(0,ROUND(AC67*(1+I$5),0)-I68-S68)</f>
        <v/>
      </c>
      <c r="AD68">
        <f>MAX(0,ROUND(AD67*(1+J$5),0)-J68-T68)</f>
        <v/>
      </c>
      <c r="AE68">
        <f>MAX(0,ROUND(AE67*(1+K$5),0)-K68-U68)</f>
        <v/>
      </c>
      <c r="AF68">
        <f>MAX(0,ROUND(AF67*(1+L$5),0)-L68-V68)</f>
        <v/>
      </c>
      <c r="AG68">
        <f>AH68-(AI67-AI68)</f>
        <v/>
      </c>
      <c r="AH68">
        <f>SUM(C68:V68)</f>
        <v/>
      </c>
      <c r="AI68">
        <f>SUM(W68:AF68)</f>
        <v/>
      </c>
      <c r="AJ68">
        <f>MAX(0,PresTot-SUM(C68:L68))</f>
        <v/>
      </c>
      <c r="AK68">
        <f>IF(AI67&lt;=0,0,11-SUMPRODUCT(MAX((W67:AF67&gt;0)*(11-(COLUMN(W67:AF67)-COLUMN($V67))))))</f>
        <v/>
      </c>
    </row>
    <row r="69">
      <c r="A69" t="n">
        <v>59</v>
      </c>
      <c r="B69">
        <f>DATE(YEAR(InicioEf),MONTH(InicioEf)+A69-1,1)</f>
        <v/>
      </c>
      <c r="C69">
        <f>MIN(C$6,ROUND(W68*(1+C$5),0))</f>
        <v/>
      </c>
      <c r="D69">
        <f>MIN(D$6,ROUND(X68*(1+D$5),0))</f>
        <v/>
      </c>
      <c r="E69">
        <f>MIN(E$6,ROUND(Y68*(1+E$5),0))</f>
        <v/>
      </c>
      <c r="F69">
        <f>MIN(F$6,ROUND(Z68*(1+F$5),0))</f>
        <v/>
      </c>
      <c r="G69">
        <f>MIN(G$6,ROUND(AA68*(1+G$5),0))</f>
        <v/>
      </c>
      <c r="H69">
        <f>MIN(H$6,ROUND(AB68*(1+H$5),0))</f>
        <v/>
      </c>
      <c r="I69">
        <f>MIN(I$6,ROUND(AC68*(1+I$5),0))</f>
        <v/>
      </c>
      <c r="J69">
        <f>MIN(J$6,ROUND(AD68*(1+J$5),0))</f>
        <v/>
      </c>
      <c r="K69">
        <f>MIN(K$6,ROUND(AE68*(1+K$5),0))</f>
        <v/>
      </c>
      <c r="L69">
        <f>MIN(L$6,ROUND(AF68*(1+L$5),0))</f>
        <v/>
      </c>
      <c r="M69">
        <f>MAX(0,MIN(ROUND(W68*(1+C$5),0)-C69,$AJ69-0))</f>
        <v/>
      </c>
      <c r="N69">
        <f>MAX(0,MIN(ROUND(X68*(1+D$5),0)-D69,$AJ69-SUM($M69:M69)))</f>
        <v/>
      </c>
      <c r="O69">
        <f>MAX(0,MIN(ROUND(Y68*(1+E$5),0)-E69,$AJ69-SUM($M69:N69)))</f>
        <v/>
      </c>
      <c r="P69">
        <f>MAX(0,MIN(ROUND(Z68*(1+F$5),0)-F69,$AJ69-SUM($M69:O69)))</f>
        <v/>
      </c>
      <c r="Q69">
        <f>MAX(0,MIN(ROUND(AA68*(1+G$5),0)-G69,$AJ69-SUM($M69:P69)))</f>
        <v/>
      </c>
      <c r="R69">
        <f>MAX(0,MIN(ROUND(AB68*(1+H$5),0)-H69,$AJ69-SUM($M69:Q69)))</f>
        <v/>
      </c>
      <c r="S69">
        <f>MAX(0,MIN(ROUND(AC68*(1+I$5),0)-I69,$AJ69-SUM($M69:R69)))</f>
        <v/>
      </c>
      <c r="T69">
        <f>MAX(0,MIN(ROUND(AD68*(1+J$5),0)-J69,$AJ69-SUM($M69:S69)))</f>
        <v/>
      </c>
      <c r="U69">
        <f>MAX(0,MIN(ROUND(AE68*(1+K$5),0)-K69,$AJ69-SUM($M69:T69)))</f>
        <v/>
      </c>
      <c r="V69">
        <f>MAX(0,MIN(ROUND(AF68*(1+L$5),0)-L69,$AJ69-SUM($M69:U69)))</f>
        <v/>
      </c>
      <c r="W69">
        <f>MAX(0,ROUND(W68*(1+C$5),0)-C69-M69)</f>
        <v/>
      </c>
      <c r="X69">
        <f>MAX(0,ROUND(X68*(1+D$5),0)-D69-N69)</f>
        <v/>
      </c>
      <c r="Y69">
        <f>MAX(0,ROUND(Y68*(1+E$5),0)-E69-O69)</f>
        <v/>
      </c>
      <c r="Z69">
        <f>MAX(0,ROUND(Z68*(1+F$5),0)-F69-P69)</f>
        <v/>
      </c>
      <c r="AA69">
        <f>MAX(0,ROUND(AA68*(1+G$5),0)-G69-Q69)</f>
        <v/>
      </c>
      <c r="AB69">
        <f>MAX(0,ROUND(AB68*(1+H$5),0)-H69-R69)</f>
        <v/>
      </c>
      <c r="AC69">
        <f>MAX(0,ROUND(AC68*(1+I$5),0)-I69-S69)</f>
        <v/>
      </c>
      <c r="AD69">
        <f>MAX(0,ROUND(AD68*(1+J$5),0)-J69-T69)</f>
        <v/>
      </c>
      <c r="AE69">
        <f>MAX(0,ROUND(AE68*(1+K$5),0)-K69-U69)</f>
        <v/>
      </c>
      <c r="AF69">
        <f>MAX(0,ROUND(AF68*(1+L$5),0)-L69-V69)</f>
        <v/>
      </c>
      <c r="AG69">
        <f>AH69-(AI68-AI69)</f>
        <v/>
      </c>
      <c r="AH69">
        <f>SUM(C69:V69)</f>
        <v/>
      </c>
      <c r="AI69">
        <f>SUM(W69:AF69)</f>
        <v/>
      </c>
      <c r="AJ69">
        <f>MAX(0,PresTot-SUM(C69:L69))</f>
        <v/>
      </c>
      <c r="AK69">
        <f>IF(AI68&lt;=0,0,11-SUMPRODUCT(MAX((W68:AF68&gt;0)*(11-(COLUMN(W68:AF68)-COLUMN($V68))))))</f>
        <v/>
      </c>
    </row>
    <row r="70">
      <c r="A70" t="n">
        <v>60</v>
      </c>
      <c r="B70">
        <f>DATE(YEAR(InicioEf),MONTH(InicioEf)+A70-1,1)</f>
        <v/>
      </c>
      <c r="C70">
        <f>MIN(C$6,ROUND(W69*(1+C$5),0))</f>
        <v/>
      </c>
      <c r="D70">
        <f>MIN(D$6,ROUND(X69*(1+D$5),0))</f>
        <v/>
      </c>
      <c r="E70">
        <f>MIN(E$6,ROUND(Y69*(1+E$5),0))</f>
        <v/>
      </c>
      <c r="F70">
        <f>MIN(F$6,ROUND(Z69*(1+F$5),0))</f>
        <v/>
      </c>
      <c r="G70">
        <f>MIN(G$6,ROUND(AA69*(1+G$5),0))</f>
        <v/>
      </c>
      <c r="H70">
        <f>MIN(H$6,ROUND(AB69*(1+H$5),0))</f>
        <v/>
      </c>
      <c r="I70">
        <f>MIN(I$6,ROUND(AC69*(1+I$5),0))</f>
        <v/>
      </c>
      <c r="J70">
        <f>MIN(J$6,ROUND(AD69*(1+J$5),0))</f>
        <v/>
      </c>
      <c r="K70">
        <f>MIN(K$6,ROUND(AE69*(1+K$5),0))</f>
        <v/>
      </c>
      <c r="L70">
        <f>MIN(L$6,ROUND(AF69*(1+L$5),0))</f>
        <v/>
      </c>
      <c r="M70">
        <f>MAX(0,MIN(ROUND(W69*(1+C$5),0)-C70,$AJ70-0))</f>
        <v/>
      </c>
      <c r="N70">
        <f>MAX(0,MIN(ROUND(X69*(1+D$5),0)-D70,$AJ70-SUM($M70:M70)))</f>
        <v/>
      </c>
      <c r="O70">
        <f>MAX(0,MIN(ROUND(Y69*(1+E$5),0)-E70,$AJ70-SUM($M70:N70)))</f>
        <v/>
      </c>
      <c r="P70">
        <f>MAX(0,MIN(ROUND(Z69*(1+F$5),0)-F70,$AJ70-SUM($M70:O70)))</f>
        <v/>
      </c>
      <c r="Q70">
        <f>MAX(0,MIN(ROUND(AA69*(1+G$5),0)-G70,$AJ70-SUM($M70:P70)))</f>
        <v/>
      </c>
      <c r="R70">
        <f>MAX(0,MIN(ROUND(AB69*(1+H$5),0)-H70,$AJ70-SUM($M70:Q70)))</f>
        <v/>
      </c>
      <c r="S70">
        <f>MAX(0,MIN(ROUND(AC69*(1+I$5),0)-I70,$AJ70-SUM($M70:R70)))</f>
        <v/>
      </c>
      <c r="T70">
        <f>MAX(0,MIN(ROUND(AD69*(1+J$5),0)-J70,$AJ70-SUM($M70:S70)))</f>
        <v/>
      </c>
      <c r="U70">
        <f>MAX(0,MIN(ROUND(AE69*(1+K$5),0)-K70,$AJ70-SUM($M70:T70)))</f>
        <v/>
      </c>
      <c r="V70">
        <f>MAX(0,MIN(ROUND(AF69*(1+L$5),0)-L70,$AJ70-SUM($M70:U70)))</f>
        <v/>
      </c>
      <c r="W70">
        <f>MAX(0,ROUND(W69*(1+C$5),0)-C70-M70)</f>
        <v/>
      </c>
      <c r="X70">
        <f>MAX(0,ROUND(X69*(1+D$5),0)-D70-N70)</f>
        <v/>
      </c>
      <c r="Y70">
        <f>MAX(0,ROUND(Y69*(1+E$5),0)-E70-O70)</f>
        <v/>
      </c>
      <c r="Z70">
        <f>MAX(0,ROUND(Z69*(1+F$5),0)-F70-P70)</f>
        <v/>
      </c>
      <c r="AA70">
        <f>MAX(0,ROUND(AA69*(1+G$5),0)-G70-Q70)</f>
        <v/>
      </c>
      <c r="AB70">
        <f>MAX(0,ROUND(AB69*(1+H$5),0)-H70-R70)</f>
        <v/>
      </c>
      <c r="AC70">
        <f>MAX(0,ROUND(AC69*(1+I$5),0)-I70-S70)</f>
        <v/>
      </c>
      <c r="AD70">
        <f>MAX(0,ROUND(AD69*(1+J$5),0)-J70-T70)</f>
        <v/>
      </c>
      <c r="AE70">
        <f>MAX(0,ROUND(AE69*(1+K$5),0)-K70-U70)</f>
        <v/>
      </c>
      <c r="AF70">
        <f>MAX(0,ROUND(AF69*(1+L$5),0)-L70-V70)</f>
        <v/>
      </c>
      <c r="AG70">
        <f>AH70-(AI69-AI70)</f>
        <v/>
      </c>
      <c r="AH70">
        <f>SUM(C70:V70)</f>
        <v/>
      </c>
      <c r="AI70">
        <f>SUM(W70:AF70)</f>
        <v/>
      </c>
      <c r="AJ70">
        <f>MAX(0,PresTot-SUM(C70:L70))</f>
        <v/>
      </c>
      <c r="AK70">
        <f>IF(AI69&lt;=0,0,11-SUMPRODUCT(MAX((W69:AF69&gt;0)*(11-(COLUMN(W69:AF69)-COLUMN($V69))))))</f>
        <v/>
      </c>
    </row>
    <row r="71">
      <c r="A71" t="n">
        <v>61</v>
      </c>
      <c r="B71">
        <f>DATE(YEAR(InicioEf),MONTH(InicioEf)+A71-1,1)</f>
        <v/>
      </c>
      <c r="C71">
        <f>MIN(C$6,ROUND(W70*(1+C$5),0))</f>
        <v/>
      </c>
      <c r="D71">
        <f>MIN(D$6,ROUND(X70*(1+D$5),0))</f>
        <v/>
      </c>
      <c r="E71">
        <f>MIN(E$6,ROUND(Y70*(1+E$5),0))</f>
        <v/>
      </c>
      <c r="F71">
        <f>MIN(F$6,ROUND(Z70*(1+F$5),0))</f>
        <v/>
      </c>
      <c r="G71">
        <f>MIN(G$6,ROUND(AA70*(1+G$5),0))</f>
        <v/>
      </c>
      <c r="H71">
        <f>MIN(H$6,ROUND(AB70*(1+H$5),0))</f>
        <v/>
      </c>
      <c r="I71">
        <f>MIN(I$6,ROUND(AC70*(1+I$5),0))</f>
        <v/>
      </c>
      <c r="J71">
        <f>MIN(J$6,ROUND(AD70*(1+J$5),0))</f>
        <v/>
      </c>
      <c r="K71">
        <f>MIN(K$6,ROUND(AE70*(1+K$5),0))</f>
        <v/>
      </c>
      <c r="L71">
        <f>MIN(L$6,ROUND(AF70*(1+L$5),0))</f>
        <v/>
      </c>
      <c r="M71">
        <f>MAX(0,MIN(ROUND(W70*(1+C$5),0)-C71,$AJ71-0))</f>
        <v/>
      </c>
      <c r="N71">
        <f>MAX(0,MIN(ROUND(X70*(1+D$5),0)-D71,$AJ71-SUM($M71:M71)))</f>
        <v/>
      </c>
      <c r="O71">
        <f>MAX(0,MIN(ROUND(Y70*(1+E$5),0)-E71,$AJ71-SUM($M71:N71)))</f>
        <v/>
      </c>
      <c r="P71">
        <f>MAX(0,MIN(ROUND(Z70*(1+F$5),0)-F71,$AJ71-SUM($M71:O71)))</f>
        <v/>
      </c>
      <c r="Q71">
        <f>MAX(0,MIN(ROUND(AA70*(1+G$5),0)-G71,$AJ71-SUM($M71:P71)))</f>
        <v/>
      </c>
      <c r="R71">
        <f>MAX(0,MIN(ROUND(AB70*(1+H$5),0)-H71,$AJ71-SUM($M71:Q71)))</f>
        <v/>
      </c>
      <c r="S71">
        <f>MAX(0,MIN(ROUND(AC70*(1+I$5),0)-I71,$AJ71-SUM($M71:R71)))</f>
        <v/>
      </c>
      <c r="T71">
        <f>MAX(0,MIN(ROUND(AD70*(1+J$5),0)-J71,$AJ71-SUM($M71:S71)))</f>
        <v/>
      </c>
      <c r="U71">
        <f>MAX(0,MIN(ROUND(AE70*(1+K$5),0)-K71,$AJ71-SUM($M71:T71)))</f>
        <v/>
      </c>
      <c r="V71">
        <f>MAX(0,MIN(ROUND(AF70*(1+L$5),0)-L71,$AJ71-SUM($M71:U71)))</f>
        <v/>
      </c>
      <c r="W71">
        <f>MAX(0,ROUND(W70*(1+C$5),0)-C71-M71)</f>
        <v/>
      </c>
      <c r="X71">
        <f>MAX(0,ROUND(X70*(1+D$5),0)-D71-N71)</f>
        <v/>
      </c>
      <c r="Y71">
        <f>MAX(0,ROUND(Y70*(1+E$5),0)-E71-O71)</f>
        <v/>
      </c>
      <c r="Z71">
        <f>MAX(0,ROUND(Z70*(1+F$5),0)-F71-P71)</f>
        <v/>
      </c>
      <c r="AA71">
        <f>MAX(0,ROUND(AA70*(1+G$5),0)-G71-Q71)</f>
        <v/>
      </c>
      <c r="AB71">
        <f>MAX(0,ROUND(AB70*(1+H$5),0)-H71-R71)</f>
        <v/>
      </c>
      <c r="AC71">
        <f>MAX(0,ROUND(AC70*(1+I$5),0)-I71-S71)</f>
        <v/>
      </c>
      <c r="AD71">
        <f>MAX(0,ROUND(AD70*(1+J$5),0)-J71-T71)</f>
        <v/>
      </c>
      <c r="AE71">
        <f>MAX(0,ROUND(AE70*(1+K$5),0)-K71-U71)</f>
        <v/>
      </c>
      <c r="AF71">
        <f>MAX(0,ROUND(AF70*(1+L$5),0)-L71-V71)</f>
        <v/>
      </c>
      <c r="AG71">
        <f>AH71-(AI70-AI71)</f>
        <v/>
      </c>
      <c r="AH71">
        <f>SUM(C71:V71)</f>
        <v/>
      </c>
      <c r="AI71">
        <f>SUM(W71:AF71)</f>
        <v/>
      </c>
      <c r="AJ71">
        <f>MAX(0,PresTot-SUM(C71:L71))</f>
        <v/>
      </c>
      <c r="AK71">
        <f>IF(AI70&lt;=0,0,11-SUMPRODUCT(MAX((W70:AF70&gt;0)*(11-(COLUMN(W70:AF70)-COLUMN($V70))))))</f>
        <v/>
      </c>
    </row>
    <row r="72">
      <c r="A72" t="n">
        <v>62</v>
      </c>
      <c r="B72">
        <f>DATE(YEAR(InicioEf),MONTH(InicioEf)+A72-1,1)</f>
        <v/>
      </c>
      <c r="C72">
        <f>MIN(C$6,ROUND(W71*(1+C$5),0))</f>
        <v/>
      </c>
      <c r="D72">
        <f>MIN(D$6,ROUND(X71*(1+D$5),0))</f>
        <v/>
      </c>
      <c r="E72">
        <f>MIN(E$6,ROUND(Y71*(1+E$5),0))</f>
        <v/>
      </c>
      <c r="F72">
        <f>MIN(F$6,ROUND(Z71*(1+F$5),0))</f>
        <v/>
      </c>
      <c r="G72">
        <f>MIN(G$6,ROUND(AA71*(1+G$5),0))</f>
        <v/>
      </c>
      <c r="H72">
        <f>MIN(H$6,ROUND(AB71*(1+H$5),0))</f>
        <v/>
      </c>
      <c r="I72">
        <f>MIN(I$6,ROUND(AC71*(1+I$5),0))</f>
        <v/>
      </c>
      <c r="J72">
        <f>MIN(J$6,ROUND(AD71*(1+J$5),0))</f>
        <v/>
      </c>
      <c r="K72">
        <f>MIN(K$6,ROUND(AE71*(1+K$5),0))</f>
        <v/>
      </c>
      <c r="L72">
        <f>MIN(L$6,ROUND(AF71*(1+L$5),0))</f>
        <v/>
      </c>
      <c r="M72">
        <f>MAX(0,MIN(ROUND(W71*(1+C$5),0)-C72,$AJ72-0))</f>
        <v/>
      </c>
      <c r="N72">
        <f>MAX(0,MIN(ROUND(X71*(1+D$5),0)-D72,$AJ72-SUM($M72:M72)))</f>
        <v/>
      </c>
      <c r="O72">
        <f>MAX(0,MIN(ROUND(Y71*(1+E$5),0)-E72,$AJ72-SUM($M72:N72)))</f>
        <v/>
      </c>
      <c r="P72">
        <f>MAX(0,MIN(ROUND(Z71*(1+F$5),0)-F72,$AJ72-SUM($M72:O72)))</f>
        <v/>
      </c>
      <c r="Q72">
        <f>MAX(0,MIN(ROUND(AA71*(1+G$5),0)-G72,$AJ72-SUM($M72:P72)))</f>
        <v/>
      </c>
      <c r="R72">
        <f>MAX(0,MIN(ROUND(AB71*(1+H$5),0)-H72,$AJ72-SUM($M72:Q72)))</f>
        <v/>
      </c>
      <c r="S72">
        <f>MAX(0,MIN(ROUND(AC71*(1+I$5),0)-I72,$AJ72-SUM($M72:R72)))</f>
        <v/>
      </c>
      <c r="T72">
        <f>MAX(0,MIN(ROUND(AD71*(1+J$5),0)-J72,$AJ72-SUM($M72:S72)))</f>
        <v/>
      </c>
      <c r="U72">
        <f>MAX(0,MIN(ROUND(AE71*(1+K$5),0)-K72,$AJ72-SUM($M72:T72)))</f>
        <v/>
      </c>
      <c r="V72">
        <f>MAX(0,MIN(ROUND(AF71*(1+L$5),0)-L72,$AJ72-SUM($M72:U72)))</f>
        <v/>
      </c>
      <c r="W72">
        <f>MAX(0,ROUND(W71*(1+C$5),0)-C72-M72)</f>
        <v/>
      </c>
      <c r="X72">
        <f>MAX(0,ROUND(X71*(1+D$5),0)-D72-N72)</f>
        <v/>
      </c>
      <c r="Y72">
        <f>MAX(0,ROUND(Y71*(1+E$5),0)-E72-O72)</f>
        <v/>
      </c>
      <c r="Z72">
        <f>MAX(0,ROUND(Z71*(1+F$5),0)-F72-P72)</f>
        <v/>
      </c>
      <c r="AA72">
        <f>MAX(0,ROUND(AA71*(1+G$5),0)-G72-Q72)</f>
        <v/>
      </c>
      <c r="AB72">
        <f>MAX(0,ROUND(AB71*(1+H$5),0)-H72-R72)</f>
        <v/>
      </c>
      <c r="AC72">
        <f>MAX(0,ROUND(AC71*(1+I$5),0)-I72-S72)</f>
        <v/>
      </c>
      <c r="AD72">
        <f>MAX(0,ROUND(AD71*(1+J$5),0)-J72-T72)</f>
        <v/>
      </c>
      <c r="AE72">
        <f>MAX(0,ROUND(AE71*(1+K$5),0)-K72-U72)</f>
        <v/>
      </c>
      <c r="AF72">
        <f>MAX(0,ROUND(AF71*(1+L$5),0)-L72-V72)</f>
        <v/>
      </c>
      <c r="AG72">
        <f>AH72-(AI71-AI72)</f>
        <v/>
      </c>
      <c r="AH72">
        <f>SUM(C72:V72)</f>
        <v/>
      </c>
      <c r="AI72">
        <f>SUM(W72:AF72)</f>
        <v/>
      </c>
      <c r="AJ72">
        <f>MAX(0,PresTot-SUM(C72:L72))</f>
        <v/>
      </c>
      <c r="AK72">
        <f>IF(AI71&lt;=0,0,11-SUMPRODUCT(MAX((W71:AF71&gt;0)*(11-(COLUMN(W71:AF71)-COLUMN($V71))))))</f>
        <v/>
      </c>
    </row>
    <row r="73">
      <c r="A73" t="n">
        <v>63</v>
      </c>
      <c r="B73">
        <f>DATE(YEAR(InicioEf),MONTH(InicioEf)+A73-1,1)</f>
        <v/>
      </c>
      <c r="C73">
        <f>MIN(C$6,ROUND(W72*(1+C$5),0))</f>
        <v/>
      </c>
      <c r="D73">
        <f>MIN(D$6,ROUND(X72*(1+D$5),0))</f>
        <v/>
      </c>
      <c r="E73">
        <f>MIN(E$6,ROUND(Y72*(1+E$5),0))</f>
        <v/>
      </c>
      <c r="F73">
        <f>MIN(F$6,ROUND(Z72*(1+F$5),0))</f>
        <v/>
      </c>
      <c r="G73">
        <f>MIN(G$6,ROUND(AA72*(1+G$5),0))</f>
        <v/>
      </c>
      <c r="H73">
        <f>MIN(H$6,ROUND(AB72*(1+H$5),0))</f>
        <v/>
      </c>
      <c r="I73">
        <f>MIN(I$6,ROUND(AC72*(1+I$5),0))</f>
        <v/>
      </c>
      <c r="J73">
        <f>MIN(J$6,ROUND(AD72*(1+J$5),0))</f>
        <v/>
      </c>
      <c r="K73">
        <f>MIN(K$6,ROUND(AE72*(1+K$5),0))</f>
        <v/>
      </c>
      <c r="L73">
        <f>MIN(L$6,ROUND(AF72*(1+L$5),0))</f>
        <v/>
      </c>
      <c r="M73">
        <f>MAX(0,MIN(ROUND(W72*(1+C$5),0)-C73,$AJ73-0))</f>
        <v/>
      </c>
      <c r="N73">
        <f>MAX(0,MIN(ROUND(X72*(1+D$5),0)-D73,$AJ73-SUM($M73:M73)))</f>
        <v/>
      </c>
      <c r="O73">
        <f>MAX(0,MIN(ROUND(Y72*(1+E$5),0)-E73,$AJ73-SUM($M73:N73)))</f>
        <v/>
      </c>
      <c r="P73">
        <f>MAX(0,MIN(ROUND(Z72*(1+F$5),0)-F73,$AJ73-SUM($M73:O73)))</f>
        <v/>
      </c>
      <c r="Q73">
        <f>MAX(0,MIN(ROUND(AA72*(1+G$5),0)-G73,$AJ73-SUM($M73:P73)))</f>
        <v/>
      </c>
      <c r="R73">
        <f>MAX(0,MIN(ROUND(AB72*(1+H$5),0)-H73,$AJ73-SUM($M73:Q73)))</f>
        <v/>
      </c>
      <c r="S73">
        <f>MAX(0,MIN(ROUND(AC72*(1+I$5),0)-I73,$AJ73-SUM($M73:R73)))</f>
        <v/>
      </c>
      <c r="T73">
        <f>MAX(0,MIN(ROUND(AD72*(1+J$5),0)-J73,$AJ73-SUM($M73:S73)))</f>
        <v/>
      </c>
      <c r="U73">
        <f>MAX(0,MIN(ROUND(AE72*(1+K$5),0)-K73,$AJ73-SUM($M73:T73)))</f>
        <v/>
      </c>
      <c r="V73">
        <f>MAX(0,MIN(ROUND(AF72*(1+L$5),0)-L73,$AJ73-SUM($M73:U73)))</f>
        <v/>
      </c>
      <c r="W73">
        <f>MAX(0,ROUND(W72*(1+C$5),0)-C73-M73)</f>
        <v/>
      </c>
      <c r="X73">
        <f>MAX(0,ROUND(X72*(1+D$5),0)-D73-N73)</f>
        <v/>
      </c>
      <c r="Y73">
        <f>MAX(0,ROUND(Y72*(1+E$5),0)-E73-O73)</f>
        <v/>
      </c>
      <c r="Z73">
        <f>MAX(0,ROUND(Z72*(1+F$5),0)-F73-P73)</f>
        <v/>
      </c>
      <c r="AA73">
        <f>MAX(0,ROUND(AA72*(1+G$5),0)-G73-Q73)</f>
        <v/>
      </c>
      <c r="AB73">
        <f>MAX(0,ROUND(AB72*(1+H$5),0)-H73-R73)</f>
        <v/>
      </c>
      <c r="AC73">
        <f>MAX(0,ROUND(AC72*(1+I$5),0)-I73-S73)</f>
        <v/>
      </c>
      <c r="AD73">
        <f>MAX(0,ROUND(AD72*(1+J$5),0)-J73-T73)</f>
        <v/>
      </c>
      <c r="AE73">
        <f>MAX(0,ROUND(AE72*(1+K$5),0)-K73-U73)</f>
        <v/>
      </c>
      <c r="AF73">
        <f>MAX(0,ROUND(AF72*(1+L$5),0)-L73-V73)</f>
        <v/>
      </c>
      <c r="AG73">
        <f>AH73-(AI72-AI73)</f>
        <v/>
      </c>
      <c r="AH73">
        <f>SUM(C73:V73)</f>
        <v/>
      </c>
      <c r="AI73">
        <f>SUM(W73:AF73)</f>
        <v/>
      </c>
      <c r="AJ73">
        <f>MAX(0,PresTot-SUM(C73:L73))</f>
        <v/>
      </c>
      <c r="AK73">
        <f>IF(AI72&lt;=0,0,11-SUMPRODUCT(MAX((W72:AF72&gt;0)*(11-(COLUMN(W72:AF72)-COLUMN($V72))))))</f>
        <v/>
      </c>
    </row>
    <row r="74">
      <c r="A74" t="n">
        <v>64</v>
      </c>
      <c r="B74">
        <f>DATE(YEAR(InicioEf),MONTH(InicioEf)+A74-1,1)</f>
        <v/>
      </c>
      <c r="C74">
        <f>MIN(C$6,ROUND(W73*(1+C$5),0))</f>
        <v/>
      </c>
      <c r="D74">
        <f>MIN(D$6,ROUND(X73*(1+D$5),0))</f>
        <v/>
      </c>
      <c r="E74">
        <f>MIN(E$6,ROUND(Y73*(1+E$5),0))</f>
        <v/>
      </c>
      <c r="F74">
        <f>MIN(F$6,ROUND(Z73*(1+F$5),0))</f>
        <v/>
      </c>
      <c r="G74">
        <f>MIN(G$6,ROUND(AA73*(1+G$5),0))</f>
        <v/>
      </c>
      <c r="H74">
        <f>MIN(H$6,ROUND(AB73*(1+H$5),0))</f>
        <v/>
      </c>
      <c r="I74">
        <f>MIN(I$6,ROUND(AC73*(1+I$5),0))</f>
        <v/>
      </c>
      <c r="J74">
        <f>MIN(J$6,ROUND(AD73*(1+J$5),0))</f>
        <v/>
      </c>
      <c r="K74">
        <f>MIN(K$6,ROUND(AE73*(1+K$5),0))</f>
        <v/>
      </c>
      <c r="L74">
        <f>MIN(L$6,ROUND(AF73*(1+L$5),0))</f>
        <v/>
      </c>
      <c r="M74">
        <f>MAX(0,MIN(ROUND(W73*(1+C$5),0)-C74,$AJ74-0))</f>
        <v/>
      </c>
      <c r="N74">
        <f>MAX(0,MIN(ROUND(X73*(1+D$5),0)-D74,$AJ74-SUM($M74:M74)))</f>
        <v/>
      </c>
      <c r="O74">
        <f>MAX(0,MIN(ROUND(Y73*(1+E$5),0)-E74,$AJ74-SUM($M74:N74)))</f>
        <v/>
      </c>
      <c r="P74">
        <f>MAX(0,MIN(ROUND(Z73*(1+F$5),0)-F74,$AJ74-SUM($M74:O74)))</f>
        <v/>
      </c>
      <c r="Q74">
        <f>MAX(0,MIN(ROUND(AA73*(1+G$5),0)-G74,$AJ74-SUM($M74:P74)))</f>
        <v/>
      </c>
      <c r="R74">
        <f>MAX(0,MIN(ROUND(AB73*(1+H$5),0)-H74,$AJ74-SUM($M74:Q74)))</f>
        <v/>
      </c>
      <c r="S74">
        <f>MAX(0,MIN(ROUND(AC73*(1+I$5),0)-I74,$AJ74-SUM($M74:R74)))</f>
        <v/>
      </c>
      <c r="T74">
        <f>MAX(0,MIN(ROUND(AD73*(1+J$5),0)-J74,$AJ74-SUM($M74:S74)))</f>
        <v/>
      </c>
      <c r="U74">
        <f>MAX(0,MIN(ROUND(AE73*(1+K$5),0)-K74,$AJ74-SUM($M74:T74)))</f>
        <v/>
      </c>
      <c r="V74">
        <f>MAX(0,MIN(ROUND(AF73*(1+L$5),0)-L74,$AJ74-SUM($M74:U74)))</f>
        <v/>
      </c>
      <c r="W74">
        <f>MAX(0,ROUND(W73*(1+C$5),0)-C74-M74)</f>
        <v/>
      </c>
      <c r="X74">
        <f>MAX(0,ROUND(X73*(1+D$5),0)-D74-N74)</f>
        <v/>
      </c>
      <c r="Y74">
        <f>MAX(0,ROUND(Y73*(1+E$5),0)-E74-O74)</f>
        <v/>
      </c>
      <c r="Z74">
        <f>MAX(0,ROUND(Z73*(1+F$5),0)-F74-P74)</f>
        <v/>
      </c>
      <c r="AA74">
        <f>MAX(0,ROUND(AA73*(1+G$5),0)-G74-Q74)</f>
        <v/>
      </c>
      <c r="AB74">
        <f>MAX(0,ROUND(AB73*(1+H$5),0)-H74-R74)</f>
        <v/>
      </c>
      <c r="AC74">
        <f>MAX(0,ROUND(AC73*(1+I$5),0)-I74-S74)</f>
        <v/>
      </c>
      <c r="AD74">
        <f>MAX(0,ROUND(AD73*(1+J$5),0)-J74-T74)</f>
        <v/>
      </c>
      <c r="AE74">
        <f>MAX(0,ROUND(AE73*(1+K$5),0)-K74-U74)</f>
        <v/>
      </c>
      <c r="AF74">
        <f>MAX(0,ROUND(AF73*(1+L$5),0)-L74-V74)</f>
        <v/>
      </c>
      <c r="AG74">
        <f>AH74-(AI73-AI74)</f>
        <v/>
      </c>
      <c r="AH74">
        <f>SUM(C74:V74)</f>
        <v/>
      </c>
      <c r="AI74">
        <f>SUM(W74:AF74)</f>
        <v/>
      </c>
      <c r="AJ74">
        <f>MAX(0,PresTot-SUM(C74:L74))</f>
        <v/>
      </c>
      <c r="AK74">
        <f>IF(AI73&lt;=0,0,11-SUMPRODUCT(MAX((W73:AF73&gt;0)*(11-(COLUMN(W73:AF73)-COLUMN($V73))))))</f>
        <v/>
      </c>
    </row>
    <row r="75">
      <c r="A75" t="n">
        <v>65</v>
      </c>
      <c r="B75">
        <f>DATE(YEAR(InicioEf),MONTH(InicioEf)+A75-1,1)</f>
        <v/>
      </c>
      <c r="C75">
        <f>MIN(C$6,ROUND(W74*(1+C$5),0))</f>
        <v/>
      </c>
      <c r="D75">
        <f>MIN(D$6,ROUND(X74*(1+D$5),0))</f>
        <v/>
      </c>
      <c r="E75">
        <f>MIN(E$6,ROUND(Y74*(1+E$5),0))</f>
        <v/>
      </c>
      <c r="F75">
        <f>MIN(F$6,ROUND(Z74*(1+F$5),0))</f>
        <v/>
      </c>
      <c r="G75">
        <f>MIN(G$6,ROUND(AA74*(1+G$5),0))</f>
        <v/>
      </c>
      <c r="H75">
        <f>MIN(H$6,ROUND(AB74*(1+H$5),0))</f>
        <v/>
      </c>
      <c r="I75">
        <f>MIN(I$6,ROUND(AC74*(1+I$5),0))</f>
        <v/>
      </c>
      <c r="J75">
        <f>MIN(J$6,ROUND(AD74*(1+J$5),0))</f>
        <v/>
      </c>
      <c r="K75">
        <f>MIN(K$6,ROUND(AE74*(1+K$5),0))</f>
        <v/>
      </c>
      <c r="L75">
        <f>MIN(L$6,ROUND(AF74*(1+L$5),0))</f>
        <v/>
      </c>
      <c r="M75">
        <f>MAX(0,MIN(ROUND(W74*(1+C$5),0)-C75,$AJ75-0))</f>
        <v/>
      </c>
      <c r="N75">
        <f>MAX(0,MIN(ROUND(X74*(1+D$5),0)-D75,$AJ75-SUM($M75:M75)))</f>
        <v/>
      </c>
      <c r="O75">
        <f>MAX(0,MIN(ROUND(Y74*(1+E$5),0)-E75,$AJ75-SUM($M75:N75)))</f>
        <v/>
      </c>
      <c r="P75">
        <f>MAX(0,MIN(ROUND(Z74*(1+F$5),0)-F75,$AJ75-SUM($M75:O75)))</f>
        <v/>
      </c>
      <c r="Q75">
        <f>MAX(0,MIN(ROUND(AA74*(1+G$5),0)-G75,$AJ75-SUM($M75:P75)))</f>
        <v/>
      </c>
      <c r="R75">
        <f>MAX(0,MIN(ROUND(AB74*(1+H$5),0)-H75,$AJ75-SUM($M75:Q75)))</f>
        <v/>
      </c>
      <c r="S75">
        <f>MAX(0,MIN(ROUND(AC74*(1+I$5),0)-I75,$AJ75-SUM($M75:R75)))</f>
        <v/>
      </c>
      <c r="T75">
        <f>MAX(0,MIN(ROUND(AD74*(1+J$5),0)-J75,$AJ75-SUM($M75:S75)))</f>
        <v/>
      </c>
      <c r="U75">
        <f>MAX(0,MIN(ROUND(AE74*(1+K$5),0)-K75,$AJ75-SUM($M75:T75)))</f>
        <v/>
      </c>
      <c r="V75">
        <f>MAX(0,MIN(ROUND(AF74*(1+L$5),0)-L75,$AJ75-SUM($M75:U75)))</f>
        <v/>
      </c>
      <c r="W75">
        <f>MAX(0,ROUND(W74*(1+C$5),0)-C75-M75)</f>
        <v/>
      </c>
      <c r="X75">
        <f>MAX(0,ROUND(X74*(1+D$5),0)-D75-N75)</f>
        <v/>
      </c>
      <c r="Y75">
        <f>MAX(0,ROUND(Y74*(1+E$5),0)-E75-O75)</f>
        <v/>
      </c>
      <c r="Z75">
        <f>MAX(0,ROUND(Z74*(1+F$5),0)-F75-P75)</f>
        <v/>
      </c>
      <c r="AA75">
        <f>MAX(0,ROUND(AA74*(1+G$5),0)-G75-Q75)</f>
        <v/>
      </c>
      <c r="AB75">
        <f>MAX(0,ROUND(AB74*(1+H$5),0)-H75-R75)</f>
        <v/>
      </c>
      <c r="AC75">
        <f>MAX(0,ROUND(AC74*(1+I$5),0)-I75-S75)</f>
        <v/>
      </c>
      <c r="AD75">
        <f>MAX(0,ROUND(AD74*(1+J$5),0)-J75-T75)</f>
        <v/>
      </c>
      <c r="AE75">
        <f>MAX(0,ROUND(AE74*(1+K$5),0)-K75-U75)</f>
        <v/>
      </c>
      <c r="AF75">
        <f>MAX(0,ROUND(AF74*(1+L$5),0)-L75-V75)</f>
        <v/>
      </c>
      <c r="AG75">
        <f>AH75-(AI74-AI75)</f>
        <v/>
      </c>
      <c r="AH75">
        <f>SUM(C75:V75)</f>
        <v/>
      </c>
      <c r="AI75">
        <f>SUM(W75:AF75)</f>
        <v/>
      </c>
      <c r="AJ75">
        <f>MAX(0,PresTot-SUM(C75:L75))</f>
        <v/>
      </c>
      <c r="AK75">
        <f>IF(AI74&lt;=0,0,11-SUMPRODUCT(MAX((W74:AF74&gt;0)*(11-(COLUMN(W74:AF74)-COLUMN($V74))))))</f>
        <v/>
      </c>
    </row>
    <row r="76">
      <c r="A76" t="n">
        <v>66</v>
      </c>
      <c r="B76">
        <f>DATE(YEAR(InicioEf),MONTH(InicioEf)+A76-1,1)</f>
        <v/>
      </c>
      <c r="C76">
        <f>MIN(C$6,ROUND(W75*(1+C$5),0))</f>
        <v/>
      </c>
      <c r="D76">
        <f>MIN(D$6,ROUND(X75*(1+D$5),0))</f>
        <v/>
      </c>
      <c r="E76">
        <f>MIN(E$6,ROUND(Y75*(1+E$5),0))</f>
        <v/>
      </c>
      <c r="F76">
        <f>MIN(F$6,ROUND(Z75*(1+F$5),0))</f>
        <v/>
      </c>
      <c r="G76">
        <f>MIN(G$6,ROUND(AA75*(1+G$5),0))</f>
        <v/>
      </c>
      <c r="H76">
        <f>MIN(H$6,ROUND(AB75*(1+H$5),0))</f>
        <v/>
      </c>
      <c r="I76">
        <f>MIN(I$6,ROUND(AC75*(1+I$5),0))</f>
        <v/>
      </c>
      <c r="J76">
        <f>MIN(J$6,ROUND(AD75*(1+J$5),0))</f>
        <v/>
      </c>
      <c r="K76">
        <f>MIN(K$6,ROUND(AE75*(1+K$5),0))</f>
        <v/>
      </c>
      <c r="L76">
        <f>MIN(L$6,ROUND(AF75*(1+L$5),0))</f>
        <v/>
      </c>
      <c r="M76">
        <f>MAX(0,MIN(ROUND(W75*(1+C$5),0)-C76,$AJ76-0))</f>
        <v/>
      </c>
      <c r="N76">
        <f>MAX(0,MIN(ROUND(X75*(1+D$5),0)-D76,$AJ76-SUM($M76:M76)))</f>
        <v/>
      </c>
      <c r="O76">
        <f>MAX(0,MIN(ROUND(Y75*(1+E$5),0)-E76,$AJ76-SUM($M76:N76)))</f>
        <v/>
      </c>
      <c r="P76">
        <f>MAX(0,MIN(ROUND(Z75*(1+F$5),0)-F76,$AJ76-SUM($M76:O76)))</f>
        <v/>
      </c>
      <c r="Q76">
        <f>MAX(0,MIN(ROUND(AA75*(1+G$5),0)-G76,$AJ76-SUM($M76:P76)))</f>
        <v/>
      </c>
      <c r="R76">
        <f>MAX(0,MIN(ROUND(AB75*(1+H$5),0)-H76,$AJ76-SUM($M76:Q76)))</f>
        <v/>
      </c>
      <c r="S76">
        <f>MAX(0,MIN(ROUND(AC75*(1+I$5),0)-I76,$AJ76-SUM($M76:R76)))</f>
        <v/>
      </c>
      <c r="T76">
        <f>MAX(0,MIN(ROUND(AD75*(1+J$5),0)-J76,$AJ76-SUM($M76:S76)))</f>
        <v/>
      </c>
      <c r="U76">
        <f>MAX(0,MIN(ROUND(AE75*(1+K$5),0)-K76,$AJ76-SUM($M76:T76)))</f>
        <v/>
      </c>
      <c r="V76">
        <f>MAX(0,MIN(ROUND(AF75*(1+L$5),0)-L76,$AJ76-SUM($M76:U76)))</f>
        <v/>
      </c>
      <c r="W76">
        <f>MAX(0,ROUND(W75*(1+C$5),0)-C76-M76)</f>
        <v/>
      </c>
      <c r="X76">
        <f>MAX(0,ROUND(X75*(1+D$5),0)-D76-N76)</f>
        <v/>
      </c>
      <c r="Y76">
        <f>MAX(0,ROUND(Y75*(1+E$5),0)-E76-O76)</f>
        <v/>
      </c>
      <c r="Z76">
        <f>MAX(0,ROUND(Z75*(1+F$5),0)-F76-P76)</f>
        <v/>
      </c>
      <c r="AA76">
        <f>MAX(0,ROUND(AA75*(1+G$5),0)-G76-Q76)</f>
        <v/>
      </c>
      <c r="AB76">
        <f>MAX(0,ROUND(AB75*(1+H$5),0)-H76-R76)</f>
        <v/>
      </c>
      <c r="AC76">
        <f>MAX(0,ROUND(AC75*(1+I$5),0)-I76-S76)</f>
        <v/>
      </c>
      <c r="AD76">
        <f>MAX(0,ROUND(AD75*(1+J$5),0)-J76-T76)</f>
        <v/>
      </c>
      <c r="AE76">
        <f>MAX(0,ROUND(AE75*(1+K$5),0)-K76-U76)</f>
        <v/>
      </c>
      <c r="AF76">
        <f>MAX(0,ROUND(AF75*(1+L$5),0)-L76-V76)</f>
        <v/>
      </c>
      <c r="AG76">
        <f>AH76-(AI75-AI76)</f>
        <v/>
      </c>
      <c r="AH76">
        <f>SUM(C76:V76)</f>
        <v/>
      </c>
      <c r="AI76">
        <f>SUM(W76:AF76)</f>
        <v/>
      </c>
      <c r="AJ76">
        <f>MAX(0,PresTot-SUM(C76:L76))</f>
        <v/>
      </c>
      <c r="AK76">
        <f>IF(AI75&lt;=0,0,11-SUMPRODUCT(MAX((W75:AF75&gt;0)*(11-(COLUMN(W75:AF75)-COLUMN($V75))))))</f>
        <v/>
      </c>
    </row>
    <row r="77">
      <c r="A77" t="n">
        <v>67</v>
      </c>
      <c r="B77">
        <f>DATE(YEAR(InicioEf),MONTH(InicioEf)+A77-1,1)</f>
        <v/>
      </c>
      <c r="C77">
        <f>MIN(C$6,ROUND(W76*(1+C$5),0))</f>
        <v/>
      </c>
      <c r="D77">
        <f>MIN(D$6,ROUND(X76*(1+D$5),0))</f>
        <v/>
      </c>
      <c r="E77">
        <f>MIN(E$6,ROUND(Y76*(1+E$5),0))</f>
        <v/>
      </c>
      <c r="F77">
        <f>MIN(F$6,ROUND(Z76*(1+F$5),0))</f>
        <v/>
      </c>
      <c r="G77">
        <f>MIN(G$6,ROUND(AA76*(1+G$5),0))</f>
        <v/>
      </c>
      <c r="H77">
        <f>MIN(H$6,ROUND(AB76*(1+H$5),0))</f>
        <v/>
      </c>
      <c r="I77">
        <f>MIN(I$6,ROUND(AC76*(1+I$5),0))</f>
        <v/>
      </c>
      <c r="J77">
        <f>MIN(J$6,ROUND(AD76*(1+J$5),0))</f>
        <v/>
      </c>
      <c r="K77">
        <f>MIN(K$6,ROUND(AE76*(1+K$5),0))</f>
        <v/>
      </c>
      <c r="L77">
        <f>MIN(L$6,ROUND(AF76*(1+L$5),0))</f>
        <v/>
      </c>
      <c r="M77">
        <f>MAX(0,MIN(ROUND(W76*(1+C$5),0)-C77,$AJ77-0))</f>
        <v/>
      </c>
      <c r="N77">
        <f>MAX(0,MIN(ROUND(X76*(1+D$5),0)-D77,$AJ77-SUM($M77:M77)))</f>
        <v/>
      </c>
      <c r="O77">
        <f>MAX(0,MIN(ROUND(Y76*(1+E$5),0)-E77,$AJ77-SUM($M77:N77)))</f>
        <v/>
      </c>
      <c r="P77">
        <f>MAX(0,MIN(ROUND(Z76*(1+F$5),0)-F77,$AJ77-SUM($M77:O77)))</f>
        <v/>
      </c>
      <c r="Q77">
        <f>MAX(0,MIN(ROUND(AA76*(1+G$5),0)-G77,$AJ77-SUM($M77:P77)))</f>
        <v/>
      </c>
      <c r="R77">
        <f>MAX(0,MIN(ROUND(AB76*(1+H$5),0)-H77,$AJ77-SUM($M77:Q77)))</f>
        <v/>
      </c>
      <c r="S77">
        <f>MAX(0,MIN(ROUND(AC76*(1+I$5),0)-I77,$AJ77-SUM($M77:R77)))</f>
        <v/>
      </c>
      <c r="T77">
        <f>MAX(0,MIN(ROUND(AD76*(1+J$5),0)-J77,$AJ77-SUM($M77:S77)))</f>
        <v/>
      </c>
      <c r="U77">
        <f>MAX(0,MIN(ROUND(AE76*(1+K$5),0)-K77,$AJ77-SUM($M77:T77)))</f>
        <v/>
      </c>
      <c r="V77">
        <f>MAX(0,MIN(ROUND(AF76*(1+L$5),0)-L77,$AJ77-SUM($M77:U77)))</f>
        <v/>
      </c>
      <c r="W77">
        <f>MAX(0,ROUND(W76*(1+C$5),0)-C77-M77)</f>
        <v/>
      </c>
      <c r="X77">
        <f>MAX(0,ROUND(X76*(1+D$5),0)-D77-N77)</f>
        <v/>
      </c>
      <c r="Y77">
        <f>MAX(0,ROUND(Y76*(1+E$5),0)-E77-O77)</f>
        <v/>
      </c>
      <c r="Z77">
        <f>MAX(0,ROUND(Z76*(1+F$5),0)-F77-P77)</f>
        <v/>
      </c>
      <c r="AA77">
        <f>MAX(0,ROUND(AA76*(1+G$5),0)-G77-Q77)</f>
        <v/>
      </c>
      <c r="AB77">
        <f>MAX(0,ROUND(AB76*(1+H$5),0)-H77-R77)</f>
        <v/>
      </c>
      <c r="AC77">
        <f>MAX(0,ROUND(AC76*(1+I$5),0)-I77-S77)</f>
        <v/>
      </c>
      <c r="AD77">
        <f>MAX(0,ROUND(AD76*(1+J$5),0)-J77-T77)</f>
        <v/>
      </c>
      <c r="AE77">
        <f>MAX(0,ROUND(AE76*(1+K$5),0)-K77-U77)</f>
        <v/>
      </c>
      <c r="AF77">
        <f>MAX(0,ROUND(AF76*(1+L$5),0)-L77-V77)</f>
        <v/>
      </c>
      <c r="AG77">
        <f>AH77-(AI76-AI77)</f>
        <v/>
      </c>
      <c r="AH77">
        <f>SUM(C77:V77)</f>
        <v/>
      </c>
      <c r="AI77">
        <f>SUM(W77:AF77)</f>
        <v/>
      </c>
      <c r="AJ77">
        <f>MAX(0,PresTot-SUM(C77:L77))</f>
        <v/>
      </c>
      <c r="AK77">
        <f>IF(AI76&lt;=0,0,11-SUMPRODUCT(MAX((W76:AF76&gt;0)*(11-(COLUMN(W76:AF76)-COLUMN($V76))))))</f>
        <v/>
      </c>
    </row>
    <row r="78">
      <c r="A78" t="n">
        <v>68</v>
      </c>
      <c r="B78">
        <f>DATE(YEAR(InicioEf),MONTH(InicioEf)+A78-1,1)</f>
        <v/>
      </c>
      <c r="C78">
        <f>MIN(C$6,ROUND(W77*(1+C$5),0))</f>
        <v/>
      </c>
      <c r="D78">
        <f>MIN(D$6,ROUND(X77*(1+D$5),0))</f>
        <v/>
      </c>
      <c r="E78">
        <f>MIN(E$6,ROUND(Y77*(1+E$5),0))</f>
        <v/>
      </c>
      <c r="F78">
        <f>MIN(F$6,ROUND(Z77*(1+F$5),0))</f>
        <v/>
      </c>
      <c r="G78">
        <f>MIN(G$6,ROUND(AA77*(1+G$5),0))</f>
        <v/>
      </c>
      <c r="H78">
        <f>MIN(H$6,ROUND(AB77*(1+H$5),0))</f>
        <v/>
      </c>
      <c r="I78">
        <f>MIN(I$6,ROUND(AC77*(1+I$5),0))</f>
        <v/>
      </c>
      <c r="J78">
        <f>MIN(J$6,ROUND(AD77*(1+J$5),0))</f>
        <v/>
      </c>
      <c r="K78">
        <f>MIN(K$6,ROUND(AE77*(1+K$5),0))</f>
        <v/>
      </c>
      <c r="L78">
        <f>MIN(L$6,ROUND(AF77*(1+L$5),0))</f>
        <v/>
      </c>
      <c r="M78">
        <f>MAX(0,MIN(ROUND(W77*(1+C$5),0)-C78,$AJ78-0))</f>
        <v/>
      </c>
      <c r="N78">
        <f>MAX(0,MIN(ROUND(X77*(1+D$5),0)-D78,$AJ78-SUM($M78:M78)))</f>
        <v/>
      </c>
      <c r="O78">
        <f>MAX(0,MIN(ROUND(Y77*(1+E$5),0)-E78,$AJ78-SUM($M78:N78)))</f>
        <v/>
      </c>
      <c r="P78">
        <f>MAX(0,MIN(ROUND(Z77*(1+F$5),0)-F78,$AJ78-SUM($M78:O78)))</f>
        <v/>
      </c>
      <c r="Q78">
        <f>MAX(0,MIN(ROUND(AA77*(1+G$5),0)-G78,$AJ78-SUM($M78:P78)))</f>
        <v/>
      </c>
      <c r="R78">
        <f>MAX(0,MIN(ROUND(AB77*(1+H$5),0)-H78,$AJ78-SUM($M78:Q78)))</f>
        <v/>
      </c>
      <c r="S78">
        <f>MAX(0,MIN(ROUND(AC77*(1+I$5),0)-I78,$AJ78-SUM($M78:R78)))</f>
        <v/>
      </c>
      <c r="T78">
        <f>MAX(0,MIN(ROUND(AD77*(1+J$5),0)-J78,$AJ78-SUM($M78:S78)))</f>
        <v/>
      </c>
      <c r="U78">
        <f>MAX(0,MIN(ROUND(AE77*(1+K$5),0)-K78,$AJ78-SUM($M78:T78)))</f>
        <v/>
      </c>
      <c r="V78">
        <f>MAX(0,MIN(ROUND(AF77*(1+L$5),0)-L78,$AJ78-SUM($M78:U78)))</f>
        <v/>
      </c>
      <c r="W78">
        <f>MAX(0,ROUND(W77*(1+C$5),0)-C78-M78)</f>
        <v/>
      </c>
      <c r="X78">
        <f>MAX(0,ROUND(X77*(1+D$5),0)-D78-N78)</f>
        <v/>
      </c>
      <c r="Y78">
        <f>MAX(0,ROUND(Y77*(1+E$5),0)-E78-O78)</f>
        <v/>
      </c>
      <c r="Z78">
        <f>MAX(0,ROUND(Z77*(1+F$5),0)-F78-P78)</f>
        <v/>
      </c>
      <c r="AA78">
        <f>MAX(0,ROUND(AA77*(1+G$5),0)-G78-Q78)</f>
        <v/>
      </c>
      <c r="AB78">
        <f>MAX(0,ROUND(AB77*(1+H$5),0)-H78-R78)</f>
        <v/>
      </c>
      <c r="AC78">
        <f>MAX(0,ROUND(AC77*(1+I$5),0)-I78-S78)</f>
        <v/>
      </c>
      <c r="AD78">
        <f>MAX(0,ROUND(AD77*(1+J$5),0)-J78-T78)</f>
        <v/>
      </c>
      <c r="AE78">
        <f>MAX(0,ROUND(AE77*(1+K$5),0)-K78-U78)</f>
        <v/>
      </c>
      <c r="AF78">
        <f>MAX(0,ROUND(AF77*(1+L$5),0)-L78-V78)</f>
        <v/>
      </c>
      <c r="AG78">
        <f>AH78-(AI77-AI78)</f>
        <v/>
      </c>
      <c r="AH78">
        <f>SUM(C78:V78)</f>
        <v/>
      </c>
      <c r="AI78">
        <f>SUM(W78:AF78)</f>
        <v/>
      </c>
      <c r="AJ78">
        <f>MAX(0,PresTot-SUM(C78:L78))</f>
        <v/>
      </c>
      <c r="AK78">
        <f>IF(AI77&lt;=0,0,11-SUMPRODUCT(MAX((W77:AF77&gt;0)*(11-(COLUMN(W77:AF77)-COLUMN($V77))))))</f>
        <v/>
      </c>
    </row>
    <row r="79">
      <c r="A79" t="n">
        <v>69</v>
      </c>
      <c r="B79">
        <f>DATE(YEAR(InicioEf),MONTH(InicioEf)+A79-1,1)</f>
        <v/>
      </c>
      <c r="C79">
        <f>MIN(C$6,ROUND(W78*(1+C$5),0))</f>
        <v/>
      </c>
      <c r="D79">
        <f>MIN(D$6,ROUND(X78*(1+D$5),0))</f>
        <v/>
      </c>
      <c r="E79">
        <f>MIN(E$6,ROUND(Y78*(1+E$5),0))</f>
        <v/>
      </c>
      <c r="F79">
        <f>MIN(F$6,ROUND(Z78*(1+F$5),0))</f>
        <v/>
      </c>
      <c r="G79">
        <f>MIN(G$6,ROUND(AA78*(1+G$5),0))</f>
        <v/>
      </c>
      <c r="H79">
        <f>MIN(H$6,ROUND(AB78*(1+H$5),0))</f>
        <v/>
      </c>
      <c r="I79">
        <f>MIN(I$6,ROUND(AC78*(1+I$5),0))</f>
        <v/>
      </c>
      <c r="J79">
        <f>MIN(J$6,ROUND(AD78*(1+J$5),0))</f>
        <v/>
      </c>
      <c r="K79">
        <f>MIN(K$6,ROUND(AE78*(1+K$5),0))</f>
        <v/>
      </c>
      <c r="L79">
        <f>MIN(L$6,ROUND(AF78*(1+L$5),0))</f>
        <v/>
      </c>
      <c r="M79">
        <f>MAX(0,MIN(ROUND(W78*(1+C$5),0)-C79,$AJ79-0))</f>
        <v/>
      </c>
      <c r="N79">
        <f>MAX(0,MIN(ROUND(X78*(1+D$5),0)-D79,$AJ79-SUM($M79:M79)))</f>
        <v/>
      </c>
      <c r="O79">
        <f>MAX(0,MIN(ROUND(Y78*(1+E$5),0)-E79,$AJ79-SUM($M79:N79)))</f>
        <v/>
      </c>
      <c r="P79">
        <f>MAX(0,MIN(ROUND(Z78*(1+F$5),0)-F79,$AJ79-SUM($M79:O79)))</f>
        <v/>
      </c>
      <c r="Q79">
        <f>MAX(0,MIN(ROUND(AA78*(1+G$5),0)-G79,$AJ79-SUM($M79:P79)))</f>
        <v/>
      </c>
      <c r="R79">
        <f>MAX(0,MIN(ROUND(AB78*(1+H$5),0)-H79,$AJ79-SUM($M79:Q79)))</f>
        <v/>
      </c>
      <c r="S79">
        <f>MAX(0,MIN(ROUND(AC78*(1+I$5),0)-I79,$AJ79-SUM($M79:R79)))</f>
        <v/>
      </c>
      <c r="T79">
        <f>MAX(0,MIN(ROUND(AD78*(1+J$5),0)-J79,$AJ79-SUM($M79:S79)))</f>
        <v/>
      </c>
      <c r="U79">
        <f>MAX(0,MIN(ROUND(AE78*(1+K$5),0)-K79,$AJ79-SUM($M79:T79)))</f>
        <v/>
      </c>
      <c r="V79">
        <f>MAX(0,MIN(ROUND(AF78*(1+L$5),0)-L79,$AJ79-SUM($M79:U79)))</f>
        <v/>
      </c>
      <c r="W79">
        <f>MAX(0,ROUND(W78*(1+C$5),0)-C79-M79)</f>
        <v/>
      </c>
      <c r="X79">
        <f>MAX(0,ROUND(X78*(1+D$5),0)-D79-N79)</f>
        <v/>
      </c>
      <c r="Y79">
        <f>MAX(0,ROUND(Y78*(1+E$5),0)-E79-O79)</f>
        <v/>
      </c>
      <c r="Z79">
        <f>MAX(0,ROUND(Z78*(1+F$5),0)-F79-P79)</f>
        <v/>
      </c>
      <c r="AA79">
        <f>MAX(0,ROUND(AA78*(1+G$5),0)-G79-Q79)</f>
        <v/>
      </c>
      <c r="AB79">
        <f>MAX(0,ROUND(AB78*(1+H$5),0)-H79-R79)</f>
        <v/>
      </c>
      <c r="AC79">
        <f>MAX(0,ROUND(AC78*(1+I$5),0)-I79-S79)</f>
        <v/>
      </c>
      <c r="AD79">
        <f>MAX(0,ROUND(AD78*(1+J$5),0)-J79-T79)</f>
        <v/>
      </c>
      <c r="AE79">
        <f>MAX(0,ROUND(AE78*(1+K$5),0)-K79-U79)</f>
        <v/>
      </c>
      <c r="AF79">
        <f>MAX(0,ROUND(AF78*(1+L$5),0)-L79-V79)</f>
        <v/>
      </c>
      <c r="AG79">
        <f>AH79-(AI78-AI79)</f>
        <v/>
      </c>
      <c r="AH79">
        <f>SUM(C79:V79)</f>
        <v/>
      </c>
      <c r="AI79">
        <f>SUM(W79:AF79)</f>
        <v/>
      </c>
      <c r="AJ79">
        <f>MAX(0,PresTot-SUM(C79:L79))</f>
        <v/>
      </c>
      <c r="AK79">
        <f>IF(AI78&lt;=0,0,11-SUMPRODUCT(MAX((W78:AF78&gt;0)*(11-(COLUMN(W78:AF78)-COLUMN($V78))))))</f>
        <v/>
      </c>
    </row>
    <row r="80">
      <c r="A80" t="n">
        <v>70</v>
      </c>
      <c r="B80">
        <f>DATE(YEAR(InicioEf),MONTH(InicioEf)+A80-1,1)</f>
        <v/>
      </c>
      <c r="C80">
        <f>MIN(C$6,ROUND(W79*(1+C$5),0))</f>
        <v/>
      </c>
      <c r="D80">
        <f>MIN(D$6,ROUND(X79*(1+D$5),0))</f>
        <v/>
      </c>
      <c r="E80">
        <f>MIN(E$6,ROUND(Y79*(1+E$5),0))</f>
        <v/>
      </c>
      <c r="F80">
        <f>MIN(F$6,ROUND(Z79*(1+F$5),0))</f>
        <v/>
      </c>
      <c r="G80">
        <f>MIN(G$6,ROUND(AA79*(1+G$5),0))</f>
        <v/>
      </c>
      <c r="H80">
        <f>MIN(H$6,ROUND(AB79*(1+H$5),0))</f>
        <v/>
      </c>
      <c r="I80">
        <f>MIN(I$6,ROUND(AC79*(1+I$5),0))</f>
        <v/>
      </c>
      <c r="J80">
        <f>MIN(J$6,ROUND(AD79*(1+J$5),0))</f>
        <v/>
      </c>
      <c r="K80">
        <f>MIN(K$6,ROUND(AE79*(1+K$5),0))</f>
        <v/>
      </c>
      <c r="L80">
        <f>MIN(L$6,ROUND(AF79*(1+L$5),0))</f>
        <v/>
      </c>
      <c r="M80">
        <f>MAX(0,MIN(ROUND(W79*(1+C$5),0)-C80,$AJ80-0))</f>
        <v/>
      </c>
      <c r="N80">
        <f>MAX(0,MIN(ROUND(X79*(1+D$5),0)-D80,$AJ80-SUM($M80:M80)))</f>
        <v/>
      </c>
      <c r="O80">
        <f>MAX(0,MIN(ROUND(Y79*(1+E$5),0)-E80,$AJ80-SUM($M80:N80)))</f>
        <v/>
      </c>
      <c r="P80">
        <f>MAX(0,MIN(ROUND(Z79*(1+F$5),0)-F80,$AJ80-SUM($M80:O80)))</f>
        <v/>
      </c>
      <c r="Q80">
        <f>MAX(0,MIN(ROUND(AA79*(1+G$5),0)-G80,$AJ80-SUM($M80:P80)))</f>
        <v/>
      </c>
      <c r="R80">
        <f>MAX(0,MIN(ROUND(AB79*(1+H$5),0)-H80,$AJ80-SUM($M80:Q80)))</f>
        <v/>
      </c>
      <c r="S80">
        <f>MAX(0,MIN(ROUND(AC79*(1+I$5),0)-I80,$AJ80-SUM($M80:R80)))</f>
        <v/>
      </c>
      <c r="T80">
        <f>MAX(0,MIN(ROUND(AD79*(1+J$5),0)-J80,$AJ80-SUM($M80:S80)))</f>
        <v/>
      </c>
      <c r="U80">
        <f>MAX(0,MIN(ROUND(AE79*(1+K$5),0)-K80,$AJ80-SUM($M80:T80)))</f>
        <v/>
      </c>
      <c r="V80">
        <f>MAX(0,MIN(ROUND(AF79*(1+L$5),0)-L80,$AJ80-SUM($M80:U80)))</f>
        <v/>
      </c>
      <c r="W80">
        <f>MAX(0,ROUND(W79*(1+C$5),0)-C80-M80)</f>
        <v/>
      </c>
      <c r="X80">
        <f>MAX(0,ROUND(X79*(1+D$5),0)-D80-N80)</f>
        <v/>
      </c>
      <c r="Y80">
        <f>MAX(0,ROUND(Y79*(1+E$5),0)-E80-O80)</f>
        <v/>
      </c>
      <c r="Z80">
        <f>MAX(0,ROUND(Z79*(1+F$5),0)-F80-P80)</f>
        <v/>
      </c>
      <c r="AA80">
        <f>MAX(0,ROUND(AA79*(1+G$5),0)-G80-Q80)</f>
        <v/>
      </c>
      <c r="AB80">
        <f>MAX(0,ROUND(AB79*(1+H$5),0)-H80-R80)</f>
        <v/>
      </c>
      <c r="AC80">
        <f>MAX(0,ROUND(AC79*(1+I$5),0)-I80-S80)</f>
        <v/>
      </c>
      <c r="AD80">
        <f>MAX(0,ROUND(AD79*(1+J$5),0)-J80-T80)</f>
        <v/>
      </c>
      <c r="AE80">
        <f>MAX(0,ROUND(AE79*(1+K$5),0)-K80-U80)</f>
        <v/>
      </c>
      <c r="AF80">
        <f>MAX(0,ROUND(AF79*(1+L$5),0)-L80-V80)</f>
        <v/>
      </c>
      <c r="AG80">
        <f>AH80-(AI79-AI80)</f>
        <v/>
      </c>
      <c r="AH80">
        <f>SUM(C80:V80)</f>
        <v/>
      </c>
      <c r="AI80">
        <f>SUM(W80:AF80)</f>
        <v/>
      </c>
      <c r="AJ80">
        <f>MAX(0,PresTot-SUM(C80:L80))</f>
        <v/>
      </c>
      <c r="AK80">
        <f>IF(AI79&lt;=0,0,11-SUMPRODUCT(MAX((W79:AF79&gt;0)*(11-(COLUMN(W79:AF79)-COLUMN($V79))))))</f>
        <v/>
      </c>
    </row>
    <row r="81">
      <c r="A81" t="n">
        <v>71</v>
      </c>
      <c r="B81">
        <f>DATE(YEAR(InicioEf),MONTH(InicioEf)+A81-1,1)</f>
        <v/>
      </c>
      <c r="C81">
        <f>MIN(C$6,ROUND(W80*(1+C$5),0))</f>
        <v/>
      </c>
      <c r="D81">
        <f>MIN(D$6,ROUND(X80*(1+D$5),0))</f>
        <v/>
      </c>
      <c r="E81">
        <f>MIN(E$6,ROUND(Y80*(1+E$5),0))</f>
        <v/>
      </c>
      <c r="F81">
        <f>MIN(F$6,ROUND(Z80*(1+F$5),0))</f>
        <v/>
      </c>
      <c r="G81">
        <f>MIN(G$6,ROUND(AA80*(1+G$5),0))</f>
        <v/>
      </c>
      <c r="H81">
        <f>MIN(H$6,ROUND(AB80*(1+H$5),0))</f>
        <v/>
      </c>
      <c r="I81">
        <f>MIN(I$6,ROUND(AC80*(1+I$5),0))</f>
        <v/>
      </c>
      <c r="J81">
        <f>MIN(J$6,ROUND(AD80*(1+J$5),0))</f>
        <v/>
      </c>
      <c r="K81">
        <f>MIN(K$6,ROUND(AE80*(1+K$5),0))</f>
        <v/>
      </c>
      <c r="L81">
        <f>MIN(L$6,ROUND(AF80*(1+L$5),0))</f>
        <v/>
      </c>
      <c r="M81">
        <f>MAX(0,MIN(ROUND(W80*(1+C$5),0)-C81,$AJ81-0))</f>
        <v/>
      </c>
      <c r="N81">
        <f>MAX(0,MIN(ROUND(X80*(1+D$5),0)-D81,$AJ81-SUM($M81:M81)))</f>
        <v/>
      </c>
      <c r="O81">
        <f>MAX(0,MIN(ROUND(Y80*(1+E$5),0)-E81,$AJ81-SUM($M81:N81)))</f>
        <v/>
      </c>
      <c r="P81">
        <f>MAX(0,MIN(ROUND(Z80*(1+F$5),0)-F81,$AJ81-SUM($M81:O81)))</f>
        <v/>
      </c>
      <c r="Q81">
        <f>MAX(0,MIN(ROUND(AA80*(1+G$5),0)-G81,$AJ81-SUM($M81:P81)))</f>
        <v/>
      </c>
      <c r="R81">
        <f>MAX(0,MIN(ROUND(AB80*(1+H$5),0)-H81,$AJ81-SUM($M81:Q81)))</f>
        <v/>
      </c>
      <c r="S81">
        <f>MAX(0,MIN(ROUND(AC80*(1+I$5),0)-I81,$AJ81-SUM($M81:R81)))</f>
        <v/>
      </c>
      <c r="T81">
        <f>MAX(0,MIN(ROUND(AD80*(1+J$5),0)-J81,$AJ81-SUM($M81:S81)))</f>
        <v/>
      </c>
      <c r="U81">
        <f>MAX(0,MIN(ROUND(AE80*(1+K$5),0)-K81,$AJ81-SUM($M81:T81)))</f>
        <v/>
      </c>
      <c r="V81">
        <f>MAX(0,MIN(ROUND(AF80*(1+L$5),0)-L81,$AJ81-SUM($M81:U81)))</f>
        <v/>
      </c>
      <c r="W81">
        <f>MAX(0,ROUND(W80*(1+C$5),0)-C81-M81)</f>
        <v/>
      </c>
      <c r="X81">
        <f>MAX(0,ROUND(X80*(1+D$5),0)-D81-N81)</f>
        <v/>
      </c>
      <c r="Y81">
        <f>MAX(0,ROUND(Y80*(1+E$5),0)-E81-O81)</f>
        <v/>
      </c>
      <c r="Z81">
        <f>MAX(0,ROUND(Z80*(1+F$5),0)-F81-P81)</f>
        <v/>
      </c>
      <c r="AA81">
        <f>MAX(0,ROUND(AA80*(1+G$5),0)-G81-Q81)</f>
        <v/>
      </c>
      <c r="AB81">
        <f>MAX(0,ROUND(AB80*(1+H$5),0)-H81-R81)</f>
        <v/>
      </c>
      <c r="AC81">
        <f>MAX(0,ROUND(AC80*(1+I$5),0)-I81-S81)</f>
        <v/>
      </c>
      <c r="AD81">
        <f>MAX(0,ROUND(AD80*(1+J$5),0)-J81-T81)</f>
        <v/>
      </c>
      <c r="AE81">
        <f>MAX(0,ROUND(AE80*(1+K$5),0)-K81-U81)</f>
        <v/>
      </c>
      <c r="AF81">
        <f>MAX(0,ROUND(AF80*(1+L$5),0)-L81-V81)</f>
        <v/>
      </c>
      <c r="AG81">
        <f>AH81-(AI80-AI81)</f>
        <v/>
      </c>
      <c r="AH81">
        <f>SUM(C81:V81)</f>
        <v/>
      </c>
      <c r="AI81">
        <f>SUM(W81:AF81)</f>
        <v/>
      </c>
      <c r="AJ81">
        <f>MAX(0,PresTot-SUM(C81:L81))</f>
        <v/>
      </c>
      <c r="AK81">
        <f>IF(AI80&lt;=0,0,11-SUMPRODUCT(MAX((W80:AF80&gt;0)*(11-(COLUMN(W80:AF80)-COLUMN($V80))))))</f>
        <v/>
      </c>
    </row>
    <row r="82">
      <c r="A82" t="n">
        <v>72</v>
      </c>
      <c r="B82">
        <f>DATE(YEAR(InicioEf),MONTH(InicioEf)+A82-1,1)</f>
        <v/>
      </c>
      <c r="C82">
        <f>MIN(C$6,ROUND(W81*(1+C$5),0))</f>
        <v/>
      </c>
      <c r="D82">
        <f>MIN(D$6,ROUND(X81*(1+D$5),0))</f>
        <v/>
      </c>
      <c r="E82">
        <f>MIN(E$6,ROUND(Y81*(1+E$5),0))</f>
        <v/>
      </c>
      <c r="F82">
        <f>MIN(F$6,ROUND(Z81*(1+F$5),0))</f>
        <v/>
      </c>
      <c r="G82">
        <f>MIN(G$6,ROUND(AA81*(1+G$5),0))</f>
        <v/>
      </c>
      <c r="H82">
        <f>MIN(H$6,ROUND(AB81*(1+H$5),0))</f>
        <v/>
      </c>
      <c r="I82">
        <f>MIN(I$6,ROUND(AC81*(1+I$5),0))</f>
        <v/>
      </c>
      <c r="J82">
        <f>MIN(J$6,ROUND(AD81*(1+J$5),0))</f>
        <v/>
      </c>
      <c r="K82">
        <f>MIN(K$6,ROUND(AE81*(1+K$5),0))</f>
        <v/>
      </c>
      <c r="L82">
        <f>MIN(L$6,ROUND(AF81*(1+L$5),0))</f>
        <v/>
      </c>
      <c r="M82">
        <f>MAX(0,MIN(ROUND(W81*(1+C$5),0)-C82,$AJ82-0))</f>
        <v/>
      </c>
      <c r="N82">
        <f>MAX(0,MIN(ROUND(X81*(1+D$5),0)-D82,$AJ82-SUM($M82:M82)))</f>
        <v/>
      </c>
      <c r="O82">
        <f>MAX(0,MIN(ROUND(Y81*(1+E$5),0)-E82,$AJ82-SUM($M82:N82)))</f>
        <v/>
      </c>
      <c r="P82">
        <f>MAX(0,MIN(ROUND(Z81*(1+F$5),0)-F82,$AJ82-SUM($M82:O82)))</f>
        <v/>
      </c>
      <c r="Q82">
        <f>MAX(0,MIN(ROUND(AA81*(1+G$5),0)-G82,$AJ82-SUM($M82:P82)))</f>
        <v/>
      </c>
      <c r="R82">
        <f>MAX(0,MIN(ROUND(AB81*(1+H$5),0)-H82,$AJ82-SUM($M82:Q82)))</f>
        <v/>
      </c>
      <c r="S82">
        <f>MAX(0,MIN(ROUND(AC81*(1+I$5),0)-I82,$AJ82-SUM($M82:R82)))</f>
        <v/>
      </c>
      <c r="T82">
        <f>MAX(0,MIN(ROUND(AD81*(1+J$5),0)-J82,$AJ82-SUM($M82:S82)))</f>
        <v/>
      </c>
      <c r="U82">
        <f>MAX(0,MIN(ROUND(AE81*(1+K$5),0)-K82,$AJ82-SUM($M82:T82)))</f>
        <v/>
      </c>
      <c r="V82">
        <f>MAX(0,MIN(ROUND(AF81*(1+L$5),0)-L82,$AJ82-SUM($M82:U82)))</f>
        <v/>
      </c>
      <c r="W82">
        <f>MAX(0,ROUND(W81*(1+C$5),0)-C82-M82)</f>
        <v/>
      </c>
      <c r="X82">
        <f>MAX(0,ROUND(X81*(1+D$5),0)-D82-N82)</f>
        <v/>
      </c>
      <c r="Y82">
        <f>MAX(0,ROUND(Y81*(1+E$5),0)-E82-O82)</f>
        <v/>
      </c>
      <c r="Z82">
        <f>MAX(0,ROUND(Z81*(1+F$5),0)-F82-P82)</f>
        <v/>
      </c>
      <c r="AA82">
        <f>MAX(0,ROUND(AA81*(1+G$5),0)-G82-Q82)</f>
        <v/>
      </c>
      <c r="AB82">
        <f>MAX(0,ROUND(AB81*(1+H$5),0)-H82-R82)</f>
        <v/>
      </c>
      <c r="AC82">
        <f>MAX(0,ROUND(AC81*(1+I$5),0)-I82-S82)</f>
        <v/>
      </c>
      <c r="AD82">
        <f>MAX(0,ROUND(AD81*(1+J$5),0)-J82-T82)</f>
        <v/>
      </c>
      <c r="AE82">
        <f>MAX(0,ROUND(AE81*(1+K$5),0)-K82-U82)</f>
        <v/>
      </c>
      <c r="AF82">
        <f>MAX(0,ROUND(AF81*(1+L$5),0)-L82-V82)</f>
        <v/>
      </c>
      <c r="AG82">
        <f>AH82-(AI81-AI82)</f>
        <v/>
      </c>
      <c r="AH82">
        <f>SUM(C82:V82)</f>
        <v/>
      </c>
      <c r="AI82">
        <f>SUM(W82:AF82)</f>
        <v/>
      </c>
      <c r="AJ82">
        <f>MAX(0,PresTot-SUM(C82:L82))</f>
        <v/>
      </c>
      <c r="AK82">
        <f>IF(AI81&lt;=0,0,11-SUMPRODUCT(MAX((W81:AF81&gt;0)*(11-(COLUMN(W81:AF81)-COLUMN($V81))))))</f>
        <v/>
      </c>
    </row>
    <row r="83">
      <c r="A83" t="n">
        <v>73</v>
      </c>
      <c r="B83">
        <f>DATE(YEAR(InicioEf),MONTH(InicioEf)+A83-1,1)</f>
        <v/>
      </c>
      <c r="C83">
        <f>MIN(C$6,ROUND(W82*(1+C$5),0))</f>
        <v/>
      </c>
      <c r="D83">
        <f>MIN(D$6,ROUND(X82*(1+D$5),0))</f>
        <v/>
      </c>
      <c r="E83">
        <f>MIN(E$6,ROUND(Y82*(1+E$5),0))</f>
        <v/>
      </c>
      <c r="F83">
        <f>MIN(F$6,ROUND(Z82*(1+F$5),0))</f>
        <v/>
      </c>
      <c r="G83">
        <f>MIN(G$6,ROUND(AA82*(1+G$5),0))</f>
        <v/>
      </c>
      <c r="H83">
        <f>MIN(H$6,ROUND(AB82*(1+H$5),0))</f>
        <v/>
      </c>
      <c r="I83">
        <f>MIN(I$6,ROUND(AC82*(1+I$5),0))</f>
        <v/>
      </c>
      <c r="J83">
        <f>MIN(J$6,ROUND(AD82*(1+J$5),0))</f>
        <v/>
      </c>
      <c r="K83">
        <f>MIN(K$6,ROUND(AE82*(1+K$5),0))</f>
        <v/>
      </c>
      <c r="L83">
        <f>MIN(L$6,ROUND(AF82*(1+L$5),0))</f>
        <v/>
      </c>
      <c r="M83">
        <f>MAX(0,MIN(ROUND(W82*(1+C$5),0)-C83,$AJ83-0))</f>
        <v/>
      </c>
      <c r="N83">
        <f>MAX(0,MIN(ROUND(X82*(1+D$5),0)-D83,$AJ83-SUM($M83:M83)))</f>
        <v/>
      </c>
      <c r="O83">
        <f>MAX(0,MIN(ROUND(Y82*(1+E$5),0)-E83,$AJ83-SUM($M83:N83)))</f>
        <v/>
      </c>
      <c r="P83">
        <f>MAX(0,MIN(ROUND(Z82*(1+F$5),0)-F83,$AJ83-SUM($M83:O83)))</f>
        <v/>
      </c>
      <c r="Q83">
        <f>MAX(0,MIN(ROUND(AA82*(1+G$5),0)-G83,$AJ83-SUM($M83:P83)))</f>
        <v/>
      </c>
      <c r="R83">
        <f>MAX(0,MIN(ROUND(AB82*(1+H$5),0)-H83,$AJ83-SUM($M83:Q83)))</f>
        <v/>
      </c>
      <c r="S83">
        <f>MAX(0,MIN(ROUND(AC82*(1+I$5),0)-I83,$AJ83-SUM($M83:R83)))</f>
        <v/>
      </c>
      <c r="T83">
        <f>MAX(0,MIN(ROUND(AD82*(1+J$5),0)-J83,$AJ83-SUM($M83:S83)))</f>
        <v/>
      </c>
      <c r="U83">
        <f>MAX(0,MIN(ROUND(AE82*(1+K$5),0)-K83,$AJ83-SUM($M83:T83)))</f>
        <v/>
      </c>
      <c r="V83">
        <f>MAX(0,MIN(ROUND(AF82*(1+L$5),0)-L83,$AJ83-SUM($M83:U83)))</f>
        <v/>
      </c>
      <c r="W83">
        <f>MAX(0,ROUND(W82*(1+C$5),0)-C83-M83)</f>
        <v/>
      </c>
      <c r="X83">
        <f>MAX(0,ROUND(X82*(1+D$5),0)-D83-N83)</f>
        <v/>
      </c>
      <c r="Y83">
        <f>MAX(0,ROUND(Y82*(1+E$5),0)-E83-O83)</f>
        <v/>
      </c>
      <c r="Z83">
        <f>MAX(0,ROUND(Z82*(1+F$5),0)-F83-P83)</f>
        <v/>
      </c>
      <c r="AA83">
        <f>MAX(0,ROUND(AA82*(1+G$5),0)-G83-Q83)</f>
        <v/>
      </c>
      <c r="AB83">
        <f>MAX(0,ROUND(AB82*(1+H$5),0)-H83-R83)</f>
        <v/>
      </c>
      <c r="AC83">
        <f>MAX(0,ROUND(AC82*(1+I$5),0)-I83-S83)</f>
        <v/>
      </c>
      <c r="AD83">
        <f>MAX(0,ROUND(AD82*(1+J$5),0)-J83-T83)</f>
        <v/>
      </c>
      <c r="AE83">
        <f>MAX(0,ROUND(AE82*(1+K$5),0)-K83-U83)</f>
        <v/>
      </c>
      <c r="AF83">
        <f>MAX(0,ROUND(AF82*(1+L$5),0)-L83-V83)</f>
        <v/>
      </c>
      <c r="AG83">
        <f>AH83-(AI82-AI83)</f>
        <v/>
      </c>
      <c r="AH83">
        <f>SUM(C83:V83)</f>
        <v/>
      </c>
      <c r="AI83">
        <f>SUM(W83:AF83)</f>
        <v/>
      </c>
      <c r="AJ83">
        <f>MAX(0,PresTot-SUM(C83:L83))</f>
        <v/>
      </c>
      <c r="AK83">
        <f>IF(AI82&lt;=0,0,11-SUMPRODUCT(MAX((W82:AF82&gt;0)*(11-(COLUMN(W82:AF82)-COLUMN($V82))))))</f>
        <v/>
      </c>
    </row>
    <row r="84">
      <c r="A84" t="n">
        <v>74</v>
      </c>
      <c r="B84">
        <f>DATE(YEAR(InicioEf),MONTH(InicioEf)+A84-1,1)</f>
        <v/>
      </c>
      <c r="C84">
        <f>MIN(C$6,ROUND(W83*(1+C$5),0))</f>
        <v/>
      </c>
      <c r="D84">
        <f>MIN(D$6,ROUND(X83*(1+D$5),0))</f>
        <v/>
      </c>
      <c r="E84">
        <f>MIN(E$6,ROUND(Y83*(1+E$5),0))</f>
        <v/>
      </c>
      <c r="F84">
        <f>MIN(F$6,ROUND(Z83*(1+F$5),0))</f>
        <v/>
      </c>
      <c r="G84">
        <f>MIN(G$6,ROUND(AA83*(1+G$5),0))</f>
        <v/>
      </c>
      <c r="H84">
        <f>MIN(H$6,ROUND(AB83*(1+H$5),0))</f>
        <v/>
      </c>
      <c r="I84">
        <f>MIN(I$6,ROUND(AC83*(1+I$5),0))</f>
        <v/>
      </c>
      <c r="J84">
        <f>MIN(J$6,ROUND(AD83*(1+J$5),0))</f>
        <v/>
      </c>
      <c r="K84">
        <f>MIN(K$6,ROUND(AE83*(1+K$5),0))</f>
        <v/>
      </c>
      <c r="L84">
        <f>MIN(L$6,ROUND(AF83*(1+L$5),0))</f>
        <v/>
      </c>
      <c r="M84">
        <f>MAX(0,MIN(ROUND(W83*(1+C$5),0)-C84,$AJ84-0))</f>
        <v/>
      </c>
      <c r="N84">
        <f>MAX(0,MIN(ROUND(X83*(1+D$5),0)-D84,$AJ84-SUM($M84:M84)))</f>
        <v/>
      </c>
      <c r="O84">
        <f>MAX(0,MIN(ROUND(Y83*(1+E$5),0)-E84,$AJ84-SUM($M84:N84)))</f>
        <v/>
      </c>
      <c r="P84">
        <f>MAX(0,MIN(ROUND(Z83*(1+F$5),0)-F84,$AJ84-SUM($M84:O84)))</f>
        <v/>
      </c>
      <c r="Q84">
        <f>MAX(0,MIN(ROUND(AA83*(1+G$5),0)-G84,$AJ84-SUM($M84:P84)))</f>
        <v/>
      </c>
      <c r="R84">
        <f>MAX(0,MIN(ROUND(AB83*(1+H$5),0)-H84,$AJ84-SUM($M84:Q84)))</f>
        <v/>
      </c>
      <c r="S84">
        <f>MAX(0,MIN(ROUND(AC83*(1+I$5),0)-I84,$AJ84-SUM($M84:R84)))</f>
        <v/>
      </c>
      <c r="T84">
        <f>MAX(0,MIN(ROUND(AD83*(1+J$5),0)-J84,$AJ84-SUM($M84:S84)))</f>
        <v/>
      </c>
      <c r="U84">
        <f>MAX(0,MIN(ROUND(AE83*(1+K$5),0)-K84,$AJ84-SUM($M84:T84)))</f>
        <v/>
      </c>
      <c r="V84">
        <f>MAX(0,MIN(ROUND(AF83*(1+L$5),0)-L84,$AJ84-SUM($M84:U84)))</f>
        <v/>
      </c>
      <c r="W84">
        <f>MAX(0,ROUND(W83*(1+C$5),0)-C84-M84)</f>
        <v/>
      </c>
      <c r="X84">
        <f>MAX(0,ROUND(X83*(1+D$5),0)-D84-N84)</f>
        <v/>
      </c>
      <c r="Y84">
        <f>MAX(0,ROUND(Y83*(1+E$5),0)-E84-O84)</f>
        <v/>
      </c>
      <c r="Z84">
        <f>MAX(0,ROUND(Z83*(1+F$5),0)-F84-P84)</f>
        <v/>
      </c>
      <c r="AA84">
        <f>MAX(0,ROUND(AA83*(1+G$5),0)-G84-Q84)</f>
        <v/>
      </c>
      <c r="AB84">
        <f>MAX(0,ROUND(AB83*(1+H$5),0)-H84-R84)</f>
        <v/>
      </c>
      <c r="AC84">
        <f>MAX(0,ROUND(AC83*(1+I$5),0)-I84-S84)</f>
        <v/>
      </c>
      <c r="AD84">
        <f>MAX(0,ROUND(AD83*(1+J$5),0)-J84-T84)</f>
        <v/>
      </c>
      <c r="AE84">
        <f>MAX(0,ROUND(AE83*(1+K$5),0)-K84-U84)</f>
        <v/>
      </c>
      <c r="AF84">
        <f>MAX(0,ROUND(AF83*(1+L$5),0)-L84-V84)</f>
        <v/>
      </c>
      <c r="AG84">
        <f>AH84-(AI83-AI84)</f>
        <v/>
      </c>
      <c r="AH84">
        <f>SUM(C84:V84)</f>
        <v/>
      </c>
      <c r="AI84">
        <f>SUM(W84:AF84)</f>
        <v/>
      </c>
      <c r="AJ84">
        <f>MAX(0,PresTot-SUM(C84:L84))</f>
        <v/>
      </c>
      <c r="AK84">
        <f>IF(AI83&lt;=0,0,11-SUMPRODUCT(MAX((W83:AF83&gt;0)*(11-(COLUMN(W83:AF83)-COLUMN($V83))))))</f>
        <v/>
      </c>
    </row>
    <row r="85">
      <c r="A85" t="n">
        <v>75</v>
      </c>
      <c r="B85">
        <f>DATE(YEAR(InicioEf),MONTH(InicioEf)+A85-1,1)</f>
        <v/>
      </c>
      <c r="C85">
        <f>MIN(C$6,ROUND(W84*(1+C$5),0))</f>
        <v/>
      </c>
      <c r="D85">
        <f>MIN(D$6,ROUND(X84*(1+D$5),0))</f>
        <v/>
      </c>
      <c r="E85">
        <f>MIN(E$6,ROUND(Y84*(1+E$5),0))</f>
        <v/>
      </c>
      <c r="F85">
        <f>MIN(F$6,ROUND(Z84*(1+F$5),0))</f>
        <v/>
      </c>
      <c r="G85">
        <f>MIN(G$6,ROUND(AA84*(1+G$5),0))</f>
        <v/>
      </c>
      <c r="H85">
        <f>MIN(H$6,ROUND(AB84*(1+H$5),0))</f>
        <v/>
      </c>
      <c r="I85">
        <f>MIN(I$6,ROUND(AC84*(1+I$5),0))</f>
        <v/>
      </c>
      <c r="J85">
        <f>MIN(J$6,ROUND(AD84*(1+J$5),0))</f>
        <v/>
      </c>
      <c r="K85">
        <f>MIN(K$6,ROUND(AE84*(1+K$5),0))</f>
        <v/>
      </c>
      <c r="L85">
        <f>MIN(L$6,ROUND(AF84*(1+L$5),0))</f>
        <v/>
      </c>
      <c r="M85">
        <f>MAX(0,MIN(ROUND(W84*(1+C$5),0)-C85,$AJ85-0))</f>
        <v/>
      </c>
      <c r="N85">
        <f>MAX(0,MIN(ROUND(X84*(1+D$5),0)-D85,$AJ85-SUM($M85:M85)))</f>
        <v/>
      </c>
      <c r="O85">
        <f>MAX(0,MIN(ROUND(Y84*(1+E$5),0)-E85,$AJ85-SUM($M85:N85)))</f>
        <v/>
      </c>
      <c r="P85">
        <f>MAX(0,MIN(ROUND(Z84*(1+F$5),0)-F85,$AJ85-SUM($M85:O85)))</f>
        <v/>
      </c>
      <c r="Q85">
        <f>MAX(0,MIN(ROUND(AA84*(1+G$5),0)-G85,$AJ85-SUM($M85:P85)))</f>
        <v/>
      </c>
      <c r="R85">
        <f>MAX(0,MIN(ROUND(AB84*(1+H$5),0)-H85,$AJ85-SUM($M85:Q85)))</f>
        <v/>
      </c>
      <c r="S85">
        <f>MAX(0,MIN(ROUND(AC84*(1+I$5),0)-I85,$AJ85-SUM($M85:R85)))</f>
        <v/>
      </c>
      <c r="T85">
        <f>MAX(0,MIN(ROUND(AD84*(1+J$5),0)-J85,$AJ85-SUM($M85:S85)))</f>
        <v/>
      </c>
      <c r="U85">
        <f>MAX(0,MIN(ROUND(AE84*(1+K$5),0)-K85,$AJ85-SUM($M85:T85)))</f>
        <v/>
      </c>
      <c r="V85">
        <f>MAX(0,MIN(ROUND(AF84*(1+L$5),0)-L85,$AJ85-SUM($M85:U85)))</f>
        <v/>
      </c>
      <c r="W85">
        <f>MAX(0,ROUND(W84*(1+C$5),0)-C85-M85)</f>
        <v/>
      </c>
      <c r="X85">
        <f>MAX(0,ROUND(X84*(1+D$5),0)-D85-N85)</f>
        <v/>
      </c>
      <c r="Y85">
        <f>MAX(0,ROUND(Y84*(1+E$5),0)-E85-O85)</f>
        <v/>
      </c>
      <c r="Z85">
        <f>MAX(0,ROUND(Z84*(1+F$5),0)-F85-P85)</f>
        <v/>
      </c>
      <c r="AA85">
        <f>MAX(0,ROUND(AA84*(1+G$5),0)-G85-Q85)</f>
        <v/>
      </c>
      <c r="AB85">
        <f>MAX(0,ROUND(AB84*(1+H$5),0)-H85-R85)</f>
        <v/>
      </c>
      <c r="AC85">
        <f>MAX(0,ROUND(AC84*(1+I$5),0)-I85-S85)</f>
        <v/>
      </c>
      <c r="AD85">
        <f>MAX(0,ROUND(AD84*(1+J$5),0)-J85-T85)</f>
        <v/>
      </c>
      <c r="AE85">
        <f>MAX(0,ROUND(AE84*(1+K$5),0)-K85-U85)</f>
        <v/>
      </c>
      <c r="AF85">
        <f>MAX(0,ROUND(AF84*(1+L$5),0)-L85-V85)</f>
        <v/>
      </c>
      <c r="AG85">
        <f>AH85-(AI84-AI85)</f>
        <v/>
      </c>
      <c r="AH85">
        <f>SUM(C85:V85)</f>
        <v/>
      </c>
      <c r="AI85">
        <f>SUM(W85:AF85)</f>
        <v/>
      </c>
      <c r="AJ85">
        <f>MAX(0,PresTot-SUM(C85:L85))</f>
        <v/>
      </c>
      <c r="AK85">
        <f>IF(AI84&lt;=0,0,11-SUMPRODUCT(MAX((W84:AF84&gt;0)*(11-(COLUMN(W84:AF84)-COLUMN($V84))))))</f>
        <v/>
      </c>
    </row>
    <row r="86">
      <c r="A86" t="n">
        <v>76</v>
      </c>
      <c r="B86">
        <f>DATE(YEAR(InicioEf),MONTH(InicioEf)+A86-1,1)</f>
        <v/>
      </c>
      <c r="C86">
        <f>MIN(C$6,ROUND(W85*(1+C$5),0))</f>
        <v/>
      </c>
      <c r="D86">
        <f>MIN(D$6,ROUND(X85*(1+D$5),0))</f>
        <v/>
      </c>
      <c r="E86">
        <f>MIN(E$6,ROUND(Y85*(1+E$5),0))</f>
        <v/>
      </c>
      <c r="F86">
        <f>MIN(F$6,ROUND(Z85*(1+F$5),0))</f>
        <v/>
      </c>
      <c r="G86">
        <f>MIN(G$6,ROUND(AA85*(1+G$5),0))</f>
        <v/>
      </c>
      <c r="H86">
        <f>MIN(H$6,ROUND(AB85*(1+H$5),0))</f>
        <v/>
      </c>
      <c r="I86">
        <f>MIN(I$6,ROUND(AC85*(1+I$5),0))</f>
        <v/>
      </c>
      <c r="J86">
        <f>MIN(J$6,ROUND(AD85*(1+J$5),0))</f>
        <v/>
      </c>
      <c r="K86">
        <f>MIN(K$6,ROUND(AE85*(1+K$5),0))</f>
        <v/>
      </c>
      <c r="L86">
        <f>MIN(L$6,ROUND(AF85*(1+L$5),0))</f>
        <v/>
      </c>
      <c r="M86">
        <f>MAX(0,MIN(ROUND(W85*(1+C$5),0)-C86,$AJ86-0))</f>
        <v/>
      </c>
      <c r="N86">
        <f>MAX(0,MIN(ROUND(X85*(1+D$5),0)-D86,$AJ86-SUM($M86:M86)))</f>
        <v/>
      </c>
      <c r="O86">
        <f>MAX(0,MIN(ROUND(Y85*(1+E$5),0)-E86,$AJ86-SUM($M86:N86)))</f>
        <v/>
      </c>
      <c r="P86">
        <f>MAX(0,MIN(ROUND(Z85*(1+F$5),0)-F86,$AJ86-SUM($M86:O86)))</f>
        <v/>
      </c>
      <c r="Q86">
        <f>MAX(0,MIN(ROUND(AA85*(1+G$5),0)-G86,$AJ86-SUM($M86:P86)))</f>
        <v/>
      </c>
      <c r="R86">
        <f>MAX(0,MIN(ROUND(AB85*(1+H$5),0)-H86,$AJ86-SUM($M86:Q86)))</f>
        <v/>
      </c>
      <c r="S86">
        <f>MAX(0,MIN(ROUND(AC85*(1+I$5),0)-I86,$AJ86-SUM($M86:R86)))</f>
        <v/>
      </c>
      <c r="T86">
        <f>MAX(0,MIN(ROUND(AD85*(1+J$5),0)-J86,$AJ86-SUM($M86:S86)))</f>
        <v/>
      </c>
      <c r="U86">
        <f>MAX(0,MIN(ROUND(AE85*(1+K$5),0)-K86,$AJ86-SUM($M86:T86)))</f>
        <v/>
      </c>
      <c r="V86">
        <f>MAX(0,MIN(ROUND(AF85*(1+L$5),0)-L86,$AJ86-SUM($M86:U86)))</f>
        <v/>
      </c>
      <c r="W86">
        <f>MAX(0,ROUND(W85*(1+C$5),0)-C86-M86)</f>
        <v/>
      </c>
      <c r="X86">
        <f>MAX(0,ROUND(X85*(1+D$5),0)-D86-N86)</f>
        <v/>
      </c>
      <c r="Y86">
        <f>MAX(0,ROUND(Y85*(1+E$5),0)-E86-O86)</f>
        <v/>
      </c>
      <c r="Z86">
        <f>MAX(0,ROUND(Z85*(1+F$5),0)-F86-P86)</f>
        <v/>
      </c>
      <c r="AA86">
        <f>MAX(0,ROUND(AA85*(1+G$5),0)-G86-Q86)</f>
        <v/>
      </c>
      <c r="AB86">
        <f>MAX(0,ROUND(AB85*(1+H$5),0)-H86-R86)</f>
        <v/>
      </c>
      <c r="AC86">
        <f>MAX(0,ROUND(AC85*(1+I$5),0)-I86-S86)</f>
        <v/>
      </c>
      <c r="AD86">
        <f>MAX(0,ROUND(AD85*(1+J$5),0)-J86-T86)</f>
        <v/>
      </c>
      <c r="AE86">
        <f>MAX(0,ROUND(AE85*(1+K$5),0)-K86-U86)</f>
        <v/>
      </c>
      <c r="AF86">
        <f>MAX(0,ROUND(AF85*(1+L$5),0)-L86-V86)</f>
        <v/>
      </c>
      <c r="AG86">
        <f>AH86-(AI85-AI86)</f>
        <v/>
      </c>
      <c r="AH86">
        <f>SUM(C86:V86)</f>
        <v/>
      </c>
      <c r="AI86">
        <f>SUM(W86:AF86)</f>
        <v/>
      </c>
      <c r="AJ86">
        <f>MAX(0,PresTot-SUM(C86:L86))</f>
        <v/>
      </c>
      <c r="AK86">
        <f>IF(AI85&lt;=0,0,11-SUMPRODUCT(MAX((W85:AF85&gt;0)*(11-(COLUMN(W85:AF85)-COLUMN($V85))))))</f>
        <v/>
      </c>
    </row>
    <row r="87">
      <c r="A87" t="n">
        <v>77</v>
      </c>
      <c r="B87">
        <f>DATE(YEAR(InicioEf),MONTH(InicioEf)+A87-1,1)</f>
        <v/>
      </c>
      <c r="C87">
        <f>MIN(C$6,ROUND(W86*(1+C$5),0))</f>
        <v/>
      </c>
      <c r="D87">
        <f>MIN(D$6,ROUND(X86*(1+D$5),0))</f>
        <v/>
      </c>
      <c r="E87">
        <f>MIN(E$6,ROUND(Y86*(1+E$5),0))</f>
        <v/>
      </c>
      <c r="F87">
        <f>MIN(F$6,ROUND(Z86*(1+F$5),0))</f>
        <v/>
      </c>
      <c r="G87">
        <f>MIN(G$6,ROUND(AA86*(1+G$5),0))</f>
        <v/>
      </c>
      <c r="H87">
        <f>MIN(H$6,ROUND(AB86*(1+H$5),0))</f>
        <v/>
      </c>
      <c r="I87">
        <f>MIN(I$6,ROUND(AC86*(1+I$5),0))</f>
        <v/>
      </c>
      <c r="J87">
        <f>MIN(J$6,ROUND(AD86*(1+J$5),0))</f>
        <v/>
      </c>
      <c r="K87">
        <f>MIN(K$6,ROUND(AE86*(1+K$5),0))</f>
        <v/>
      </c>
      <c r="L87">
        <f>MIN(L$6,ROUND(AF86*(1+L$5),0))</f>
        <v/>
      </c>
      <c r="M87">
        <f>MAX(0,MIN(ROUND(W86*(1+C$5),0)-C87,$AJ87-0))</f>
        <v/>
      </c>
      <c r="N87">
        <f>MAX(0,MIN(ROUND(X86*(1+D$5),0)-D87,$AJ87-SUM($M87:M87)))</f>
        <v/>
      </c>
      <c r="O87">
        <f>MAX(0,MIN(ROUND(Y86*(1+E$5),0)-E87,$AJ87-SUM($M87:N87)))</f>
        <v/>
      </c>
      <c r="P87">
        <f>MAX(0,MIN(ROUND(Z86*(1+F$5),0)-F87,$AJ87-SUM($M87:O87)))</f>
        <v/>
      </c>
      <c r="Q87">
        <f>MAX(0,MIN(ROUND(AA86*(1+G$5),0)-G87,$AJ87-SUM($M87:P87)))</f>
        <v/>
      </c>
      <c r="R87">
        <f>MAX(0,MIN(ROUND(AB86*(1+H$5),0)-H87,$AJ87-SUM($M87:Q87)))</f>
        <v/>
      </c>
      <c r="S87">
        <f>MAX(0,MIN(ROUND(AC86*(1+I$5),0)-I87,$AJ87-SUM($M87:R87)))</f>
        <v/>
      </c>
      <c r="T87">
        <f>MAX(0,MIN(ROUND(AD86*(1+J$5),0)-J87,$AJ87-SUM($M87:S87)))</f>
        <v/>
      </c>
      <c r="U87">
        <f>MAX(0,MIN(ROUND(AE86*(1+K$5),0)-K87,$AJ87-SUM($M87:T87)))</f>
        <v/>
      </c>
      <c r="V87">
        <f>MAX(0,MIN(ROUND(AF86*(1+L$5),0)-L87,$AJ87-SUM($M87:U87)))</f>
        <v/>
      </c>
      <c r="W87">
        <f>MAX(0,ROUND(W86*(1+C$5),0)-C87-M87)</f>
        <v/>
      </c>
      <c r="X87">
        <f>MAX(0,ROUND(X86*(1+D$5),0)-D87-N87)</f>
        <v/>
      </c>
      <c r="Y87">
        <f>MAX(0,ROUND(Y86*(1+E$5),0)-E87-O87)</f>
        <v/>
      </c>
      <c r="Z87">
        <f>MAX(0,ROUND(Z86*(1+F$5),0)-F87-P87)</f>
        <v/>
      </c>
      <c r="AA87">
        <f>MAX(0,ROUND(AA86*(1+G$5),0)-G87-Q87)</f>
        <v/>
      </c>
      <c r="AB87">
        <f>MAX(0,ROUND(AB86*(1+H$5),0)-H87-R87)</f>
        <v/>
      </c>
      <c r="AC87">
        <f>MAX(0,ROUND(AC86*(1+I$5),0)-I87-S87)</f>
        <v/>
      </c>
      <c r="AD87">
        <f>MAX(0,ROUND(AD86*(1+J$5),0)-J87-T87)</f>
        <v/>
      </c>
      <c r="AE87">
        <f>MAX(0,ROUND(AE86*(1+K$5),0)-K87-U87)</f>
        <v/>
      </c>
      <c r="AF87">
        <f>MAX(0,ROUND(AF86*(1+L$5),0)-L87-V87)</f>
        <v/>
      </c>
      <c r="AG87">
        <f>AH87-(AI86-AI87)</f>
        <v/>
      </c>
      <c r="AH87">
        <f>SUM(C87:V87)</f>
        <v/>
      </c>
      <c r="AI87">
        <f>SUM(W87:AF87)</f>
        <v/>
      </c>
      <c r="AJ87">
        <f>MAX(0,PresTot-SUM(C87:L87))</f>
        <v/>
      </c>
      <c r="AK87">
        <f>IF(AI86&lt;=0,0,11-SUMPRODUCT(MAX((W86:AF86&gt;0)*(11-(COLUMN(W86:AF86)-COLUMN($V86))))))</f>
        <v/>
      </c>
    </row>
    <row r="88">
      <c r="A88" t="n">
        <v>78</v>
      </c>
      <c r="B88">
        <f>DATE(YEAR(InicioEf),MONTH(InicioEf)+A88-1,1)</f>
        <v/>
      </c>
      <c r="C88">
        <f>MIN(C$6,ROUND(W87*(1+C$5),0))</f>
        <v/>
      </c>
      <c r="D88">
        <f>MIN(D$6,ROUND(X87*(1+D$5),0))</f>
        <v/>
      </c>
      <c r="E88">
        <f>MIN(E$6,ROUND(Y87*(1+E$5),0))</f>
        <v/>
      </c>
      <c r="F88">
        <f>MIN(F$6,ROUND(Z87*(1+F$5),0))</f>
        <v/>
      </c>
      <c r="G88">
        <f>MIN(G$6,ROUND(AA87*(1+G$5),0))</f>
        <v/>
      </c>
      <c r="H88">
        <f>MIN(H$6,ROUND(AB87*(1+H$5),0))</f>
        <v/>
      </c>
      <c r="I88">
        <f>MIN(I$6,ROUND(AC87*(1+I$5),0))</f>
        <v/>
      </c>
      <c r="J88">
        <f>MIN(J$6,ROUND(AD87*(1+J$5),0))</f>
        <v/>
      </c>
      <c r="K88">
        <f>MIN(K$6,ROUND(AE87*(1+K$5),0))</f>
        <v/>
      </c>
      <c r="L88">
        <f>MIN(L$6,ROUND(AF87*(1+L$5),0))</f>
        <v/>
      </c>
      <c r="M88">
        <f>MAX(0,MIN(ROUND(W87*(1+C$5),0)-C88,$AJ88-0))</f>
        <v/>
      </c>
      <c r="N88">
        <f>MAX(0,MIN(ROUND(X87*(1+D$5),0)-D88,$AJ88-SUM($M88:M88)))</f>
        <v/>
      </c>
      <c r="O88">
        <f>MAX(0,MIN(ROUND(Y87*(1+E$5),0)-E88,$AJ88-SUM($M88:N88)))</f>
        <v/>
      </c>
      <c r="P88">
        <f>MAX(0,MIN(ROUND(Z87*(1+F$5),0)-F88,$AJ88-SUM($M88:O88)))</f>
        <v/>
      </c>
      <c r="Q88">
        <f>MAX(0,MIN(ROUND(AA87*(1+G$5),0)-G88,$AJ88-SUM($M88:P88)))</f>
        <v/>
      </c>
      <c r="R88">
        <f>MAX(0,MIN(ROUND(AB87*(1+H$5),0)-H88,$AJ88-SUM($M88:Q88)))</f>
        <v/>
      </c>
      <c r="S88">
        <f>MAX(0,MIN(ROUND(AC87*(1+I$5),0)-I88,$AJ88-SUM($M88:R88)))</f>
        <v/>
      </c>
      <c r="T88">
        <f>MAX(0,MIN(ROUND(AD87*(1+J$5),0)-J88,$AJ88-SUM($M88:S88)))</f>
        <v/>
      </c>
      <c r="U88">
        <f>MAX(0,MIN(ROUND(AE87*(1+K$5),0)-K88,$AJ88-SUM($M88:T88)))</f>
        <v/>
      </c>
      <c r="V88">
        <f>MAX(0,MIN(ROUND(AF87*(1+L$5),0)-L88,$AJ88-SUM($M88:U88)))</f>
        <v/>
      </c>
      <c r="W88">
        <f>MAX(0,ROUND(W87*(1+C$5),0)-C88-M88)</f>
        <v/>
      </c>
      <c r="X88">
        <f>MAX(0,ROUND(X87*(1+D$5),0)-D88-N88)</f>
        <v/>
      </c>
      <c r="Y88">
        <f>MAX(0,ROUND(Y87*(1+E$5),0)-E88-O88)</f>
        <v/>
      </c>
      <c r="Z88">
        <f>MAX(0,ROUND(Z87*(1+F$5),0)-F88-P88)</f>
        <v/>
      </c>
      <c r="AA88">
        <f>MAX(0,ROUND(AA87*(1+G$5),0)-G88-Q88)</f>
        <v/>
      </c>
      <c r="AB88">
        <f>MAX(0,ROUND(AB87*(1+H$5),0)-H88-R88)</f>
        <v/>
      </c>
      <c r="AC88">
        <f>MAX(0,ROUND(AC87*(1+I$5),0)-I88-S88)</f>
        <v/>
      </c>
      <c r="AD88">
        <f>MAX(0,ROUND(AD87*(1+J$5),0)-J88-T88)</f>
        <v/>
      </c>
      <c r="AE88">
        <f>MAX(0,ROUND(AE87*(1+K$5),0)-K88-U88)</f>
        <v/>
      </c>
      <c r="AF88">
        <f>MAX(0,ROUND(AF87*(1+L$5),0)-L88-V88)</f>
        <v/>
      </c>
      <c r="AG88">
        <f>AH88-(AI87-AI88)</f>
        <v/>
      </c>
      <c r="AH88">
        <f>SUM(C88:V88)</f>
        <v/>
      </c>
      <c r="AI88">
        <f>SUM(W88:AF88)</f>
        <v/>
      </c>
      <c r="AJ88">
        <f>MAX(0,PresTot-SUM(C88:L88))</f>
        <v/>
      </c>
      <c r="AK88">
        <f>IF(AI87&lt;=0,0,11-SUMPRODUCT(MAX((W87:AF87&gt;0)*(11-(COLUMN(W87:AF87)-COLUMN($V87))))))</f>
        <v/>
      </c>
    </row>
    <row r="89">
      <c r="A89" t="n">
        <v>79</v>
      </c>
      <c r="B89">
        <f>DATE(YEAR(InicioEf),MONTH(InicioEf)+A89-1,1)</f>
        <v/>
      </c>
      <c r="C89">
        <f>MIN(C$6,ROUND(W88*(1+C$5),0))</f>
        <v/>
      </c>
      <c r="D89">
        <f>MIN(D$6,ROUND(X88*(1+D$5),0))</f>
        <v/>
      </c>
      <c r="E89">
        <f>MIN(E$6,ROUND(Y88*(1+E$5),0))</f>
        <v/>
      </c>
      <c r="F89">
        <f>MIN(F$6,ROUND(Z88*(1+F$5),0))</f>
        <v/>
      </c>
      <c r="G89">
        <f>MIN(G$6,ROUND(AA88*(1+G$5),0))</f>
        <v/>
      </c>
      <c r="H89">
        <f>MIN(H$6,ROUND(AB88*(1+H$5),0))</f>
        <v/>
      </c>
      <c r="I89">
        <f>MIN(I$6,ROUND(AC88*(1+I$5),0))</f>
        <v/>
      </c>
      <c r="J89">
        <f>MIN(J$6,ROUND(AD88*(1+J$5),0))</f>
        <v/>
      </c>
      <c r="K89">
        <f>MIN(K$6,ROUND(AE88*(1+K$5),0))</f>
        <v/>
      </c>
      <c r="L89">
        <f>MIN(L$6,ROUND(AF88*(1+L$5),0))</f>
        <v/>
      </c>
      <c r="M89">
        <f>MAX(0,MIN(ROUND(W88*(1+C$5),0)-C89,$AJ89-0))</f>
        <v/>
      </c>
      <c r="N89">
        <f>MAX(0,MIN(ROUND(X88*(1+D$5),0)-D89,$AJ89-SUM($M89:M89)))</f>
        <v/>
      </c>
      <c r="O89">
        <f>MAX(0,MIN(ROUND(Y88*(1+E$5),0)-E89,$AJ89-SUM($M89:N89)))</f>
        <v/>
      </c>
      <c r="P89">
        <f>MAX(0,MIN(ROUND(Z88*(1+F$5),0)-F89,$AJ89-SUM($M89:O89)))</f>
        <v/>
      </c>
      <c r="Q89">
        <f>MAX(0,MIN(ROUND(AA88*(1+G$5),0)-G89,$AJ89-SUM($M89:P89)))</f>
        <v/>
      </c>
      <c r="R89">
        <f>MAX(0,MIN(ROUND(AB88*(1+H$5),0)-H89,$AJ89-SUM($M89:Q89)))</f>
        <v/>
      </c>
      <c r="S89">
        <f>MAX(0,MIN(ROUND(AC88*(1+I$5),0)-I89,$AJ89-SUM($M89:R89)))</f>
        <v/>
      </c>
      <c r="T89">
        <f>MAX(0,MIN(ROUND(AD88*(1+J$5),0)-J89,$AJ89-SUM($M89:S89)))</f>
        <v/>
      </c>
      <c r="U89">
        <f>MAX(0,MIN(ROUND(AE88*(1+K$5),0)-K89,$AJ89-SUM($M89:T89)))</f>
        <v/>
      </c>
      <c r="V89">
        <f>MAX(0,MIN(ROUND(AF88*(1+L$5),0)-L89,$AJ89-SUM($M89:U89)))</f>
        <v/>
      </c>
      <c r="W89">
        <f>MAX(0,ROUND(W88*(1+C$5),0)-C89-M89)</f>
        <v/>
      </c>
      <c r="X89">
        <f>MAX(0,ROUND(X88*(1+D$5),0)-D89-N89)</f>
        <v/>
      </c>
      <c r="Y89">
        <f>MAX(0,ROUND(Y88*(1+E$5),0)-E89-O89)</f>
        <v/>
      </c>
      <c r="Z89">
        <f>MAX(0,ROUND(Z88*(1+F$5),0)-F89-P89)</f>
        <v/>
      </c>
      <c r="AA89">
        <f>MAX(0,ROUND(AA88*(1+G$5),0)-G89-Q89)</f>
        <v/>
      </c>
      <c r="AB89">
        <f>MAX(0,ROUND(AB88*(1+H$5),0)-H89-R89)</f>
        <v/>
      </c>
      <c r="AC89">
        <f>MAX(0,ROUND(AC88*(1+I$5),0)-I89-S89)</f>
        <v/>
      </c>
      <c r="AD89">
        <f>MAX(0,ROUND(AD88*(1+J$5),0)-J89-T89)</f>
        <v/>
      </c>
      <c r="AE89">
        <f>MAX(0,ROUND(AE88*(1+K$5),0)-K89-U89)</f>
        <v/>
      </c>
      <c r="AF89">
        <f>MAX(0,ROUND(AF88*(1+L$5),0)-L89-V89)</f>
        <v/>
      </c>
      <c r="AG89">
        <f>AH89-(AI88-AI89)</f>
        <v/>
      </c>
      <c r="AH89">
        <f>SUM(C89:V89)</f>
        <v/>
      </c>
      <c r="AI89">
        <f>SUM(W89:AF89)</f>
        <v/>
      </c>
      <c r="AJ89">
        <f>MAX(0,PresTot-SUM(C89:L89))</f>
        <v/>
      </c>
      <c r="AK89">
        <f>IF(AI88&lt;=0,0,11-SUMPRODUCT(MAX((W88:AF88&gt;0)*(11-(COLUMN(W88:AF88)-COLUMN($V88))))))</f>
        <v/>
      </c>
    </row>
    <row r="90">
      <c r="A90" t="n">
        <v>80</v>
      </c>
      <c r="B90">
        <f>DATE(YEAR(InicioEf),MONTH(InicioEf)+A90-1,1)</f>
        <v/>
      </c>
      <c r="C90">
        <f>MIN(C$6,ROUND(W89*(1+C$5),0))</f>
        <v/>
      </c>
      <c r="D90">
        <f>MIN(D$6,ROUND(X89*(1+D$5),0))</f>
        <v/>
      </c>
      <c r="E90">
        <f>MIN(E$6,ROUND(Y89*(1+E$5),0))</f>
        <v/>
      </c>
      <c r="F90">
        <f>MIN(F$6,ROUND(Z89*(1+F$5),0))</f>
        <v/>
      </c>
      <c r="G90">
        <f>MIN(G$6,ROUND(AA89*(1+G$5),0))</f>
        <v/>
      </c>
      <c r="H90">
        <f>MIN(H$6,ROUND(AB89*(1+H$5),0))</f>
        <v/>
      </c>
      <c r="I90">
        <f>MIN(I$6,ROUND(AC89*(1+I$5),0))</f>
        <v/>
      </c>
      <c r="J90">
        <f>MIN(J$6,ROUND(AD89*(1+J$5),0))</f>
        <v/>
      </c>
      <c r="K90">
        <f>MIN(K$6,ROUND(AE89*(1+K$5),0))</f>
        <v/>
      </c>
      <c r="L90">
        <f>MIN(L$6,ROUND(AF89*(1+L$5),0))</f>
        <v/>
      </c>
      <c r="M90">
        <f>MAX(0,MIN(ROUND(W89*(1+C$5),0)-C90,$AJ90-0))</f>
        <v/>
      </c>
      <c r="N90">
        <f>MAX(0,MIN(ROUND(X89*(1+D$5),0)-D90,$AJ90-SUM($M90:M90)))</f>
        <v/>
      </c>
      <c r="O90">
        <f>MAX(0,MIN(ROUND(Y89*(1+E$5),0)-E90,$AJ90-SUM($M90:N90)))</f>
        <v/>
      </c>
      <c r="P90">
        <f>MAX(0,MIN(ROUND(Z89*(1+F$5),0)-F90,$AJ90-SUM($M90:O90)))</f>
        <v/>
      </c>
      <c r="Q90">
        <f>MAX(0,MIN(ROUND(AA89*(1+G$5),0)-G90,$AJ90-SUM($M90:P90)))</f>
        <v/>
      </c>
      <c r="R90">
        <f>MAX(0,MIN(ROUND(AB89*(1+H$5),0)-H90,$AJ90-SUM($M90:Q90)))</f>
        <v/>
      </c>
      <c r="S90">
        <f>MAX(0,MIN(ROUND(AC89*(1+I$5),0)-I90,$AJ90-SUM($M90:R90)))</f>
        <v/>
      </c>
      <c r="T90">
        <f>MAX(0,MIN(ROUND(AD89*(1+J$5),0)-J90,$AJ90-SUM($M90:S90)))</f>
        <v/>
      </c>
      <c r="U90">
        <f>MAX(0,MIN(ROUND(AE89*(1+K$5),0)-K90,$AJ90-SUM($M90:T90)))</f>
        <v/>
      </c>
      <c r="V90">
        <f>MAX(0,MIN(ROUND(AF89*(1+L$5),0)-L90,$AJ90-SUM($M90:U90)))</f>
        <v/>
      </c>
      <c r="W90">
        <f>MAX(0,ROUND(W89*(1+C$5),0)-C90-M90)</f>
        <v/>
      </c>
      <c r="X90">
        <f>MAX(0,ROUND(X89*(1+D$5),0)-D90-N90)</f>
        <v/>
      </c>
      <c r="Y90">
        <f>MAX(0,ROUND(Y89*(1+E$5),0)-E90-O90)</f>
        <v/>
      </c>
      <c r="Z90">
        <f>MAX(0,ROUND(Z89*(1+F$5),0)-F90-P90)</f>
        <v/>
      </c>
      <c r="AA90">
        <f>MAX(0,ROUND(AA89*(1+G$5),0)-G90-Q90)</f>
        <v/>
      </c>
      <c r="AB90">
        <f>MAX(0,ROUND(AB89*(1+H$5),0)-H90-R90)</f>
        <v/>
      </c>
      <c r="AC90">
        <f>MAX(0,ROUND(AC89*(1+I$5),0)-I90-S90)</f>
        <v/>
      </c>
      <c r="AD90">
        <f>MAX(0,ROUND(AD89*(1+J$5),0)-J90-T90)</f>
        <v/>
      </c>
      <c r="AE90">
        <f>MAX(0,ROUND(AE89*(1+K$5),0)-K90-U90)</f>
        <v/>
      </c>
      <c r="AF90">
        <f>MAX(0,ROUND(AF89*(1+L$5),0)-L90-V90)</f>
        <v/>
      </c>
      <c r="AG90">
        <f>AH90-(AI89-AI90)</f>
        <v/>
      </c>
      <c r="AH90">
        <f>SUM(C90:V90)</f>
        <v/>
      </c>
      <c r="AI90">
        <f>SUM(W90:AF90)</f>
        <v/>
      </c>
      <c r="AJ90">
        <f>MAX(0,PresTot-SUM(C90:L90))</f>
        <v/>
      </c>
      <c r="AK90">
        <f>IF(AI89&lt;=0,0,11-SUMPRODUCT(MAX((W89:AF89&gt;0)*(11-(COLUMN(W89:AF89)-COLUMN($V89))))))</f>
        <v/>
      </c>
    </row>
    <row r="91">
      <c r="A91" t="n">
        <v>81</v>
      </c>
      <c r="B91">
        <f>DATE(YEAR(InicioEf),MONTH(InicioEf)+A91-1,1)</f>
        <v/>
      </c>
      <c r="C91">
        <f>MIN(C$6,ROUND(W90*(1+C$5),0))</f>
        <v/>
      </c>
      <c r="D91">
        <f>MIN(D$6,ROUND(X90*(1+D$5),0))</f>
        <v/>
      </c>
      <c r="E91">
        <f>MIN(E$6,ROUND(Y90*(1+E$5),0))</f>
        <v/>
      </c>
      <c r="F91">
        <f>MIN(F$6,ROUND(Z90*(1+F$5),0))</f>
        <v/>
      </c>
      <c r="G91">
        <f>MIN(G$6,ROUND(AA90*(1+G$5),0))</f>
        <v/>
      </c>
      <c r="H91">
        <f>MIN(H$6,ROUND(AB90*(1+H$5),0))</f>
        <v/>
      </c>
      <c r="I91">
        <f>MIN(I$6,ROUND(AC90*(1+I$5),0))</f>
        <v/>
      </c>
      <c r="J91">
        <f>MIN(J$6,ROUND(AD90*(1+J$5),0))</f>
        <v/>
      </c>
      <c r="K91">
        <f>MIN(K$6,ROUND(AE90*(1+K$5),0))</f>
        <v/>
      </c>
      <c r="L91">
        <f>MIN(L$6,ROUND(AF90*(1+L$5),0))</f>
        <v/>
      </c>
      <c r="M91">
        <f>MAX(0,MIN(ROUND(W90*(1+C$5),0)-C91,$AJ91-0))</f>
        <v/>
      </c>
      <c r="N91">
        <f>MAX(0,MIN(ROUND(X90*(1+D$5),0)-D91,$AJ91-SUM($M91:M91)))</f>
        <v/>
      </c>
      <c r="O91">
        <f>MAX(0,MIN(ROUND(Y90*(1+E$5),0)-E91,$AJ91-SUM($M91:N91)))</f>
        <v/>
      </c>
      <c r="P91">
        <f>MAX(0,MIN(ROUND(Z90*(1+F$5),0)-F91,$AJ91-SUM($M91:O91)))</f>
        <v/>
      </c>
      <c r="Q91">
        <f>MAX(0,MIN(ROUND(AA90*(1+G$5),0)-G91,$AJ91-SUM($M91:P91)))</f>
        <v/>
      </c>
      <c r="R91">
        <f>MAX(0,MIN(ROUND(AB90*(1+H$5),0)-H91,$AJ91-SUM($M91:Q91)))</f>
        <v/>
      </c>
      <c r="S91">
        <f>MAX(0,MIN(ROUND(AC90*(1+I$5),0)-I91,$AJ91-SUM($M91:R91)))</f>
        <v/>
      </c>
      <c r="T91">
        <f>MAX(0,MIN(ROUND(AD90*(1+J$5),0)-J91,$AJ91-SUM($M91:S91)))</f>
        <v/>
      </c>
      <c r="U91">
        <f>MAX(0,MIN(ROUND(AE90*(1+K$5),0)-K91,$AJ91-SUM($M91:T91)))</f>
        <v/>
      </c>
      <c r="V91">
        <f>MAX(0,MIN(ROUND(AF90*(1+L$5),0)-L91,$AJ91-SUM($M91:U91)))</f>
        <v/>
      </c>
      <c r="W91">
        <f>MAX(0,ROUND(W90*(1+C$5),0)-C91-M91)</f>
        <v/>
      </c>
      <c r="X91">
        <f>MAX(0,ROUND(X90*(1+D$5),0)-D91-N91)</f>
        <v/>
      </c>
      <c r="Y91">
        <f>MAX(0,ROUND(Y90*(1+E$5),0)-E91-O91)</f>
        <v/>
      </c>
      <c r="Z91">
        <f>MAX(0,ROUND(Z90*(1+F$5),0)-F91-P91)</f>
        <v/>
      </c>
      <c r="AA91">
        <f>MAX(0,ROUND(AA90*(1+G$5),0)-G91-Q91)</f>
        <v/>
      </c>
      <c r="AB91">
        <f>MAX(0,ROUND(AB90*(1+H$5),0)-H91-R91)</f>
        <v/>
      </c>
      <c r="AC91">
        <f>MAX(0,ROUND(AC90*(1+I$5),0)-I91-S91)</f>
        <v/>
      </c>
      <c r="AD91">
        <f>MAX(0,ROUND(AD90*(1+J$5),0)-J91-T91)</f>
        <v/>
      </c>
      <c r="AE91">
        <f>MAX(0,ROUND(AE90*(1+K$5),0)-K91-U91)</f>
        <v/>
      </c>
      <c r="AF91">
        <f>MAX(0,ROUND(AF90*(1+L$5),0)-L91-V91)</f>
        <v/>
      </c>
      <c r="AG91">
        <f>AH91-(AI90-AI91)</f>
        <v/>
      </c>
      <c r="AH91">
        <f>SUM(C91:V91)</f>
        <v/>
      </c>
      <c r="AI91">
        <f>SUM(W91:AF91)</f>
        <v/>
      </c>
      <c r="AJ91">
        <f>MAX(0,PresTot-SUM(C91:L91))</f>
        <v/>
      </c>
      <c r="AK91">
        <f>IF(AI90&lt;=0,0,11-SUMPRODUCT(MAX((W90:AF90&gt;0)*(11-(COLUMN(W90:AF90)-COLUMN($V90))))))</f>
        <v/>
      </c>
    </row>
    <row r="92">
      <c r="A92" t="n">
        <v>82</v>
      </c>
      <c r="B92">
        <f>DATE(YEAR(InicioEf),MONTH(InicioEf)+A92-1,1)</f>
        <v/>
      </c>
      <c r="C92">
        <f>MIN(C$6,ROUND(W91*(1+C$5),0))</f>
        <v/>
      </c>
      <c r="D92">
        <f>MIN(D$6,ROUND(X91*(1+D$5),0))</f>
        <v/>
      </c>
      <c r="E92">
        <f>MIN(E$6,ROUND(Y91*(1+E$5),0))</f>
        <v/>
      </c>
      <c r="F92">
        <f>MIN(F$6,ROUND(Z91*(1+F$5),0))</f>
        <v/>
      </c>
      <c r="G92">
        <f>MIN(G$6,ROUND(AA91*(1+G$5),0))</f>
        <v/>
      </c>
      <c r="H92">
        <f>MIN(H$6,ROUND(AB91*(1+H$5),0))</f>
        <v/>
      </c>
      <c r="I92">
        <f>MIN(I$6,ROUND(AC91*(1+I$5),0))</f>
        <v/>
      </c>
      <c r="J92">
        <f>MIN(J$6,ROUND(AD91*(1+J$5),0))</f>
        <v/>
      </c>
      <c r="K92">
        <f>MIN(K$6,ROUND(AE91*(1+K$5),0))</f>
        <v/>
      </c>
      <c r="L92">
        <f>MIN(L$6,ROUND(AF91*(1+L$5),0))</f>
        <v/>
      </c>
      <c r="M92">
        <f>MAX(0,MIN(ROUND(W91*(1+C$5),0)-C92,$AJ92-0))</f>
        <v/>
      </c>
      <c r="N92">
        <f>MAX(0,MIN(ROUND(X91*(1+D$5),0)-D92,$AJ92-SUM($M92:M92)))</f>
        <v/>
      </c>
      <c r="O92">
        <f>MAX(0,MIN(ROUND(Y91*(1+E$5),0)-E92,$AJ92-SUM($M92:N92)))</f>
        <v/>
      </c>
      <c r="P92">
        <f>MAX(0,MIN(ROUND(Z91*(1+F$5),0)-F92,$AJ92-SUM($M92:O92)))</f>
        <v/>
      </c>
      <c r="Q92">
        <f>MAX(0,MIN(ROUND(AA91*(1+G$5),0)-G92,$AJ92-SUM($M92:P92)))</f>
        <v/>
      </c>
      <c r="R92">
        <f>MAX(0,MIN(ROUND(AB91*(1+H$5),0)-H92,$AJ92-SUM($M92:Q92)))</f>
        <v/>
      </c>
      <c r="S92">
        <f>MAX(0,MIN(ROUND(AC91*(1+I$5),0)-I92,$AJ92-SUM($M92:R92)))</f>
        <v/>
      </c>
      <c r="T92">
        <f>MAX(0,MIN(ROUND(AD91*(1+J$5),0)-J92,$AJ92-SUM($M92:S92)))</f>
        <v/>
      </c>
      <c r="U92">
        <f>MAX(0,MIN(ROUND(AE91*(1+K$5),0)-K92,$AJ92-SUM($M92:T92)))</f>
        <v/>
      </c>
      <c r="V92">
        <f>MAX(0,MIN(ROUND(AF91*(1+L$5),0)-L92,$AJ92-SUM($M92:U92)))</f>
        <v/>
      </c>
      <c r="W92">
        <f>MAX(0,ROUND(W91*(1+C$5),0)-C92-M92)</f>
        <v/>
      </c>
      <c r="X92">
        <f>MAX(0,ROUND(X91*(1+D$5),0)-D92-N92)</f>
        <v/>
      </c>
      <c r="Y92">
        <f>MAX(0,ROUND(Y91*(1+E$5),0)-E92-O92)</f>
        <v/>
      </c>
      <c r="Z92">
        <f>MAX(0,ROUND(Z91*(1+F$5),0)-F92-P92)</f>
        <v/>
      </c>
      <c r="AA92">
        <f>MAX(0,ROUND(AA91*(1+G$5),0)-G92-Q92)</f>
        <v/>
      </c>
      <c r="AB92">
        <f>MAX(0,ROUND(AB91*(1+H$5),0)-H92-R92)</f>
        <v/>
      </c>
      <c r="AC92">
        <f>MAX(0,ROUND(AC91*(1+I$5),0)-I92-S92)</f>
        <v/>
      </c>
      <c r="AD92">
        <f>MAX(0,ROUND(AD91*(1+J$5),0)-J92-T92)</f>
        <v/>
      </c>
      <c r="AE92">
        <f>MAX(0,ROUND(AE91*(1+K$5),0)-K92-U92)</f>
        <v/>
      </c>
      <c r="AF92">
        <f>MAX(0,ROUND(AF91*(1+L$5),0)-L92-V92)</f>
        <v/>
      </c>
      <c r="AG92">
        <f>AH92-(AI91-AI92)</f>
        <v/>
      </c>
      <c r="AH92">
        <f>SUM(C92:V92)</f>
        <v/>
      </c>
      <c r="AI92">
        <f>SUM(W92:AF92)</f>
        <v/>
      </c>
      <c r="AJ92">
        <f>MAX(0,PresTot-SUM(C92:L92))</f>
        <v/>
      </c>
      <c r="AK92">
        <f>IF(AI91&lt;=0,0,11-SUMPRODUCT(MAX((W91:AF91&gt;0)*(11-(COLUMN(W91:AF91)-COLUMN($V91))))))</f>
        <v/>
      </c>
    </row>
    <row r="93">
      <c r="A93" t="n">
        <v>83</v>
      </c>
      <c r="B93">
        <f>DATE(YEAR(InicioEf),MONTH(InicioEf)+A93-1,1)</f>
        <v/>
      </c>
      <c r="C93">
        <f>MIN(C$6,ROUND(W92*(1+C$5),0))</f>
        <v/>
      </c>
      <c r="D93">
        <f>MIN(D$6,ROUND(X92*(1+D$5),0))</f>
        <v/>
      </c>
      <c r="E93">
        <f>MIN(E$6,ROUND(Y92*(1+E$5),0))</f>
        <v/>
      </c>
      <c r="F93">
        <f>MIN(F$6,ROUND(Z92*(1+F$5),0))</f>
        <v/>
      </c>
      <c r="G93">
        <f>MIN(G$6,ROUND(AA92*(1+G$5),0))</f>
        <v/>
      </c>
      <c r="H93">
        <f>MIN(H$6,ROUND(AB92*(1+H$5),0))</f>
        <v/>
      </c>
      <c r="I93">
        <f>MIN(I$6,ROUND(AC92*(1+I$5),0))</f>
        <v/>
      </c>
      <c r="J93">
        <f>MIN(J$6,ROUND(AD92*(1+J$5),0))</f>
        <v/>
      </c>
      <c r="K93">
        <f>MIN(K$6,ROUND(AE92*(1+K$5),0))</f>
        <v/>
      </c>
      <c r="L93">
        <f>MIN(L$6,ROUND(AF92*(1+L$5),0))</f>
        <v/>
      </c>
      <c r="M93">
        <f>MAX(0,MIN(ROUND(W92*(1+C$5),0)-C93,$AJ93-0))</f>
        <v/>
      </c>
      <c r="N93">
        <f>MAX(0,MIN(ROUND(X92*(1+D$5),0)-D93,$AJ93-SUM($M93:M93)))</f>
        <v/>
      </c>
      <c r="O93">
        <f>MAX(0,MIN(ROUND(Y92*(1+E$5),0)-E93,$AJ93-SUM($M93:N93)))</f>
        <v/>
      </c>
      <c r="P93">
        <f>MAX(0,MIN(ROUND(Z92*(1+F$5),0)-F93,$AJ93-SUM($M93:O93)))</f>
        <v/>
      </c>
      <c r="Q93">
        <f>MAX(0,MIN(ROUND(AA92*(1+G$5),0)-G93,$AJ93-SUM($M93:P93)))</f>
        <v/>
      </c>
      <c r="R93">
        <f>MAX(0,MIN(ROUND(AB92*(1+H$5),0)-H93,$AJ93-SUM($M93:Q93)))</f>
        <v/>
      </c>
      <c r="S93">
        <f>MAX(0,MIN(ROUND(AC92*(1+I$5),0)-I93,$AJ93-SUM($M93:R93)))</f>
        <v/>
      </c>
      <c r="T93">
        <f>MAX(0,MIN(ROUND(AD92*(1+J$5),0)-J93,$AJ93-SUM($M93:S93)))</f>
        <v/>
      </c>
      <c r="U93">
        <f>MAX(0,MIN(ROUND(AE92*(1+K$5),0)-K93,$AJ93-SUM($M93:T93)))</f>
        <v/>
      </c>
      <c r="V93">
        <f>MAX(0,MIN(ROUND(AF92*(1+L$5),0)-L93,$AJ93-SUM($M93:U93)))</f>
        <v/>
      </c>
      <c r="W93">
        <f>MAX(0,ROUND(W92*(1+C$5),0)-C93-M93)</f>
        <v/>
      </c>
      <c r="X93">
        <f>MAX(0,ROUND(X92*(1+D$5),0)-D93-N93)</f>
        <v/>
      </c>
      <c r="Y93">
        <f>MAX(0,ROUND(Y92*(1+E$5),0)-E93-O93)</f>
        <v/>
      </c>
      <c r="Z93">
        <f>MAX(0,ROUND(Z92*(1+F$5),0)-F93-P93)</f>
        <v/>
      </c>
      <c r="AA93">
        <f>MAX(0,ROUND(AA92*(1+G$5),0)-G93-Q93)</f>
        <v/>
      </c>
      <c r="AB93">
        <f>MAX(0,ROUND(AB92*(1+H$5),0)-H93-R93)</f>
        <v/>
      </c>
      <c r="AC93">
        <f>MAX(0,ROUND(AC92*(1+I$5),0)-I93-S93)</f>
        <v/>
      </c>
      <c r="AD93">
        <f>MAX(0,ROUND(AD92*(1+J$5),0)-J93-T93)</f>
        <v/>
      </c>
      <c r="AE93">
        <f>MAX(0,ROUND(AE92*(1+K$5),0)-K93-U93)</f>
        <v/>
      </c>
      <c r="AF93">
        <f>MAX(0,ROUND(AF92*(1+L$5),0)-L93-V93)</f>
        <v/>
      </c>
      <c r="AG93">
        <f>AH93-(AI92-AI93)</f>
        <v/>
      </c>
      <c r="AH93">
        <f>SUM(C93:V93)</f>
        <v/>
      </c>
      <c r="AI93">
        <f>SUM(W93:AF93)</f>
        <v/>
      </c>
      <c r="AJ93">
        <f>MAX(0,PresTot-SUM(C93:L93))</f>
        <v/>
      </c>
      <c r="AK93">
        <f>IF(AI92&lt;=0,0,11-SUMPRODUCT(MAX((W92:AF92&gt;0)*(11-(COLUMN(W92:AF92)-COLUMN($V92))))))</f>
        <v/>
      </c>
    </row>
    <row r="94">
      <c r="A94" t="n">
        <v>84</v>
      </c>
      <c r="B94">
        <f>DATE(YEAR(InicioEf),MONTH(InicioEf)+A94-1,1)</f>
        <v/>
      </c>
      <c r="C94">
        <f>MIN(C$6,ROUND(W93*(1+C$5),0))</f>
        <v/>
      </c>
      <c r="D94">
        <f>MIN(D$6,ROUND(X93*(1+D$5),0))</f>
        <v/>
      </c>
      <c r="E94">
        <f>MIN(E$6,ROUND(Y93*(1+E$5),0))</f>
        <v/>
      </c>
      <c r="F94">
        <f>MIN(F$6,ROUND(Z93*(1+F$5),0))</f>
        <v/>
      </c>
      <c r="G94">
        <f>MIN(G$6,ROUND(AA93*(1+G$5),0))</f>
        <v/>
      </c>
      <c r="H94">
        <f>MIN(H$6,ROUND(AB93*(1+H$5),0))</f>
        <v/>
      </c>
      <c r="I94">
        <f>MIN(I$6,ROUND(AC93*(1+I$5),0))</f>
        <v/>
      </c>
      <c r="J94">
        <f>MIN(J$6,ROUND(AD93*(1+J$5),0))</f>
        <v/>
      </c>
      <c r="K94">
        <f>MIN(K$6,ROUND(AE93*(1+K$5),0))</f>
        <v/>
      </c>
      <c r="L94">
        <f>MIN(L$6,ROUND(AF93*(1+L$5),0))</f>
        <v/>
      </c>
      <c r="M94">
        <f>MAX(0,MIN(ROUND(W93*(1+C$5),0)-C94,$AJ94-0))</f>
        <v/>
      </c>
      <c r="N94">
        <f>MAX(0,MIN(ROUND(X93*(1+D$5),0)-D94,$AJ94-SUM($M94:M94)))</f>
        <v/>
      </c>
      <c r="O94">
        <f>MAX(0,MIN(ROUND(Y93*(1+E$5),0)-E94,$AJ94-SUM($M94:N94)))</f>
        <v/>
      </c>
      <c r="P94">
        <f>MAX(0,MIN(ROUND(Z93*(1+F$5),0)-F94,$AJ94-SUM($M94:O94)))</f>
        <v/>
      </c>
      <c r="Q94">
        <f>MAX(0,MIN(ROUND(AA93*(1+G$5),0)-G94,$AJ94-SUM($M94:P94)))</f>
        <v/>
      </c>
      <c r="R94">
        <f>MAX(0,MIN(ROUND(AB93*(1+H$5),0)-H94,$AJ94-SUM($M94:Q94)))</f>
        <v/>
      </c>
      <c r="S94">
        <f>MAX(0,MIN(ROUND(AC93*(1+I$5),0)-I94,$AJ94-SUM($M94:R94)))</f>
        <v/>
      </c>
      <c r="T94">
        <f>MAX(0,MIN(ROUND(AD93*(1+J$5),0)-J94,$AJ94-SUM($M94:S94)))</f>
        <v/>
      </c>
      <c r="U94">
        <f>MAX(0,MIN(ROUND(AE93*(1+K$5),0)-K94,$AJ94-SUM($M94:T94)))</f>
        <v/>
      </c>
      <c r="V94">
        <f>MAX(0,MIN(ROUND(AF93*(1+L$5),0)-L94,$AJ94-SUM($M94:U94)))</f>
        <v/>
      </c>
      <c r="W94">
        <f>MAX(0,ROUND(W93*(1+C$5),0)-C94-M94)</f>
        <v/>
      </c>
      <c r="X94">
        <f>MAX(0,ROUND(X93*(1+D$5),0)-D94-N94)</f>
        <v/>
      </c>
      <c r="Y94">
        <f>MAX(0,ROUND(Y93*(1+E$5),0)-E94-O94)</f>
        <v/>
      </c>
      <c r="Z94">
        <f>MAX(0,ROUND(Z93*(1+F$5),0)-F94-P94)</f>
        <v/>
      </c>
      <c r="AA94">
        <f>MAX(0,ROUND(AA93*(1+G$5),0)-G94-Q94)</f>
        <v/>
      </c>
      <c r="AB94">
        <f>MAX(0,ROUND(AB93*(1+H$5),0)-H94-R94)</f>
        <v/>
      </c>
      <c r="AC94">
        <f>MAX(0,ROUND(AC93*(1+I$5),0)-I94-S94)</f>
        <v/>
      </c>
      <c r="AD94">
        <f>MAX(0,ROUND(AD93*(1+J$5),0)-J94-T94)</f>
        <v/>
      </c>
      <c r="AE94">
        <f>MAX(0,ROUND(AE93*(1+K$5),0)-K94-U94)</f>
        <v/>
      </c>
      <c r="AF94">
        <f>MAX(0,ROUND(AF93*(1+L$5),0)-L94-V94)</f>
        <v/>
      </c>
      <c r="AG94">
        <f>AH94-(AI93-AI94)</f>
        <v/>
      </c>
      <c r="AH94">
        <f>SUM(C94:V94)</f>
        <v/>
      </c>
      <c r="AI94">
        <f>SUM(W94:AF94)</f>
        <v/>
      </c>
      <c r="AJ94">
        <f>MAX(0,PresTot-SUM(C94:L94))</f>
        <v/>
      </c>
      <c r="AK94">
        <f>IF(AI93&lt;=0,0,11-SUMPRODUCT(MAX((W93:AF93&gt;0)*(11-(COLUMN(W93:AF93)-COLUMN($V93))))))</f>
        <v/>
      </c>
    </row>
    <row r="95">
      <c r="A95" t="n">
        <v>85</v>
      </c>
      <c r="B95">
        <f>DATE(YEAR(InicioEf),MONTH(InicioEf)+A95-1,1)</f>
        <v/>
      </c>
      <c r="C95">
        <f>MIN(C$6,ROUND(W94*(1+C$5),0))</f>
        <v/>
      </c>
      <c r="D95">
        <f>MIN(D$6,ROUND(X94*(1+D$5),0))</f>
        <v/>
      </c>
      <c r="E95">
        <f>MIN(E$6,ROUND(Y94*(1+E$5),0))</f>
        <v/>
      </c>
      <c r="F95">
        <f>MIN(F$6,ROUND(Z94*(1+F$5),0))</f>
        <v/>
      </c>
      <c r="G95">
        <f>MIN(G$6,ROUND(AA94*(1+G$5),0))</f>
        <v/>
      </c>
      <c r="H95">
        <f>MIN(H$6,ROUND(AB94*(1+H$5),0))</f>
        <v/>
      </c>
      <c r="I95">
        <f>MIN(I$6,ROUND(AC94*(1+I$5),0))</f>
        <v/>
      </c>
      <c r="J95">
        <f>MIN(J$6,ROUND(AD94*(1+J$5),0))</f>
        <v/>
      </c>
      <c r="K95">
        <f>MIN(K$6,ROUND(AE94*(1+K$5),0))</f>
        <v/>
      </c>
      <c r="L95">
        <f>MIN(L$6,ROUND(AF94*(1+L$5),0))</f>
        <v/>
      </c>
      <c r="M95">
        <f>MAX(0,MIN(ROUND(W94*(1+C$5),0)-C95,$AJ95-0))</f>
        <v/>
      </c>
      <c r="N95">
        <f>MAX(0,MIN(ROUND(X94*(1+D$5),0)-D95,$AJ95-SUM($M95:M95)))</f>
        <v/>
      </c>
      <c r="O95">
        <f>MAX(0,MIN(ROUND(Y94*(1+E$5),0)-E95,$AJ95-SUM($M95:N95)))</f>
        <v/>
      </c>
      <c r="P95">
        <f>MAX(0,MIN(ROUND(Z94*(1+F$5),0)-F95,$AJ95-SUM($M95:O95)))</f>
        <v/>
      </c>
      <c r="Q95">
        <f>MAX(0,MIN(ROUND(AA94*(1+G$5),0)-G95,$AJ95-SUM($M95:P95)))</f>
        <v/>
      </c>
      <c r="R95">
        <f>MAX(0,MIN(ROUND(AB94*(1+H$5),0)-H95,$AJ95-SUM($M95:Q95)))</f>
        <v/>
      </c>
      <c r="S95">
        <f>MAX(0,MIN(ROUND(AC94*(1+I$5),0)-I95,$AJ95-SUM($M95:R95)))</f>
        <v/>
      </c>
      <c r="T95">
        <f>MAX(0,MIN(ROUND(AD94*(1+J$5),0)-J95,$AJ95-SUM($M95:S95)))</f>
        <v/>
      </c>
      <c r="U95">
        <f>MAX(0,MIN(ROUND(AE94*(1+K$5),0)-K95,$AJ95-SUM($M95:T95)))</f>
        <v/>
      </c>
      <c r="V95">
        <f>MAX(0,MIN(ROUND(AF94*(1+L$5),0)-L95,$AJ95-SUM($M95:U95)))</f>
        <v/>
      </c>
      <c r="W95">
        <f>MAX(0,ROUND(W94*(1+C$5),0)-C95-M95)</f>
        <v/>
      </c>
      <c r="X95">
        <f>MAX(0,ROUND(X94*(1+D$5),0)-D95-N95)</f>
        <v/>
      </c>
      <c r="Y95">
        <f>MAX(0,ROUND(Y94*(1+E$5),0)-E95-O95)</f>
        <v/>
      </c>
      <c r="Z95">
        <f>MAX(0,ROUND(Z94*(1+F$5),0)-F95-P95)</f>
        <v/>
      </c>
      <c r="AA95">
        <f>MAX(0,ROUND(AA94*(1+G$5),0)-G95-Q95)</f>
        <v/>
      </c>
      <c r="AB95">
        <f>MAX(0,ROUND(AB94*(1+H$5),0)-H95-R95)</f>
        <v/>
      </c>
      <c r="AC95">
        <f>MAX(0,ROUND(AC94*(1+I$5),0)-I95-S95)</f>
        <v/>
      </c>
      <c r="AD95">
        <f>MAX(0,ROUND(AD94*(1+J$5),0)-J95-T95)</f>
        <v/>
      </c>
      <c r="AE95">
        <f>MAX(0,ROUND(AE94*(1+K$5),0)-K95-U95)</f>
        <v/>
      </c>
      <c r="AF95">
        <f>MAX(0,ROUND(AF94*(1+L$5),0)-L95-V95)</f>
        <v/>
      </c>
      <c r="AG95">
        <f>AH95-(AI94-AI95)</f>
        <v/>
      </c>
      <c r="AH95">
        <f>SUM(C95:V95)</f>
        <v/>
      </c>
      <c r="AI95">
        <f>SUM(W95:AF95)</f>
        <v/>
      </c>
      <c r="AJ95">
        <f>MAX(0,PresTot-SUM(C95:L95))</f>
        <v/>
      </c>
      <c r="AK95">
        <f>IF(AI94&lt;=0,0,11-SUMPRODUCT(MAX((W94:AF94&gt;0)*(11-(COLUMN(W94:AF94)-COLUMN($V94))))))</f>
        <v/>
      </c>
    </row>
    <row r="96">
      <c r="A96" t="n">
        <v>86</v>
      </c>
      <c r="B96">
        <f>DATE(YEAR(InicioEf),MONTH(InicioEf)+A96-1,1)</f>
        <v/>
      </c>
      <c r="C96">
        <f>MIN(C$6,ROUND(W95*(1+C$5),0))</f>
        <v/>
      </c>
      <c r="D96">
        <f>MIN(D$6,ROUND(X95*(1+D$5),0))</f>
        <v/>
      </c>
      <c r="E96">
        <f>MIN(E$6,ROUND(Y95*(1+E$5),0))</f>
        <v/>
      </c>
      <c r="F96">
        <f>MIN(F$6,ROUND(Z95*(1+F$5),0))</f>
        <v/>
      </c>
      <c r="G96">
        <f>MIN(G$6,ROUND(AA95*(1+G$5),0))</f>
        <v/>
      </c>
      <c r="H96">
        <f>MIN(H$6,ROUND(AB95*(1+H$5),0))</f>
        <v/>
      </c>
      <c r="I96">
        <f>MIN(I$6,ROUND(AC95*(1+I$5),0))</f>
        <v/>
      </c>
      <c r="J96">
        <f>MIN(J$6,ROUND(AD95*(1+J$5),0))</f>
        <v/>
      </c>
      <c r="K96">
        <f>MIN(K$6,ROUND(AE95*(1+K$5),0))</f>
        <v/>
      </c>
      <c r="L96">
        <f>MIN(L$6,ROUND(AF95*(1+L$5),0))</f>
        <v/>
      </c>
      <c r="M96">
        <f>MAX(0,MIN(ROUND(W95*(1+C$5),0)-C96,$AJ96-0))</f>
        <v/>
      </c>
      <c r="N96">
        <f>MAX(0,MIN(ROUND(X95*(1+D$5),0)-D96,$AJ96-SUM($M96:M96)))</f>
        <v/>
      </c>
      <c r="O96">
        <f>MAX(0,MIN(ROUND(Y95*(1+E$5),0)-E96,$AJ96-SUM($M96:N96)))</f>
        <v/>
      </c>
      <c r="P96">
        <f>MAX(0,MIN(ROUND(Z95*(1+F$5),0)-F96,$AJ96-SUM($M96:O96)))</f>
        <v/>
      </c>
      <c r="Q96">
        <f>MAX(0,MIN(ROUND(AA95*(1+G$5),0)-G96,$AJ96-SUM($M96:P96)))</f>
        <v/>
      </c>
      <c r="R96">
        <f>MAX(0,MIN(ROUND(AB95*(1+H$5),0)-H96,$AJ96-SUM($M96:Q96)))</f>
        <v/>
      </c>
      <c r="S96">
        <f>MAX(0,MIN(ROUND(AC95*(1+I$5),0)-I96,$AJ96-SUM($M96:R96)))</f>
        <v/>
      </c>
      <c r="T96">
        <f>MAX(0,MIN(ROUND(AD95*(1+J$5),0)-J96,$AJ96-SUM($M96:S96)))</f>
        <v/>
      </c>
      <c r="U96">
        <f>MAX(0,MIN(ROUND(AE95*(1+K$5),0)-K96,$AJ96-SUM($M96:T96)))</f>
        <v/>
      </c>
      <c r="V96">
        <f>MAX(0,MIN(ROUND(AF95*(1+L$5),0)-L96,$AJ96-SUM($M96:U96)))</f>
        <v/>
      </c>
      <c r="W96">
        <f>MAX(0,ROUND(W95*(1+C$5),0)-C96-M96)</f>
        <v/>
      </c>
      <c r="X96">
        <f>MAX(0,ROUND(X95*(1+D$5),0)-D96-N96)</f>
        <v/>
      </c>
      <c r="Y96">
        <f>MAX(0,ROUND(Y95*(1+E$5),0)-E96-O96)</f>
        <v/>
      </c>
      <c r="Z96">
        <f>MAX(0,ROUND(Z95*(1+F$5),0)-F96-P96)</f>
        <v/>
      </c>
      <c r="AA96">
        <f>MAX(0,ROUND(AA95*(1+G$5),0)-G96-Q96)</f>
        <v/>
      </c>
      <c r="AB96">
        <f>MAX(0,ROUND(AB95*(1+H$5),0)-H96-R96)</f>
        <v/>
      </c>
      <c r="AC96">
        <f>MAX(0,ROUND(AC95*(1+I$5),0)-I96-S96)</f>
        <v/>
      </c>
      <c r="AD96">
        <f>MAX(0,ROUND(AD95*(1+J$5),0)-J96-T96)</f>
        <v/>
      </c>
      <c r="AE96">
        <f>MAX(0,ROUND(AE95*(1+K$5),0)-K96-U96)</f>
        <v/>
      </c>
      <c r="AF96">
        <f>MAX(0,ROUND(AF95*(1+L$5),0)-L96-V96)</f>
        <v/>
      </c>
      <c r="AG96">
        <f>AH96-(AI95-AI96)</f>
        <v/>
      </c>
      <c r="AH96">
        <f>SUM(C96:V96)</f>
        <v/>
      </c>
      <c r="AI96">
        <f>SUM(W96:AF96)</f>
        <v/>
      </c>
      <c r="AJ96">
        <f>MAX(0,PresTot-SUM(C96:L96))</f>
        <v/>
      </c>
      <c r="AK96">
        <f>IF(AI95&lt;=0,0,11-SUMPRODUCT(MAX((W95:AF95&gt;0)*(11-(COLUMN(W95:AF95)-COLUMN($V95))))))</f>
        <v/>
      </c>
    </row>
    <row r="97">
      <c r="A97" t="n">
        <v>87</v>
      </c>
      <c r="B97">
        <f>DATE(YEAR(InicioEf),MONTH(InicioEf)+A97-1,1)</f>
        <v/>
      </c>
      <c r="C97">
        <f>MIN(C$6,ROUND(W96*(1+C$5),0))</f>
        <v/>
      </c>
      <c r="D97">
        <f>MIN(D$6,ROUND(X96*(1+D$5),0))</f>
        <v/>
      </c>
      <c r="E97">
        <f>MIN(E$6,ROUND(Y96*(1+E$5),0))</f>
        <v/>
      </c>
      <c r="F97">
        <f>MIN(F$6,ROUND(Z96*(1+F$5),0))</f>
        <v/>
      </c>
      <c r="G97">
        <f>MIN(G$6,ROUND(AA96*(1+G$5),0))</f>
        <v/>
      </c>
      <c r="H97">
        <f>MIN(H$6,ROUND(AB96*(1+H$5),0))</f>
        <v/>
      </c>
      <c r="I97">
        <f>MIN(I$6,ROUND(AC96*(1+I$5),0))</f>
        <v/>
      </c>
      <c r="J97">
        <f>MIN(J$6,ROUND(AD96*(1+J$5),0))</f>
        <v/>
      </c>
      <c r="K97">
        <f>MIN(K$6,ROUND(AE96*(1+K$5),0))</f>
        <v/>
      </c>
      <c r="L97">
        <f>MIN(L$6,ROUND(AF96*(1+L$5),0))</f>
        <v/>
      </c>
      <c r="M97">
        <f>MAX(0,MIN(ROUND(W96*(1+C$5),0)-C97,$AJ97-0))</f>
        <v/>
      </c>
      <c r="N97">
        <f>MAX(0,MIN(ROUND(X96*(1+D$5),0)-D97,$AJ97-SUM($M97:M97)))</f>
        <v/>
      </c>
      <c r="O97">
        <f>MAX(0,MIN(ROUND(Y96*(1+E$5),0)-E97,$AJ97-SUM($M97:N97)))</f>
        <v/>
      </c>
      <c r="P97">
        <f>MAX(0,MIN(ROUND(Z96*(1+F$5),0)-F97,$AJ97-SUM($M97:O97)))</f>
        <v/>
      </c>
      <c r="Q97">
        <f>MAX(0,MIN(ROUND(AA96*(1+G$5),0)-G97,$AJ97-SUM($M97:P97)))</f>
        <v/>
      </c>
      <c r="R97">
        <f>MAX(0,MIN(ROUND(AB96*(1+H$5),0)-H97,$AJ97-SUM($M97:Q97)))</f>
        <v/>
      </c>
      <c r="S97">
        <f>MAX(0,MIN(ROUND(AC96*(1+I$5),0)-I97,$AJ97-SUM($M97:R97)))</f>
        <v/>
      </c>
      <c r="T97">
        <f>MAX(0,MIN(ROUND(AD96*(1+J$5),0)-J97,$AJ97-SUM($M97:S97)))</f>
        <v/>
      </c>
      <c r="U97">
        <f>MAX(0,MIN(ROUND(AE96*(1+K$5),0)-K97,$AJ97-SUM($M97:T97)))</f>
        <v/>
      </c>
      <c r="V97">
        <f>MAX(0,MIN(ROUND(AF96*(1+L$5),0)-L97,$AJ97-SUM($M97:U97)))</f>
        <v/>
      </c>
      <c r="W97">
        <f>MAX(0,ROUND(W96*(1+C$5),0)-C97-M97)</f>
        <v/>
      </c>
      <c r="X97">
        <f>MAX(0,ROUND(X96*(1+D$5),0)-D97-N97)</f>
        <v/>
      </c>
      <c r="Y97">
        <f>MAX(0,ROUND(Y96*(1+E$5),0)-E97-O97)</f>
        <v/>
      </c>
      <c r="Z97">
        <f>MAX(0,ROUND(Z96*(1+F$5),0)-F97-P97)</f>
        <v/>
      </c>
      <c r="AA97">
        <f>MAX(0,ROUND(AA96*(1+G$5),0)-G97-Q97)</f>
        <v/>
      </c>
      <c r="AB97">
        <f>MAX(0,ROUND(AB96*(1+H$5),0)-H97-R97)</f>
        <v/>
      </c>
      <c r="AC97">
        <f>MAX(0,ROUND(AC96*(1+I$5),0)-I97-S97)</f>
        <v/>
      </c>
      <c r="AD97">
        <f>MAX(0,ROUND(AD96*(1+J$5),0)-J97-T97)</f>
        <v/>
      </c>
      <c r="AE97">
        <f>MAX(0,ROUND(AE96*(1+K$5),0)-K97-U97)</f>
        <v/>
      </c>
      <c r="AF97">
        <f>MAX(0,ROUND(AF96*(1+L$5),0)-L97-V97)</f>
        <v/>
      </c>
      <c r="AG97">
        <f>AH97-(AI96-AI97)</f>
        <v/>
      </c>
      <c r="AH97">
        <f>SUM(C97:V97)</f>
        <v/>
      </c>
      <c r="AI97">
        <f>SUM(W97:AF97)</f>
        <v/>
      </c>
      <c r="AJ97">
        <f>MAX(0,PresTot-SUM(C97:L97))</f>
        <v/>
      </c>
      <c r="AK97">
        <f>IF(AI96&lt;=0,0,11-SUMPRODUCT(MAX((W96:AF96&gt;0)*(11-(COLUMN(W96:AF96)-COLUMN($V96))))))</f>
        <v/>
      </c>
    </row>
    <row r="98">
      <c r="A98" t="n">
        <v>88</v>
      </c>
      <c r="B98">
        <f>DATE(YEAR(InicioEf),MONTH(InicioEf)+A98-1,1)</f>
        <v/>
      </c>
      <c r="C98">
        <f>MIN(C$6,ROUND(W97*(1+C$5),0))</f>
        <v/>
      </c>
      <c r="D98">
        <f>MIN(D$6,ROUND(X97*(1+D$5),0))</f>
        <v/>
      </c>
      <c r="E98">
        <f>MIN(E$6,ROUND(Y97*(1+E$5),0))</f>
        <v/>
      </c>
      <c r="F98">
        <f>MIN(F$6,ROUND(Z97*(1+F$5),0))</f>
        <v/>
      </c>
      <c r="G98">
        <f>MIN(G$6,ROUND(AA97*(1+G$5),0))</f>
        <v/>
      </c>
      <c r="H98">
        <f>MIN(H$6,ROUND(AB97*(1+H$5),0))</f>
        <v/>
      </c>
      <c r="I98">
        <f>MIN(I$6,ROUND(AC97*(1+I$5),0))</f>
        <v/>
      </c>
      <c r="J98">
        <f>MIN(J$6,ROUND(AD97*(1+J$5),0))</f>
        <v/>
      </c>
      <c r="K98">
        <f>MIN(K$6,ROUND(AE97*(1+K$5),0))</f>
        <v/>
      </c>
      <c r="L98">
        <f>MIN(L$6,ROUND(AF97*(1+L$5),0))</f>
        <v/>
      </c>
      <c r="M98">
        <f>MAX(0,MIN(ROUND(W97*(1+C$5),0)-C98,$AJ98-0))</f>
        <v/>
      </c>
      <c r="N98">
        <f>MAX(0,MIN(ROUND(X97*(1+D$5),0)-D98,$AJ98-SUM($M98:M98)))</f>
        <v/>
      </c>
      <c r="O98">
        <f>MAX(0,MIN(ROUND(Y97*(1+E$5),0)-E98,$AJ98-SUM($M98:N98)))</f>
        <v/>
      </c>
      <c r="P98">
        <f>MAX(0,MIN(ROUND(Z97*(1+F$5),0)-F98,$AJ98-SUM($M98:O98)))</f>
        <v/>
      </c>
      <c r="Q98">
        <f>MAX(0,MIN(ROUND(AA97*(1+G$5),0)-G98,$AJ98-SUM($M98:P98)))</f>
        <v/>
      </c>
      <c r="R98">
        <f>MAX(0,MIN(ROUND(AB97*(1+H$5),0)-H98,$AJ98-SUM($M98:Q98)))</f>
        <v/>
      </c>
      <c r="S98">
        <f>MAX(0,MIN(ROUND(AC97*(1+I$5),0)-I98,$AJ98-SUM($M98:R98)))</f>
        <v/>
      </c>
      <c r="T98">
        <f>MAX(0,MIN(ROUND(AD97*(1+J$5),0)-J98,$AJ98-SUM($M98:S98)))</f>
        <v/>
      </c>
      <c r="U98">
        <f>MAX(0,MIN(ROUND(AE97*(1+K$5),0)-K98,$AJ98-SUM($M98:T98)))</f>
        <v/>
      </c>
      <c r="V98">
        <f>MAX(0,MIN(ROUND(AF97*(1+L$5),0)-L98,$AJ98-SUM($M98:U98)))</f>
        <v/>
      </c>
      <c r="W98">
        <f>MAX(0,ROUND(W97*(1+C$5),0)-C98-M98)</f>
        <v/>
      </c>
      <c r="X98">
        <f>MAX(0,ROUND(X97*(1+D$5),0)-D98-N98)</f>
        <v/>
      </c>
      <c r="Y98">
        <f>MAX(0,ROUND(Y97*(1+E$5),0)-E98-O98)</f>
        <v/>
      </c>
      <c r="Z98">
        <f>MAX(0,ROUND(Z97*(1+F$5),0)-F98-P98)</f>
        <v/>
      </c>
      <c r="AA98">
        <f>MAX(0,ROUND(AA97*(1+G$5),0)-G98-Q98)</f>
        <v/>
      </c>
      <c r="AB98">
        <f>MAX(0,ROUND(AB97*(1+H$5),0)-H98-R98)</f>
        <v/>
      </c>
      <c r="AC98">
        <f>MAX(0,ROUND(AC97*(1+I$5),0)-I98-S98)</f>
        <v/>
      </c>
      <c r="AD98">
        <f>MAX(0,ROUND(AD97*(1+J$5),0)-J98-T98)</f>
        <v/>
      </c>
      <c r="AE98">
        <f>MAX(0,ROUND(AE97*(1+K$5),0)-K98-U98)</f>
        <v/>
      </c>
      <c r="AF98">
        <f>MAX(0,ROUND(AF97*(1+L$5),0)-L98-V98)</f>
        <v/>
      </c>
      <c r="AG98">
        <f>AH98-(AI97-AI98)</f>
        <v/>
      </c>
      <c r="AH98">
        <f>SUM(C98:V98)</f>
        <v/>
      </c>
      <c r="AI98">
        <f>SUM(W98:AF98)</f>
        <v/>
      </c>
      <c r="AJ98">
        <f>MAX(0,PresTot-SUM(C98:L98))</f>
        <v/>
      </c>
      <c r="AK98">
        <f>IF(AI97&lt;=0,0,11-SUMPRODUCT(MAX((W97:AF97&gt;0)*(11-(COLUMN(W97:AF97)-COLUMN($V97))))))</f>
        <v/>
      </c>
    </row>
    <row r="99">
      <c r="A99" t="n">
        <v>89</v>
      </c>
      <c r="B99">
        <f>DATE(YEAR(InicioEf),MONTH(InicioEf)+A99-1,1)</f>
        <v/>
      </c>
      <c r="C99">
        <f>MIN(C$6,ROUND(W98*(1+C$5),0))</f>
        <v/>
      </c>
      <c r="D99">
        <f>MIN(D$6,ROUND(X98*(1+D$5),0))</f>
        <v/>
      </c>
      <c r="E99">
        <f>MIN(E$6,ROUND(Y98*(1+E$5),0))</f>
        <v/>
      </c>
      <c r="F99">
        <f>MIN(F$6,ROUND(Z98*(1+F$5),0))</f>
        <v/>
      </c>
      <c r="G99">
        <f>MIN(G$6,ROUND(AA98*(1+G$5),0))</f>
        <v/>
      </c>
      <c r="H99">
        <f>MIN(H$6,ROUND(AB98*(1+H$5),0))</f>
        <v/>
      </c>
      <c r="I99">
        <f>MIN(I$6,ROUND(AC98*(1+I$5),0))</f>
        <v/>
      </c>
      <c r="J99">
        <f>MIN(J$6,ROUND(AD98*(1+J$5),0))</f>
        <v/>
      </c>
      <c r="K99">
        <f>MIN(K$6,ROUND(AE98*(1+K$5),0))</f>
        <v/>
      </c>
      <c r="L99">
        <f>MIN(L$6,ROUND(AF98*(1+L$5),0))</f>
        <v/>
      </c>
      <c r="M99">
        <f>MAX(0,MIN(ROUND(W98*(1+C$5),0)-C99,$AJ99-0))</f>
        <v/>
      </c>
      <c r="N99">
        <f>MAX(0,MIN(ROUND(X98*(1+D$5),0)-D99,$AJ99-SUM($M99:M99)))</f>
        <v/>
      </c>
      <c r="O99">
        <f>MAX(0,MIN(ROUND(Y98*(1+E$5),0)-E99,$AJ99-SUM($M99:N99)))</f>
        <v/>
      </c>
      <c r="P99">
        <f>MAX(0,MIN(ROUND(Z98*(1+F$5),0)-F99,$AJ99-SUM($M99:O99)))</f>
        <v/>
      </c>
      <c r="Q99">
        <f>MAX(0,MIN(ROUND(AA98*(1+G$5),0)-G99,$AJ99-SUM($M99:P99)))</f>
        <v/>
      </c>
      <c r="R99">
        <f>MAX(0,MIN(ROUND(AB98*(1+H$5),0)-H99,$AJ99-SUM($M99:Q99)))</f>
        <v/>
      </c>
      <c r="S99">
        <f>MAX(0,MIN(ROUND(AC98*(1+I$5),0)-I99,$AJ99-SUM($M99:R99)))</f>
        <v/>
      </c>
      <c r="T99">
        <f>MAX(0,MIN(ROUND(AD98*(1+J$5),0)-J99,$AJ99-SUM($M99:S99)))</f>
        <v/>
      </c>
      <c r="U99">
        <f>MAX(0,MIN(ROUND(AE98*(1+K$5),0)-K99,$AJ99-SUM($M99:T99)))</f>
        <v/>
      </c>
      <c r="V99">
        <f>MAX(0,MIN(ROUND(AF98*(1+L$5),0)-L99,$AJ99-SUM($M99:U99)))</f>
        <v/>
      </c>
      <c r="W99">
        <f>MAX(0,ROUND(W98*(1+C$5),0)-C99-M99)</f>
        <v/>
      </c>
      <c r="X99">
        <f>MAX(0,ROUND(X98*(1+D$5),0)-D99-N99)</f>
        <v/>
      </c>
      <c r="Y99">
        <f>MAX(0,ROUND(Y98*(1+E$5),0)-E99-O99)</f>
        <v/>
      </c>
      <c r="Z99">
        <f>MAX(0,ROUND(Z98*(1+F$5),0)-F99-P99)</f>
        <v/>
      </c>
      <c r="AA99">
        <f>MAX(0,ROUND(AA98*(1+G$5),0)-G99-Q99)</f>
        <v/>
      </c>
      <c r="AB99">
        <f>MAX(0,ROUND(AB98*(1+H$5),0)-H99-R99)</f>
        <v/>
      </c>
      <c r="AC99">
        <f>MAX(0,ROUND(AC98*(1+I$5),0)-I99-S99)</f>
        <v/>
      </c>
      <c r="AD99">
        <f>MAX(0,ROUND(AD98*(1+J$5),0)-J99-T99)</f>
        <v/>
      </c>
      <c r="AE99">
        <f>MAX(0,ROUND(AE98*(1+K$5),0)-K99-U99)</f>
        <v/>
      </c>
      <c r="AF99">
        <f>MAX(0,ROUND(AF98*(1+L$5),0)-L99-V99)</f>
        <v/>
      </c>
      <c r="AG99">
        <f>AH99-(AI98-AI99)</f>
        <v/>
      </c>
      <c r="AH99">
        <f>SUM(C99:V99)</f>
        <v/>
      </c>
      <c r="AI99">
        <f>SUM(W99:AF99)</f>
        <v/>
      </c>
      <c r="AJ99">
        <f>MAX(0,PresTot-SUM(C99:L99))</f>
        <v/>
      </c>
      <c r="AK99">
        <f>IF(AI98&lt;=0,0,11-SUMPRODUCT(MAX((W98:AF98&gt;0)*(11-(COLUMN(W98:AF98)-COLUMN($V98))))))</f>
        <v/>
      </c>
    </row>
    <row r="100">
      <c r="A100" t="n">
        <v>90</v>
      </c>
      <c r="B100">
        <f>DATE(YEAR(InicioEf),MONTH(InicioEf)+A100-1,1)</f>
        <v/>
      </c>
      <c r="C100">
        <f>MIN(C$6,ROUND(W99*(1+C$5),0))</f>
        <v/>
      </c>
      <c r="D100">
        <f>MIN(D$6,ROUND(X99*(1+D$5),0))</f>
        <v/>
      </c>
      <c r="E100">
        <f>MIN(E$6,ROUND(Y99*(1+E$5),0))</f>
        <v/>
      </c>
      <c r="F100">
        <f>MIN(F$6,ROUND(Z99*(1+F$5),0))</f>
        <v/>
      </c>
      <c r="G100">
        <f>MIN(G$6,ROUND(AA99*(1+G$5),0))</f>
        <v/>
      </c>
      <c r="H100">
        <f>MIN(H$6,ROUND(AB99*(1+H$5),0))</f>
        <v/>
      </c>
      <c r="I100">
        <f>MIN(I$6,ROUND(AC99*(1+I$5),0))</f>
        <v/>
      </c>
      <c r="J100">
        <f>MIN(J$6,ROUND(AD99*(1+J$5),0))</f>
        <v/>
      </c>
      <c r="K100">
        <f>MIN(K$6,ROUND(AE99*(1+K$5),0))</f>
        <v/>
      </c>
      <c r="L100">
        <f>MIN(L$6,ROUND(AF99*(1+L$5),0))</f>
        <v/>
      </c>
      <c r="M100">
        <f>MAX(0,MIN(ROUND(W99*(1+C$5),0)-C100,$AJ100-0))</f>
        <v/>
      </c>
      <c r="N100">
        <f>MAX(0,MIN(ROUND(X99*(1+D$5),0)-D100,$AJ100-SUM($M100:M100)))</f>
        <v/>
      </c>
      <c r="O100">
        <f>MAX(0,MIN(ROUND(Y99*(1+E$5),0)-E100,$AJ100-SUM($M100:N100)))</f>
        <v/>
      </c>
      <c r="P100">
        <f>MAX(0,MIN(ROUND(Z99*(1+F$5),0)-F100,$AJ100-SUM($M100:O100)))</f>
        <v/>
      </c>
      <c r="Q100">
        <f>MAX(0,MIN(ROUND(AA99*(1+G$5),0)-G100,$AJ100-SUM($M100:P100)))</f>
        <v/>
      </c>
      <c r="R100">
        <f>MAX(0,MIN(ROUND(AB99*(1+H$5),0)-H100,$AJ100-SUM($M100:Q100)))</f>
        <v/>
      </c>
      <c r="S100">
        <f>MAX(0,MIN(ROUND(AC99*(1+I$5),0)-I100,$AJ100-SUM($M100:R100)))</f>
        <v/>
      </c>
      <c r="T100">
        <f>MAX(0,MIN(ROUND(AD99*(1+J$5),0)-J100,$AJ100-SUM($M100:S100)))</f>
        <v/>
      </c>
      <c r="U100">
        <f>MAX(0,MIN(ROUND(AE99*(1+K$5),0)-K100,$AJ100-SUM($M100:T100)))</f>
        <v/>
      </c>
      <c r="V100">
        <f>MAX(0,MIN(ROUND(AF99*(1+L$5),0)-L100,$AJ100-SUM($M100:U100)))</f>
        <v/>
      </c>
      <c r="W100">
        <f>MAX(0,ROUND(W99*(1+C$5),0)-C100-M100)</f>
        <v/>
      </c>
      <c r="X100">
        <f>MAX(0,ROUND(X99*(1+D$5),0)-D100-N100)</f>
        <v/>
      </c>
      <c r="Y100">
        <f>MAX(0,ROUND(Y99*(1+E$5),0)-E100-O100)</f>
        <v/>
      </c>
      <c r="Z100">
        <f>MAX(0,ROUND(Z99*(1+F$5),0)-F100-P100)</f>
        <v/>
      </c>
      <c r="AA100">
        <f>MAX(0,ROUND(AA99*(1+G$5),0)-G100-Q100)</f>
        <v/>
      </c>
      <c r="AB100">
        <f>MAX(0,ROUND(AB99*(1+H$5),0)-H100-R100)</f>
        <v/>
      </c>
      <c r="AC100">
        <f>MAX(0,ROUND(AC99*(1+I$5),0)-I100-S100)</f>
        <v/>
      </c>
      <c r="AD100">
        <f>MAX(0,ROUND(AD99*(1+J$5),0)-J100-T100)</f>
        <v/>
      </c>
      <c r="AE100">
        <f>MAX(0,ROUND(AE99*(1+K$5),0)-K100-U100)</f>
        <v/>
      </c>
      <c r="AF100">
        <f>MAX(0,ROUND(AF99*(1+L$5),0)-L100-V100)</f>
        <v/>
      </c>
      <c r="AG100">
        <f>AH100-(AI99-AI100)</f>
        <v/>
      </c>
      <c r="AH100">
        <f>SUM(C100:V100)</f>
        <v/>
      </c>
      <c r="AI100">
        <f>SUM(W100:AF100)</f>
        <v/>
      </c>
      <c r="AJ100">
        <f>MAX(0,PresTot-SUM(C100:L100))</f>
        <v/>
      </c>
      <c r="AK100">
        <f>IF(AI99&lt;=0,0,11-SUMPRODUCT(MAX((W99:AF99&gt;0)*(11-(COLUMN(W99:AF99)-COLUMN($V99))))))</f>
        <v/>
      </c>
    </row>
    <row r="101">
      <c r="A101" t="n">
        <v>91</v>
      </c>
      <c r="B101">
        <f>DATE(YEAR(InicioEf),MONTH(InicioEf)+A101-1,1)</f>
        <v/>
      </c>
      <c r="C101">
        <f>MIN(C$6,ROUND(W100*(1+C$5),0))</f>
        <v/>
      </c>
      <c r="D101">
        <f>MIN(D$6,ROUND(X100*(1+D$5),0))</f>
        <v/>
      </c>
      <c r="E101">
        <f>MIN(E$6,ROUND(Y100*(1+E$5),0))</f>
        <v/>
      </c>
      <c r="F101">
        <f>MIN(F$6,ROUND(Z100*(1+F$5),0))</f>
        <v/>
      </c>
      <c r="G101">
        <f>MIN(G$6,ROUND(AA100*(1+G$5),0))</f>
        <v/>
      </c>
      <c r="H101">
        <f>MIN(H$6,ROUND(AB100*(1+H$5),0))</f>
        <v/>
      </c>
      <c r="I101">
        <f>MIN(I$6,ROUND(AC100*(1+I$5),0))</f>
        <v/>
      </c>
      <c r="J101">
        <f>MIN(J$6,ROUND(AD100*(1+J$5),0))</f>
        <v/>
      </c>
      <c r="K101">
        <f>MIN(K$6,ROUND(AE100*(1+K$5),0))</f>
        <v/>
      </c>
      <c r="L101">
        <f>MIN(L$6,ROUND(AF100*(1+L$5),0))</f>
        <v/>
      </c>
      <c r="M101">
        <f>MAX(0,MIN(ROUND(W100*(1+C$5),0)-C101,$AJ101-0))</f>
        <v/>
      </c>
      <c r="N101">
        <f>MAX(0,MIN(ROUND(X100*(1+D$5),0)-D101,$AJ101-SUM($M101:M101)))</f>
        <v/>
      </c>
      <c r="O101">
        <f>MAX(0,MIN(ROUND(Y100*(1+E$5),0)-E101,$AJ101-SUM($M101:N101)))</f>
        <v/>
      </c>
      <c r="P101">
        <f>MAX(0,MIN(ROUND(Z100*(1+F$5),0)-F101,$AJ101-SUM($M101:O101)))</f>
        <v/>
      </c>
      <c r="Q101">
        <f>MAX(0,MIN(ROUND(AA100*(1+G$5),0)-G101,$AJ101-SUM($M101:P101)))</f>
        <v/>
      </c>
      <c r="R101">
        <f>MAX(0,MIN(ROUND(AB100*(1+H$5),0)-H101,$AJ101-SUM($M101:Q101)))</f>
        <v/>
      </c>
      <c r="S101">
        <f>MAX(0,MIN(ROUND(AC100*(1+I$5),0)-I101,$AJ101-SUM($M101:R101)))</f>
        <v/>
      </c>
      <c r="T101">
        <f>MAX(0,MIN(ROUND(AD100*(1+J$5),0)-J101,$AJ101-SUM($M101:S101)))</f>
        <v/>
      </c>
      <c r="U101">
        <f>MAX(0,MIN(ROUND(AE100*(1+K$5),0)-K101,$AJ101-SUM($M101:T101)))</f>
        <v/>
      </c>
      <c r="V101">
        <f>MAX(0,MIN(ROUND(AF100*(1+L$5),0)-L101,$AJ101-SUM($M101:U101)))</f>
        <v/>
      </c>
      <c r="W101">
        <f>MAX(0,ROUND(W100*(1+C$5),0)-C101-M101)</f>
        <v/>
      </c>
      <c r="X101">
        <f>MAX(0,ROUND(X100*(1+D$5),0)-D101-N101)</f>
        <v/>
      </c>
      <c r="Y101">
        <f>MAX(0,ROUND(Y100*(1+E$5),0)-E101-O101)</f>
        <v/>
      </c>
      <c r="Z101">
        <f>MAX(0,ROUND(Z100*(1+F$5),0)-F101-P101)</f>
        <v/>
      </c>
      <c r="AA101">
        <f>MAX(0,ROUND(AA100*(1+G$5),0)-G101-Q101)</f>
        <v/>
      </c>
      <c r="AB101">
        <f>MAX(0,ROUND(AB100*(1+H$5),0)-H101-R101)</f>
        <v/>
      </c>
      <c r="AC101">
        <f>MAX(0,ROUND(AC100*(1+I$5),0)-I101-S101)</f>
        <v/>
      </c>
      <c r="AD101">
        <f>MAX(0,ROUND(AD100*(1+J$5),0)-J101-T101)</f>
        <v/>
      </c>
      <c r="AE101">
        <f>MAX(0,ROUND(AE100*(1+K$5),0)-K101-U101)</f>
        <v/>
      </c>
      <c r="AF101">
        <f>MAX(0,ROUND(AF100*(1+L$5),0)-L101-V101)</f>
        <v/>
      </c>
      <c r="AG101">
        <f>AH101-(AI100-AI101)</f>
        <v/>
      </c>
      <c r="AH101">
        <f>SUM(C101:V101)</f>
        <v/>
      </c>
      <c r="AI101">
        <f>SUM(W101:AF101)</f>
        <v/>
      </c>
      <c r="AJ101">
        <f>MAX(0,PresTot-SUM(C101:L101))</f>
        <v/>
      </c>
      <c r="AK101">
        <f>IF(AI100&lt;=0,0,11-SUMPRODUCT(MAX((W100:AF100&gt;0)*(11-(COLUMN(W100:AF100)-COLUMN($V100))))))</f>
        <v/>
      </c>
    </row>
    <row r="102">
      <c r="A102" t="n">
        <v>92</v>
      </c>
      <c r="B102">
        <f>DATE(YEAR(InicioEf),MONTH(InicioEf)+A102-1,1)</f>
        <v/>
      </c>
      <c r="C102">
        <f>MIN(C$6,ROUND(W101*(1+C$5),0))</f>
        <v/>
      </c>
      <c r="D102">
        <f>MIN(D$6,ROUND(X101*(1+D$5),0))</f>
        <v/>
      </c>
      <c r="E102">
        <f>MIN(E$6,ROUND(Y101*(1+E$5),0))</f>
        <v/>
      </c>
      <c r="F102">
        <f>MIN(F$6,ROUND(Z101*(1+F$5),0))</f>
        <v/>
      </c>
      <c r="G102">
        <f>MIN(G$6,ROUND(AA101*(1+G$5),0))</f>
        <v/>
      </c>
      <c r="H102">
        <f>MIN(H$6,ROUND(AB101*(1+H$5),0))</f>
        <v/>
      </c>
      <c r="I102">
        <f>MIN(I$6,ROUND(AC101*(1+I$5),0))</f>
        <v/>
      </c>
      <c r="J102">
        <f>MIN(J$6,ROUND(AD101*(1+J$5),0))</f>
        <v/>
      </c>
      <c r="K102">
        <f>MIN(K$6,ROUND(AE101*(1+K$5),0))</f>
        <v/>
      </c>
      <c r="L102">
        <f>MIN(L$6,ROUND(AF101*(1+L$5),0))</f>
        <v/>
      </c>
      <c r="M102">
        <f>MAX(0,MIN(ROUND(W101*(1+C$5),0)-C102,$AJ102-0))</f>
        <v/>
      </c>
      <c r="N102">
        <f>MAX(0,MIN(ROUND(X101*(1+D$5),0)-D102,$AJ102-SUM($M102:M102)))</f>
        <v/>
      </c>
      <c r="O102">
        <f>MAX(0,MIN(ROUND(Y101*(1+E$5),0)-E102,$AJ102-SUM($M102:N102)))</f>
        <v/>
      </c>
      <c r="P102">
        <f>MAX(0,MIN(ROUND(Z101*(1+F$5),0)-F102,$AJ102-SUM($M102:O102)))</f>
        <v/>
      </c>
      <c r="Q102">
        <f>MAX(0,MIN(ROUND(AA101*(1+G$5),0)-G102,$AJ102-SUM($M102:P102)))</f>
        <v/>
      </c>
      <c r="R102">
        <f>MAX(0,MIN(ROUND(AB101*(1+H$5),0)-H102,$AJ102-SUM($M102:Q102)))</f>
        <v/>
      </c>
      <c r="S102">
        <f>MAX(0,MIN(ROUND(AC101*(1+I$5),0)-I102,$AJ102-SUM($M102:R102)))</f>
        <v/>
      </c>
      <c r="T102">
        <f>MAX(0,MIN(ROUND(AD101*(1+J$5),0)-J102,$AJ102-SUM($M102:S102)))</f>
        <v/>
      </c>
      <c r="U102">
        <f>MAX(0,MIN(ROUND(AE101*(1+K$5),0)-K102,$AJ102-SUM($M102:T102)))</f>
        <v/>
      </c>
      <c r="V102">
        <f>MAX(0,MIN(ROUND(AF101*(1+L$5),0)-L102,$AJ102-SUM($M102:U102)))</f>
        <v/>
      </c>
      <c r="W102">
        <f>MAX(0,ROUND(W101*(1+C$5),0)-C102-M102)</f>
        <v/>
      </c>
      <c r="X102">
        <f>MAX(0,ROUND(X101*(1+D$5),0)-D102-N102)</f>
        <v/>
      </c>
      <c r="Y102">
        <f>MAX(0,ROUND(Y101*(1+E$5),0)-E102-O102)</f>
        <v/>
      </c>
      <c r="Z102">
        <f>MAX(0,ROUND(Z101*(1+F$5),0)-F102-P102)</f>
        <v/>
      </c>
      <c r="AA102">
        <f>MAX(0,ROUND(AA101*(1+G$5),0)-G102-Q102)</f>
        <v/>
      </c>
      <c r="AB102">
        <f>MAX(0,ROUND(AB101*(1+H$5),0)-H102-R102)</f>
        <v/>
      </c>
      <c r="AC102">
        <f>MAX(0,ROUND(AC101*(1+I$5),0)-I102-S102)</f>
        <v/>
      </c>
      <c r="AD102">
        <f>MAX(0,ROUND(AD101*(1+J$5),0)-J102-T102)</f>
        <v/>
      </c>
      <c r="AE102">
        <f>MAX(0,ROUND(AE101*(1+K$5),0)-K102-U102)</f>
        <v/>
      </c>
      <c r="AF102">
        <f>MAX(0,ROUND(AF101*(1+L$5),0)-L102-V102)</f>
        <v/>
      </c>
      <c r="AG102">
        <f>AH102-(AI101-AI102)</f>
        <v/>
      </c>
      <c r="AH102">
        <f>SUM(C102:V102)</f>
        <v/>
      </c>
      <c r="AI102">
        <f>SUM(W102:AF102)</f>
        <v/>
      </c>
      <c r="AJ102">
        <f>MAX(0,PresTot-SUM(C102:L102))</f>
        <v/>
      </c>
      <c r="AK102">
        <f>IF(AI101&lt;=0,0,11-SUMPRODUCT(MAX((W101:AF101&gt;0)*(11-(COLUMN(W101:AF101)-COLUMN($V101))))))</f>
        <v/>
      </c>
    </row>
    <row r="103">
      <c r="A103" t="n">
        <v>93</v>
      </c>
      <c r="B103">
        <f>DATE(YEAR(InicioEf),MONTH(InicioEf)+A103-1,1)</f>
        <v/>
      </c>
      <c r="C103">
        <f>MIN(C$6,ROUND(W102*(1+C$5),0))</f>
        <v/>
      </c>
      <c r="D103">
        <f>MIN(D$6,ROUND(X102*(1+D$5),0))</f>
        <v/>
      </c>
      <c r="E103">
        <f>MIN(E$6,ROUND(Y102*(1+E$5),0))</f>
        <v/>
      </c>
      <c r="F103">
        <f>MIN(F$6,ROUND(Z102*(1+F$5),0))</f>
        <v/>
      </c>
      <c r="G103">
        <f>MIN(G$6,ROUND(AA102*(1+G$5),0))</f>
        <v/>
      </c>
      <c r="H103">
        <f>MIN(H$6,ROUND(AB102*(1+H$5),0))</f>
        <v/>
      </c>
      <c r="I103">
        <f>MIN(I$6,ROUND(AC102*(1+I$5),0))</f>
        <v/>
      </c>
      <c r="J103">
        <f>MIN(J$6,ROUND(AD102*(1+J$5),0))</f>
        <v/>
      </c>
      <c r="K103">
        <f>MIN(K$6,ROUND(AE102*(1+K$5),0))</f>
        <v/>
      </c>
      <c r="L103">
        <f>MIN(L$6,ROUND(AF102*(1+L$5),0))</f>
        <v/>
      </c>
      <c r="M103">
        <f>MAX(0,MIN(ROUND(W102*(1+C$5),0)-C103,$AJ103-0))</f>
        <v/>
      </c>
      <c r="N103">
        <f>MAX(0,MIN(ROUND(X102*(1+D$5),0)-D103,$AJ103-SUM($M103:M103)))</f>
        <v/>
      </c>
      <c r="O103">
        <f>MAX(0,MIN(ROUND(Y102*(1+E$5),0)-E103,$AJ103-SUM($M103:N103)))</f>
        <v/>
      </c>
      <c r="P103">
        <f>MAX(0,MIN(ROUND(Z102*(1+F$5),0)-F103,$AJ103-SUM($M103:O103)))</f>
        <v/>
      </c>
      <c r="Q103">
        <f>MAX(0,MIN(ROUND(AA102*(1+G$5),0)-G103,$AJ103-SUM($M103:P103)))</f>
        <v/>
      </c>
      <c r="R103">
        <f>MAX(0,MIN(ROUND(AB102*(1+H$5),0)-H103,$AJ103-SUM($M103:Q103)))</f>
        <v/>
      </c>
      <c r="S103">
        <f>MAX(0,MIN(ROUND(AC102*(1+I$5),0)-I103,$AJ103-SUM($M103:R103)))</f>
        <v/>
      </c>
      <c r="T103">
        <f>MAX(0,MIN(ROUND(AD102*(1+J$5),0)-J103,$AJ103-SUM($M103:S103)))</f>
        <v/>
      </c>
      <c r="U103">
        <f>MAX(0,MIN(ROUND(AE102*(1+K$5),0)-K103,$AJ103-SUM($M103:T103)))</f>
        <v/>
      </c>
      <c r="V103">
        <f>MAX(0,MIN(ROUND(AF102*(1+L$5),0)-L103,$AJ103-SUM($M103:U103)))</f>
        <v/>
      </c>
      <c r="W103">
        <f>MAX(0,ROUND(W102*(1+C$5),0)-C103-M103)</f>
        <v/>
      </c>
      <c r="X103">
        <f>MAX(0,ROUND(X102*(1+D$5),0)-D103-N103)</f>
        <v/>
      </c>
      <c r="Y103">
        <f>MAX(0,ROUND(Y102*(1+E$5),0)-E103-O103)</f>
        <v/>
      </c>
      <c r="Z103">
        <f>MAX(0,ROUND(Z102*(1+F$5),0)-F103-P103)</f>
        <v/>
      </c>
      <c r="AA103">
        <f>MAX(0,ROUND(AA102*(1+G$5),0)-G103-Q103)</f>
        <v/>
      </c>
      <c r="AB103">
        <f>MAX(0,ROUND(AB102*(1+H$5),0)-H103-R103)</f>
        <v/>
      </c>
      <c r="AC103">
        <f>MAX(0,ROUND(AC102*(1+I$5),0)-I103-S103)</f>
        <v/>
      </c>
      <c r="AD103">
        <f>MAX(0,ROUND(AD102*(1+J$5),0)-J103-T103)</f>
        <v/>
      </c>
      <c r="AE103">
        <f>MAX(0,ROUND(AE102*(1+K$5),0)-K103-U103)</f>
        <v/>
      </c>
      <c r="AF103">
        <f>MAX(0,ROUND(AF102*(1+L$5),0)-L103-V103)</f>
        <v/>
      </c>
      <c r="AG103">
        <f>AH103-(AI102-AI103)</f>
        <v/>
      </c>
      <c r="AH103">
        <f>SUM(C103:V103)</f>
        <v/>
      </c>
      <c r="AI103">
        <f>SUM(W103:AF103)</f>
        <v/>
      </c>
      <c r="AJ103">
        <f>MAX(0,PresTot-SUM(C103:L103))</f>
        <v/>
      </c>
      <c r="AK103">
        <f>IF(AI102&lt;=0,0,11-SUMPRODUCT(MAX((W102:AF102&gt;0)*(11-(COLUMN(W102:AF102)-COLUMN($V102))))))</f>
        <v/>
      </c>
    </row>
    <row r="104">
      <c r="A104" t="n">
        <v>94</v>
      </c>
      <c r="B104">
        <f>DATE(YEAR(InicioEf),MONTH(InicioEf)+A104-1,1)</f>
        <v/>
      </c>
      <c r="C104">
        <f>MIN(C$6,ROUND(W103*(1+C$5),0))</f>
        <v/>
      </c>
      <c r="D104">
        <f>MIN(D$6,ROUND(X103*(1+D$5),0))</f>
        <v/>
      </c>
      <c r="E104">
        <f>MIN(E$6,ROUND(Y103*(1+E$5),0))</f>
        <v/>
      </c>
      <c r="F104">
        <f>MIN(F$6,ROUND(Z103*(1+F$5),0))</f>
        <v/>
      </c>
      <c r="G104">
        <f>MIN(G$6,ROUND(AA103*(1+G$5),0))</f>
        <v/>
      </c>
      <c r="H104">
        <f>MIN(H$6,ROUND(AB103*(1+H$5),0))</f>
        <v/>
      </c>
      <c r="I104">
        <f>MIN(I$6,ROUND(AC103*(1+I$5),0))</f>
        <v/>
      </c>
      <c r="J104">
        <f>MIN(J$6,ROUND(AD103*(1+J$5),0))</f>
        <v/>
      </c>
      <c r="K104">
        <f>MIN(K$6,ROUND(AE103*(1+K$5),0))</f>
        <v/>
      </c>
      <c r="L104">
        <f>MIN(L$6,ROUND(AF103*(1+L$5),0))</f>
        <v/>
      </c>
      <c r="M104">
        <f>MAX(0,MIN(ROUND(W103*(1+C$5),0)-C104,$AJ104-0))</f>
        <v/>
      </c>
      <c r="N104">
        <f>MAX(0,MIN(ROUND(X103*(1+D$5),0)-D104,$AJ104-SUM($M104:M104)))</f>
        <v/>
      </c>
      <c r="O104">
        <f>MAX(0,MIN(ROUND(Y103*(1+E$5),0)-E104,$AJ104-SUM($M104:N104)))</f>
        <v/>
      </c>
      <c r="P104">
        <f>MAX(0,MIN(ROUND(Z103*(1+F$5),0)-F104,$AJ104-SUM($M104:O104)))</f>
        <v/>
      </c>
      <c r="Q104">
        <f>MAX(0,MIN(ROUND(AA103*(1+G$5),0)-G104,$AJ104-SUM($M104:P104)))</f>
        <v/>
      </c>
      <c r="R104">
        <f>MAX(0,MIN(ROUND(AB103*(1+H$5),0)-H104,$AJ104-SUM($M104:Q104)))</f>
        <v/>
      </c>
      <c r="S104">
        <f>MAX(0,MIN(ROUND(AC103*(1+I$5),0)-I104,$AJ104-SUM($M104:R104)))</f>
        <v/>
      </c>
      <c r="T104">
        <f>MAX(0,MIN(ROUND(AD103*(1+J$5),0)-J104,$AJ104-SUM($M104:S104)))</f>
        <v/>
      </c>
      <c r="U104">
        <f>MAX(0,MIN(ROUND(AE103*(1+K$5),0)-K104,$AJ104-SUM($M104:T104)))</f>
        <v/>
      </c>
      <c r="V104">
        <f>MAX(0,MIN(ROUND(AF103*(1+L$5),0)-L104,$AJ104-SUM($M104:U104)))</f>
        <v/>
      </c>
      <c r="W104">
        <f>MAX(0,ROUND(W103*(1+C$5),0)-C104-M104)</f>
        <v/>
      </c>
      <c r="X104">
        <f>MAX(0,ROUND(X103*(1+D$5),0)-D104-N104)</f>
        <v/>
      </c>
      <c r="Y104">
        <f>MAX(0,ROUND(Y103*(1+E$5),0)-E104-O104)</f>
        <v/>
      </c>
      <c r="Z104">
        <f>MAX(0,ROUND(Z103*(1+F$5),0)-F104-P104)</f>
        <v/>
      </c>
      <c r="AA104">
        <f>MAX(0,ROUND(AA103*(1+G$5),0)-G104-Q104)</f>
        <v/>
      </c>
      <c r="AB104">
        <f>MAX(0,ROUND(AB103*(1+H$5),0)-H104-R104)</f>
        <v/>
      </c>
      <c r="AC104">
        <f>MAX(0,ROUND(AC103*(1+I$5),0)-I104-S104)</f>
        <v/>
      </c>
      <c r="AD104">
        <f>MAX(0,ROUND(AD103*(1+J$5),0)-J104-T104)</f>
        <v/>
      </c>
      <c r="AE104">
        <f>MAX(0,ROUND(AE103*(1+K$5),0)-K104-U104)</f>
        <v/>
      </c>
      <c r="AF104">
        <f>MAX(0,ROUND(AF103*(1+L$5),0)-L104-V104)</f>
        <v/>
      </c>
      <c r="AG104">
        <f>AH104-(AI103-AI104)</f>
        <v/>
      </c>
      <c r="AH104">
        <f>SUM(C104:V104)</f>
        <v/>
      </c>
      <c r="AI104">
        <f>SUM(W104:AF104)</f>
        <v/>
      </c>
      <c r="AJ104">
        <f>MAX(0,PresTot-SUM(C104:L104))</f>
        <v/>
      </c>
      <c r="AK104">
        <f>IF(AI103&lt;=0,0,11-SUMPRODUCT(MAX((W103:AF103&gt;0)*(11-(COLUMN(W103:AF103)-COLUMN($V103))))))</f>
        <v/>
      </c>
    </row>
    <row r="105">
      <c r="A105" t="n">
        <v>95</v>
      </c>
      <c r="B105">
        <f>DATE(YEAR(InicioEf),MONTH(InicioEf)+A105-1,1)</f>
        <v/>
      </c>
      <c r="C105">
        <f>MIN(C$6,ROUND(W104*(1+C$5),0))</f>
        <v/>
      </c>
      <c r="D105">
        <f>MIN(D$6,ROUND(X104*(1+D$5),0))</f>
        <v/>
      </c>
      <c r="E105">
        <f>MIN(E$6,ROUND(Y104*(1+E$5),0))</f>
        <v/>
      </c>
      <c r="F105">
        <f>MIN(F$6,ROUND(Z104*(1+F$5),0))</f>
        <v/>
      </c>
      <c r="G105">
        <f>MIN(G$6,ROUND(AA104*(1+G$5),0))</f>
        <v/>
      </c>
      <c r="H105">
        <f>MIN(H$6,ROUND(AB104*(1+H$5),0))</f>
        <v/>
      </c>
      <c r="I105">
        <f>MIN(I$6,ROUND(AC104*(1+I$5),0))</f>
        <v/>
      </c>
      <c r="J105">
        <f>MIN(J$6,ROUND(AD104*(1+J$5),0))</f>
        <v/>
      </c>
      <c r="K105">
        <f>MIN(K$6,ROUND(AE104*(1+K$5),0))</f>
        <v/>
      </c>
      <c r="L105">
        <f>MIN(L$6,ROUND(AF104*(1+L$5),0))</f>
        <v/>
      </c>
      <c r="M105">
        <f>MAX(0,MIN(ROUND(W104*(1+C$5),0)-C105,$AJ105-0))</f>
        <v/>
      </c>
      <c r="N105">
        <f>MAX(0,MIN(ROUND(X104*(1+D$5),0)-D105,$AJ105-SUM($M105:M105)))</f>
        <v/>
      </c>
      <c r="O105">
        <f>MAX(0,MIN(ROUND(Y104*(1+E$5),0)-E105,$AJ105-SUM($M105:N105)))</f>
        <v/>
      </c>
      <c r="P105">
        <f>MAX(0,MIN(ROUND(Z104*(1+F$5),0)-F105,$AJ105-SUM($M105:O105)))</f>
        <v/>
      </c>
      <c r="Q105">
        <f>MAX(0,MIN(ROUND(AA104*(1+G$5),0)-G105,$AJ105-SUM($M105:P105)))</f>
        <v/>
      </c>
      <c r="R105">
        <f>MAX(0,MIN(ROUND(AB104*(1+H$5),0)-H105,$AJ105-SUM($M105:Q105)))</f>
        <v/>
      </c>
      <c r="S105">
        <f>MAX(0,MIN(ROUND(AC104*(1+I$5),0)-I105,$AJ105-SUM($M105:R105)))</f>
        <v/>
      </c>
      <c r="T105">
        <f>MAX(0,MIN(ROUND(AD104*(1+J$5),0)-J105,$AJ105-SUM($M105:S105)))</f>
        <v/>
      </c>
      <c r="U105">
        <f>MAX(0,MIN(ROUND(AE104*(1+K$5),0)-K105,$AJ105-SUM($M105:T105)))</f>
        <v/>
      </c>
      <c r="V105">
        <f>MAX(0,MIN(ROUND(AF104*(1+L$5),0)-L105,$AJ105-SUM($M105:U105)))</f>
        <v/>
      </c>
      <c r="W105">
        <f>MAX(0,ROUND(W104*(1+C$5),0)-C105-M105)</f>
        <v/>
      </c>
      <c r="X105">
        <f>MAX(0,ROUND(X104*(1+D$5),0)-D105-N105)</f>
        <v/>
      </c>
      <c r="Y105">
        <f>MAX(0,ROUND(Y104*(1+E$5),0)-E105-O105)</f>
        <v/>
      </c>
      <c r="Z105">
        <f>MAX(0,ROUND(Z104*(1+F$5),0)-F105-P105)</f>
        <v/>
      </c>
      <c r="AA105">
        <f>MAX(0,ROUND(AA104*(1+G$5),0)-G105-Q105)</f>
        <v/>
      </c>
      <c r="AB105">
        <f>MAX(0,ROUND(AB104*(1+H$5),0)-H105-R105)</f>
        <v/>
      </c>
      <c r="AC105">
        <f>MAX(0,ROUND(AC104*(1+I$5),0)-I105-S105)</f>
        <v/>
      </c>
      <c r="AD105">
        <f>MAX(0,ROUND(AD104*(1+J$5),0)-J105-T105)</f>
        <v/>
      </c>
      <c r="AE105">
        <f>MAX(0,ROUND(AE104*(1+K$5),0)-K105-U105)</f>
        <v/>
      </c>
      <c r="AF105">
        <f>MAX(0,ROUND(AF104*(1+L$5),0)-L105-V105)</f>
        <v/>
      </c>
      <c r="AG105">
        <f>AH105-(AI104-AI105)</f>
        <v/>
      </c>
      <c r="AH105">
        <f>SUM(C105:V105)</f>
        <v/>
      </c>
      <c r="AI105">
        <f>SUM(W105:AF105)</f>
        <v/>
      </c>
      <c r="AJ105">
        <f>MAX(0,PresTot-SUM(C105:L105))</f>
        <v/>
      </c>
      <c r="AK105">
        <f>IF(AI104&lt;=0,0,11-SUMPRODUCT(MAX((W104:AF104&gt;0)*(11-(COLUMN(W104:AF104)-COLUMN($V104))))))</f>
        <v/>
      </c>
    </row>
    <row r="106">
      <c r="A106" t="n">
        <v>96</v>
      </c>
      <c r="B106">
        <f>DATE(YEAR(InicioEf),MONTH(InicioEf)+A106-1,1)</f>
        <v/>
      </c>
      <c r="C106">
        <f>MIN(C$6,ROUND(W105*(1+C$5),0))</f>
        <v/>
      </c>
      <c r="D106">
        <f>MIN(D$6,ROUND(X105*(1+D$5),0))</f>
        <v/>
      </c>
      <c r="E106">
        <f>MIN(E$6,ROUND(Y105*(1+E$5),0))</f>
        <v/>
      </c>
      <c r="F106">
        <f>MIN(F$6,ROUND(Z105*(1+F$5),0))</f>
        <v/>
      </c>
      <c r="G106">
        <f>MIN(G$6,ROUND(AA105*(1+G$5),0))</f>
        <v/>
      </c>
      <c r="H106">
        <f>MIN(H$6,ROUND(AB105*(1+H$5),0))</f>
        <v/>
      </c>
      <c r="I106">
        <f>MIN(I$6,ROUND(AC105*(1+I$5),0))</f>
        <v/>
      </c>
      <c r="J106">
        <f>MIN(J$6,ROUND(AD105*(1+J$5),0))</f>
        <v/>
      </c>
      <c r="K106">
        <f>MIN(K$6,ROUND(AE105*(1+K$5),0))</f>
        <v/>
      </c>
      <c r="L106">
        <f>MIN(L$6,ROUND(AF105*(1+L$5),0))</f>
        <v/>
      </c>
      <c r="M106">
        <f>MAX(0,MIN(ROUND(W105*(1+C$5),0)-C106,$AJ106-0))</f>
        <v/>
      </c>
      <c r="N106">
        <f>MAX(0,MIN(ROUND(X105*(1+D$5),0)-D106,$AJ106-SUM($M106:M106)))</f>
        <v/>
      </c>
      <c r="O106">
        <f>MAX(0,MIN(ROUND(Y105*(1+E$5),0)-E106,$AJ106-SUM($M106:N106)))</f>
        <v/>
      </c>
      <c r="P106">
        <f>MAX(0,MIN(ROUND(Z105*(1+F$5),0)-F106,$AJ106-SUM($M106:O106)))</f>
        <v/>
      </c>
      <c r="Q106">
        <f>MAX(0,MIN(ROUND(AA105*(1+G$5),0)-G106,$AJ106-SUM($M106:P106)))</f>
        <v/>
      </c>
      <c r="R106">
        <f>MAX(0,MIN(ROUND(AB105*(1+H$5),0)-H106,$AJ106-SUM($M106:Q106)))</f>
        <v/>
      </c>
      <c r="S106">
        <f>MAX(0,MIN(ROUND(AC105*(1+I$5),0)-I106,$AJ106-SUM($M106:R106)))</f>
        <v/>
      </c>
      <c r="T106">
        <f>MAX(0,MIN(ROUND(AD105*(1+J$5),0)-J106,$AJ106-SUM($M106:S106)))</f>
        <v/>
      </c>
      <c r="U106">
        <f>MAX(0,MIN(ROUND(AE105*(1+K$5),0)-K106,$AJ106-SUM($M106:T106)))</f>
        <v/>
      </c>
      <c r="V106">
        <f>MAX(0,MIN(ROUND(AF105*(1+L$5),0)-L106,$AJ106-SUM($M106:U106)))</f>
        <v/>
      </c>
      <c r="W106">
        <f>MAX(0,ROUND(W105*(1+C$5),0)-C106-M106)</f>
        <v/>
      </c>
      <c r="X106">
        <f>MAX(0,ROUND(X105*(1+D$5),0)-D106-N106)</f>
        <v/>
      </c>
      <c r="Y106">
        <f>MAX(0,ROUND(Y105*(1+E$5),0)-E106-O106)</f>
        <v/>
      </c>
      <c r="Z106">
        <f>MAX(0,ROUND(Z105*(1+F$5),0)-F106-P106)</f>
        <v/>
      </c>
      <c r="AA106">
        <f>MAX(0,ROUND(AA105*(1+G$5),0)-G106-Q106)</f>
        <v/>
      </c>
      <c r="AB106">
        <f>MAX(0,ROUND(AB105*(1+H$5),0)-H106-R106)</f>
        <v/>
      </c>
      <c r="AC106">
        <f>MAX(0,ROUND(AC105*(1+I$5),0)-I106-S106)</f>
        <v/>
      </c>
      <c r="AD106">
        <f>MAX(0,ROUND(AD105*(1+J$5),0)-J106-T106)</f>
        <v/>
      </c>
      <c r="AE106">
        <f>MAX(0,ROUND(AE105*(1+K$5),0)-K106-U106)</f>
        <v/>
      </c>
      <c r="AF106">
        <f>MAX(0,ROUND(AF105*(1+L$5),0)-L106-V106)</f>
        <v/>
      </c>
      <c r="AG106">
        <f>AH106-(AI105-AI106)</f>
        <v/>
      </c>
      <c r="AH106">
        <f>SUM(C106:V106)</f>
        <v/>
      </c>
      <c r="AI106">
        <f>SUM(W106:AF106)</f>
        <v/>
      </c>
      <c r="AJ106">
        <f>MAX(0,PresTot-SUM(C106:L106))</f>
        <v/>
      </c>
      <c r="AK106">
        <f>IF(AI105&lt;=0,0,11-SUMPRODUCT(MAX((W105:AF105&gt;0)*(11-(COLUMN(W105:AF105)-COLUMN($V105))))))</f>
        <v/>
      </c>
    </row>
    <row r="107">
      <c r="A107" t="n">
        <v>97</v>
      </c>
      <c r="B107">
        <f>DATE(YEAR(InicioEf),MONTH(InicioEf)+A107-1,1)</f>
        <v/>
      </c>
      <c r="C107">
        <f>MIN(C$6,ROUND(W106*(1+C$5),0))</f>
        <v/>
      </c>
      <c r="D107">
        <f>MIN(D$6,ROUND(X106*(1+D$5),0))</f>
        <v/>
      </c>
      <c r="E107">
        <f>MIN(E$6,ROUND(Y106*(1+E$5),0))</f>
        <v/>
      </c>
      <c r="F107">
        <f>MIN(F$6,ROUND(Z106*(1+F$5),0))</f>
        <v/>
      </c>
      <c r="G107">
        <f>MIN(G$6,ROUND(AA106*(1+G$5),0))</f>
        <v/>
      </c>
      <c r="H107">
        <f>MIN(H$6,ROUND(AB106*(1+H$5),0))</f>
        <v/>
      </c>
      <c r="I107">
        <f>MIN(I$6,ROUND(AC106*(1+I$5),0))</f>
        <v/>
      </c>
      <c r="J107">
        <f>MIN(J$6,ROUND(AD106*(1+J$5),0))</f>
        <v/>
      </c>
      <c r="K107">
        <f>MIN(K$6,ROUND(AE106*(1+K$5),0))</f>
        <v/>
      </c>
      <c r="L107">
        <f>MIN(L$6,ROUND(AF106*(1+L$5),0))</f>
        <v/>
      </c>
      <c r="M107">
        <f>MAX(0,MIN(ROUND(W106*(1+C$5),0)-C107,$AJ107-0))</f>
        <v/>
      </c>
      <c r="N107">
        <f>MAX(0,MIN(ROUND(X106*(1+D$5),0)-D107,$AJ107-SUM($M107:M107)))</f>
        <v/>
      </c>
      <c r="O107">
        <f>MAX(0,MIN(ROUND(Y106*(1+E$5),0)-E107,$AJ107-SUM($M107:N107)))</f>
        <v/>
      </c>
      <c r="P107">
        <f>MAX(0,MIN(ROUND(Z106*(1+F$5),0)-F107,$AJ107-SUM($M107:O107)))</f>
        <v/>
      </c>
      <c r="Q107">
        <f>MAX(0,MIN(ROUND(AA106*(1+G$5),0)-G107,$AJ107-SUM($M107:P107)))</f>
        <v/>
      </c>
      <c r="R107">
        <f>MAX(0,MIN(ROUND(AB106*(1+H$5),0)-H107,$AJ107-SUM($M107:Q107)))</f>
        <v/>
      </c>
      <c r="S107">
        <f>MAX(0,MIN(ROUND(AC106*(1+I$5),0)-I107,$AJ107-SUM($M107:R107)))</f>
        <v/>
      </c>
      <c r="T107">
        <f>MAX(0,MIN(ROUND(AD106*(1+J$5),0)-J107,$AJ107-SUM($M107:S107)))</f>
        <v/>
      </c>
      <c r="U107">
        <f>MAX(0,MIN(ROUND(AE106*(1+K$5),0)-K107,$AJ107-SUM($M107:T107)))</f>
        <v/>
      </c>
      <c r="V107">
        <f>MAX(0,MIN(ROUND(AF106*(1+L$5),0)-L107,$AJ107-SUM($M107:U107)))</f>
        <v/>
      </c>
      <c r="W107">
        <f>MAX(0,ROUND(W106*(1+C$5),0)-C107-M107)</f>
        <v/>
      </c>
      <c r="X107">
        <f>MAX(0,ROUND(X106*(1+D$5),0)-D107-N107)</f>
        <v/>
      </c>
      <c r="Y107">
        <f>MAX(0,ROUND(Y106*(1+E$5),0)-E107-O107)</f>
        <v/>
      </c>
      <c r="Z107">
        <f>MAX(0,ROUND(Z106*(1+F$5),0)-F107-P107)</f>
        <v/>
      </c>
      <c r="AA107">
        <f>MAX(0,ROUND(AA106*(1+G$5),0)-G107-Q107)</f>
        <v/>
      </c>
      <c r="AB107">
        <f>MAX(0,ROUND(AB106*(1+H$5),0)-H107-R107)</f>
        <v/>
      </c>
      <c r="AC107">
        <f>MAX(0,ROUND(AC106*(1+I$5),0)-I107-S107)</f>
        <v/>
      </c>
      <c r="AD107">
        <f>MAX(0,ROUND(AD106*(1+J$5),0)-J107-T107)</f>
        <v/>
      </c>
      <c r="AE107">
        <f>MAX(0,ROUND(AE106*(1+K$5),0)-K107-U107)</f>
        <v/>
      </c>
      <c r="AF107">
        <f>MAX(0,ROUND(AF106*(1+L$5),0)-L107-V107)</f>
        <v/>
      </c>
      <c r="AG107">
        <f>AH107-(AI106-AI107)</f>
        <v/>
      </c>
      <c r="AH107">
        <f>SUM(C107:V107)</f>
        <v/>
      </c>
      <c r="AI107">
        <f>SUM(W107:AF107)</f>
        <v/>
      </c>
      <c r="AJ107">
        <f>MAX(0,PresTot-SUM(C107:L107))</f>
        <v/>
      </c>
      <c r="AK107">
        <f>IF(AI106&lt;=0,0,11-SUMPRODUCT(MAX((W106:AF106&gt;0)*(11-(COLUMN(W106:AF106)-COLUMN($V106))))))</f>
        <v/>
      </c>
    </row>
    <row r="108">
      <c r="A108" t="n">
        <v>98</v>
      </c>
      <c r="B108">
        <f>DATE(YEAR(InicioEf),MONTH(InicioEf)+A108-1,1)</f>
        <v/>
      </c>
      <c r="C108">
        <f>MIN(C$6,ROUND(W107*(1+C$5),0))</f>
        <v/>
      </c>
      <c r="D108">
        <f>MIN(D$6,ROUND(X107*(1+D$5),0))</f>
        <v/>
      </c>
      <c r="E108">
        <f>MIN(E$6,ROUND(Y107*(1+E$5),0))</f>
        <v/>
      </c>
      <c r="F108">
        <f>MIN(F$6,ROUND(Z107*(1+F$5),0))</f>
        <v/>
      </c>
      <c r="G108">
        <f>MIN(G$6,ROUND(AA107*(1+G$5),0))</f>
        <v/>
      </c>
      <c r="H108">
        <f>MIN(H$6,ROUND(AB107*(1+H$5),0))</f>
        <v/>
      </c>
      <c r="I108">
        <f>MIN(I$6,ROUND(AC107*(1+I$5),0))</f>
        <v/>
      </c>
      <c r="J108">
        <f>MIN(J$6,ROUND(AD107*(1+J$5),0))</f>
        <v/>
      </c>
      <c r="K108">
        <f>MIN(K$6,ROUND(AE107*(1+K$5),0))</f>
        <v/>
      </c>
      <c r="L108">
        <f>MIN(L$6,ROUND(AF107*(1+L$5),0))</f>
        <v/>
      </c>
      <c r="M108">
        <f>MAX(0,MIN(ROUND(W107*(1+C$5),0)-C108,$AJ108-0))</f>
        <v/>
      </c>
      <c r="N108">
        <f>MAX(0,MIN(ROUND(X107*(1+D$5),0)-D108,$AJ108-SUM($M108:M108)))</f>
        <v/>
      </c>
      <c r="O108">
        <f>MAX(0,MIN(ROUND(Y107*(1+E$5),0)-E108,$AJ108-SUM($M108:N108)))</f>
        <v/>
      </c>
      <c r="P108">
        <f>MAX(0,MIN(ROUND(Z107*(1+F$5),0)-F108,$AJ108-SUM($M108:O108)))</f>
        <v/>
      </c>
      <c r="Q108">
        <f>MAX(0,MIN(ROUND(AA107*(1+G$5),0)-G108,$AJ108-SUM($M108:P108)))</f>
        <v/>
      </c>
      <c r="R108">
        <f>MAX(0,MIN(ROUND(AB107*(1+H$5),0)-H108,$AJ108-SUM($M108:Q108)))</f>
        <v/>
      </c>
      <c r="S108">
        <f>MAX(0,MIN(ROUND(AC107*(1+I$5),0)-I108,$AJ108-SUM($M108:R108)))</f>
        <v/>
      </c>
      <c r="T108">
        <f>MAX(0,MIN(ROUND(AD107*(1+J$5),0)-J108,$AJ108-SUM($M108:S108)))</f>
        <v/>
      </c>
      <c r="U108">
        <f>MAX(0,MIN(ROUND(AE107*(1+K$5),0)-K108,$AJ108-SUM($M108:T108)))</f>
        <v/>
      </c>
      <c r="V108">
        <f>MAX(0,MIN(ROUND(AF107*(1+L$5),0)-L108,$AJ108-SUM($M108:U108)))</f>
        <v/>
      </c>
      <c r="W108">
        <f>MAX(0,ROUND(W107*(1+C$5),0)-C108-M108)</f>
        <v/>
      </c>
      <c r="X108">
        <f>MAX(0,ROUND(X107*(1+D$5),0)-D108-N108)</f>
        <v/>
      </c>
      <c r="Y108">
        <f>MAX(0,ROUND(Y107*(1+E$5),0)-E108-O108)</f>
        <v/>
      </c>
      <c r="Z108">
        <f>MAX(0,ROUND(Z107*(1+F$5),0)-F108-P108)</f>
        <v/>
      </c>
      <c r="AA108">
        <f>MAX(0,ROUND(AA107*(1+G$5),0)-G108-Q108)</f>
        <v/>
      </c>
      <c r="AB108">
        <f>MAX(0,ROUND(AB107*(1+H$5),0)-H108-R108)</f>
        <v/>
      </c>
      <c r="AC108">
        <f>MAX(0,ROUND(AC107*(1+I$5),0)-I108-S108)</f>
        <v/>
      </c>
      <c r="AD108">
        <f>MAX(0,ROUND(AD107*(1+J$5),0)-J108-T108)</f>
        <v/>
      </c>
      <c r="AE108">
        <f>MAX(0,ROUND(AE107*(1+K$5),0)-K108-U108)</f>
        <v/>
      </c>
      <c r="AF108">
        <f>MAX(0,ROUND(AF107*(1+L$5),0)-L108-V108)</f>
        <v/>
      </c>
      <c r="AG108">
        <f>AH108-(AI107-AI108)</f>
        <v/>
      </c>
      <c r="AH108">
        <f>SUM(C108:V108)</f>
        <v/>
      </c>
      <c r="AI108">
        <f>SUM(W108:AF108)</f>
        <v/>
      </c>
      <c r="AJ108">
        <f>MAX(0,PresTot-SUM(C108:L108))</f>
        <v/>
      </c>
      <c r="AK108">
        <f>IF(AI107&lt;=0,0,11-SUMPRODUCT(MAX((W107:AF107&gt;0)*(11-(COLUMN(W107:AF107)-COLUMN($V107))))))</f>
        <v/>
      </c>
    </row>
    <row r="109">
      <c r="A109" t="n">
        <v>99</v>
      </c>
      <c r="B109">
        <f>DATE(YEAR(InicioEf),MONTH(InicioEf)+A109-1,1)</f>
        <v/>
      </c>
      <c r="C109">
        <f>MIN(C$6,ROUND(W108*(1+C$5),0))</f>
        <v/>
      </c>
      <c r="D109">
        <f>MIN(D$6,ROUND(X108*(1+D$5),0))</f>
        <v/>
      </c>
      <c r="E109">
        <f>MIN(E$6,ROUND(Y108*(1+E$5),0))</f>
        <v/>
      </c>
      <c r="F109">
        <f>MIN(F$6,ROUND(Z108*(1+F$5),0))</f>
        <v/>
      </c>
      <c r="G109">
        <f>MIN(G$6,ROUND(AA108*(1+G$5),0))</f>
        <v/>
      </c>
      <c r="H109">
        <f>MIN(H$6,ROUND(AB108*(1+H$5),0))</f>
        <v/>
      </c>
      <c r="I109">
        <f>MIN(I$6,ROUND(AC108*(1+I$5),0))</f>
        <v/>
      </c>
      <c r="J109">
        <f>MIN(J$6,ROUND(AD108*(1+J$5),0))</f>
        <v/>
      </c>
      <c r="K109">
        <f>MIN(K$6,ROUND(AE108*(1+K$5),0))</f>
        <v/>
      </c>
      <c r="L109">
        <f>MIN(L$6,ROUND(AF108*(1+L$5),0))</f>
        <v/>
      </c>
      <c r="M109">
        <f>MAX(0,MIN(ROUND(W108*(1+C$5),0)-C109,$AJ109-0))</f>
        <v/>
      </c>
      <c r="N109">
        <f>MAX(0,MIN(ROUND(X108*(1+D$5),0)-D109,$AJ109-SUM($M109:M109)))</f>
        <v/>
      </c>
      <c r="O109">
        <f>MAX(0,MIN(ROUND(Y108*(1+E$5),0)-E109,$AJ109-SUM($M109:N109)))</f>
        <v/>
      </c>
      <c r="P109">
        <f>MAX(0,MIN(ROUND(Z108*(1+F$5),0)-F109,$AJ109-SUM($M109:O109)))</f>
        <v/>
      </c>
      <c r="Q109">
        <f>MAX(0,MIN(ROUND(AA108*(1+G$5),0)-G109,$AJ109-SUM($M109:P109)))</f>
        <v/>
      </c>
      <c r="R109">
        <f>MAX(0,MIN(ROUND(AB108*(1+H$5),0)-H109,$AJ109-SUM($M109:Q109)))</f>
        <v/>
      </c>
      <c r="S109">
        <f>MAX(0,MIN(ROUND(AC108*(1+I$5),0)-I109,$AJ109-SUM($M109:R109)))</f>
        <v/>
      </c>
      <c r="T109">
        <f>MAX(0,MIN(ROUND(AD108*(1+J$5),0)-J109,$AJ109-SUM($M109:S109)))</f>
        <v/>
      </c>
      <c r="U109">
        <f>MAX(0,MIN(ROUND(AE108*(1+K$5),0)-K109,$AJ109-SUM($M109:T109)))</f>
        <v/>
      </c>
      <c r="V109">
        <f>MAX(0,MIN(ROUND(AF108*(1+L$5),0)-L109,$AJ109-SUM($M109:U109)))</f>
        <v/>
      </c>
      <c r="W109">
        <f>MAX(0,ROUND(W108*(1+C$5),0)-C109-M109)</f>
        <v/>
      </c>
      <c r="X109">
        <f>MAX(0,ROUND(X108*(1+D$5),0)-D109-N109)</f>
        <v/>
      </c>
      <c r="Y109">
        <f>MAX(0,ROUND(Y108*(1+E$5),0)-E109-O109)</f>
        <v/>
      </c>
      <c r="Z109">
        <f>MAX(0,ROUND(Z108*(1+F$5),0)-F109-P109)</f>
        <v/>
      </c>
      <c r="AA109">
        <f>MAX(0,ROUND(AA108*(1+G$5),0)-G109-Q109)</f>
        <v/>
      </c>
      <c r="AB109">
        <f>MAX(0,ROUND(AB108*(1+H$5),0)-H109-R109)</f>
        <v/>
      </c>
      <c r="AC109">
        <f>MAX(0,ROUND(AC108*(1+I$5),0)-I109-S109)</f>
        <v/>
      </c>
      <c r="AD109">
        <f>MAX(0,ROUND(AD108*(1+J$5),0)-J109-T109)</f>
        <v/>
      </c>
      <c r="AE109">
        <f>MAX(0,ROUND(AE108*(1+K$5),0)-K109-U109)</f>
        <v/>
      </c>
      <c r="AF109">
        <f>MAX(0,ROUND(AF108*(1+L$5),0)-L109-V109)</f>
        <v/>
      </c>
      <c r="AG109">
        <f>AH109-(AI108-AI109)</f>
        <v/>
      </c>
      <c r="AH109">
        <f>SUM(C109:V109)</f>
        <v/>
      </c>
      <c r="AI109">
        <f>SUM(W109:AF109)</f>
        <v/>
      </c>
      <c r="AJ109">
        <f>MAX(0,PresTot-SUM(C109:L109))</f>
        <v/>
      </c>
      <c r="AK109">
        <f>IF(AI108&lt;=0,0,11-SUMPRODUCT(MAX((W108:AF108&gt;0)*(11-(COLUMN(W108:AF108)-COLUMN($V108))))))</f>
        <v/>
      </c>
    </row>
    <row r="110">
      <c r="A110" t="n">
        <v>100</v>
      </c>
      <c r="B110">
        <f>DATE(YEAR(InicioEf),MONTH(InicioEf)+A110-1,1)</f>
        <v/>
      </c>
      <c r="C110">
        <f>MIN(C$6,ROUND(W109*(1+C$5),0))</f>
        <v/>
      </c>
      <c r="D110">
        <f>MIN(D$6,ROUND(X109*(1+D$5),0))</f>
        <v/>
      </c>
      <c r="E110">
        <f>MIN(E$6,ROUND(Y109*(1+E$5),0))</f>
        <v/>
      </c>
      <c r="F110">
        <f>MIN(F$6,ROUND(Z109*(1+F$5),0))</f>
        <v/>
      </c>
      <c r="G110">
        <f>MIN(G$6,ROUND(AA109*(1+G$5),0))</f>
        <v/>
      </c>
      <c r="H110">
        <f>MIN(H$6,ROUND(AB109*(1+H$5),0))</f>
        <v/>
      </c>
      <c r="I110">
        <f>MIN(I$6,ROUND(AC109*(1+I$5),0))</f>
        <v/>
      </c>
      <c r="J110">
        <f>MIN(J$6,ROUND(AD109*(1+J$5),0))</f>
        <v/>
      </c>
      <c r="K110">
        <f>MIN(K$6,ROUND(AE109*(1+K$5),0))</f>
        <v/>
      </c>
      <c r="L110">
        <f>MIN(L$6,ROUND(AF109*(1+L$5),0))</f>
        <v/>
      </c>
      <c r="M110">
        <f>MAX(0,MIN(ROUND(W109*(1+C$5),0)-C110,$AJ110-0))</f>
        <v/>
      </c>
      <c r="N110">
        <f>MAX(0,MIN(ROUND(X109*(1+D$5),0)-D110,$AJ110-SUM($M110:M110)))</f>
        <v/>
      </c>
      <c r="O110">
        <f>MAX(0,MIN(ROUND(Y109*(1+E$5),0)-E110,$AJ110-SUM($M110:N110)))</f>
        <v/>
      </c>
      <c r="P110">
        <f>MAX(0,MIN(ROUND(Z109*(1+F$5),0)-F110,$AJ110-SUM($M110:O110)))</f>
        <v/>
      </c>
      <c r="Q110">
        <f>MAX(0,MIN(ROUND(AA109*(1+G$5),0)-G110,$AJ110-SUM($M110:P110)))</f>
        <v/>
      </c>
      <c r="R110">
        <f>MAX(0,MIN(ROUND(AB109*(1+H$5),0)-H110,$AJ110-SUM($M110:Q110)))</f>
        <v/>
      </c>
      <c r="S110">
        <f>MAX(0,MIN(ROUND(AC109*(1+I$5),0)-I110,$AJ110-SUM($M110:R110)))</f>
        <v/>
      </c>
      <c r="T110">
        <f>MAX(0,MIN(ROUND(AD109*(1+J$5),0)-J110,$AJ110-SUM($M110:S110)))</f>
        <v/>
      </c>
      <c r="U110">
        <f>MAX(0,MIN(ROUND(AE109*(1+K$5),0)-K110,$AJ110-SUM($M110:T110)))</f>
        <v/>
      </c>
      <c r="V110">
        <f>MAX(0,MIN(ROUND(AF109*(1+L$5),0)-L110,$AJ110-SUM($M110:U110)))</f>
        <v/>
      </c>
      <c r="W110">
        <f>MAX(0,ROUND(W109*(1+C$5),0)-C110-M110)</f>
        <v/>
      </c>
      <c r="X110">
        <f>MAX(0,ROUND(X109*(1+D$5),0)-D110-N110)</f>
        <v/>
      </c>
      <c r="Y110">
        <f>MAX(0,ROUND(Y109*(1+E$5),0)-E110-O110)</f>
        <v/>
      </c>
      <c r="Z110">
        <f>MAX(0,ROUND(Z109*(1+F$5),0)-F110-P110)</f>
        <v/>
      </c>
      <c r="AA110">
        <f>MAX(0,ROUND(AA109*(1+G$5),0)-G110-Q110)</f>
        <v/>
      </c>
      <c r="AB110">
        <f>MAX(0,ROUND(AB109*(1+H$5),0)-H110-R110)</f>
        <v/>
      </c>
      <c r="AC110">
        <f>MAX(0,ROUND(AC109*(1+I$5),0)-I110-S110)</f>
        <v/>
      </c>
      <c r="AD110">
        <f>MAX(0,ROUND(AD109*(1+J$5),0)-J110-T110)</f>
        <v/>
      </c>
      <c r="AE110">
        <f>MAX(0,ROUND(AE109*(1+K$5),0)-K110-U110)</f>
        <v/>
      </c>
      <c r="AF110">
        <f>MAX(0,ROUND(AF109*(1+L$5),0)-L110-V110)</f>
        <v/>
      </c>
      <c r="AG110">
        <f>AH110-(AI109-AI110)</f>
        <v/>
      </c>
      <c r="AH110">
        <f>SUM(C110:V110)</f>
        <v/>
      </c>
      <c r="AI110">
        <f>SUM(W110:AF110)</f>
        <v/>
      </c>
      <c r="AJ110">
        <f>MAX(0,PresTot-SUM(C110:L110))</f>
        <v/>
      </c>
      <c r="AK110">
        <f>IF(AI109&lt;=0,0,11-SUMPRODUCT(MAX((W109:AF109&gt;0)*(11-(COLUMN(W109:AF109)-COLUMN($V109))))))</f>
        <v/>
      </c>
    </row>
    <row r="111">
      <c r="A111" t="n">
        <v>101</v>
      </c>
      <c r="B111">
        <f>DATE(YEAR(InicioEf),MONTH(InicioEf)+A111-1,1)</f>
        <v/>
      </c>
      <c r="C111">
        <f>MIN(C$6,ROUND(W110*(1+C$5),0))</f>
        <v/>
      </c>
      <c r="D111">
        <f>MIN(D$6,ROUND(X110*(1+D$5),0))</f>
        <v/>
      </c>
      <c r="E111">
        <f>MIN(E$6,ROUND(Y110*(1+E$5),0))</f>
        <v/>
      </c>
      <c r="F111">
        <f>MIN(F$6,ROUND(Z110*(1+F$5),0))</f>
        <v/>
      </c>
      <c r="G111">
        <f>MIN(G$6,ROUND(AA110*(1+G$5),0))</f>
        <v/>
      </c>
      <c r="H111">
        <f>MIN(H$6,ROUND(AB110*(1+H$5),0))</f>
        <v/>
      </c>
      <c r="I111">
        <f>MIN(I$6,ROUND(AC110*(1+I$5),0))</f>
        <v/>
      </c>
      <c r="J111">
        <f>MIN(J$6,ROUND(AD110*(1+J$5),0))</f>
        <v/>
      </c>
      <c r="K111">
        <f>MIN(K$6,ROUND(AE110*(1+K$5),0))</f>
        <v/>
      </c>
      <c r="L111">
        <f>MIN(L$6,ROUND(AF110*(1+L$5),0))</f>
        <v/>
      </c>
      <c r="M111">
        <f>MAX(0,MIN(ROUND(W110*(1+C$5),0)-C111,$AJ111-0))</f>
        <v/>
      </c>
      <c r="N111">
        <f>MAX(0,MIN(ROUND(X110*(1+D$5),0)-D111,$AJ111-SUM($M111:M111)))</f>
        <v/>
      </c>
      <c r="O111">
        <f>MAX(0,MIN(ROUND(Y110*(1+E$5),0)-E111,$AJ111-SUM($M111:N111)))</f>
        <v/>
      </c>
      <c r="P111">
        <f>MAX(0,MIN(ROUND(Z110*(1+F$5),0)-F111,$AJ111-SUM($M111:O111)))</f>
        <v/>
      </c>
      <c r="Q111">
        <f>MAX(0,MIN(ROUND(AA110*(1+G$5),0)-G111,$AJ111-SUM($M111:P111)))</f>
        <v/>
      </c>
      <c r="R111">
        <f>MAX(0,MIN(ROUND(AB110*(1+H$5),0)-H111,$AJ111-SUM($M111:Q111)))</f>
        <v/>
      </c>
      <c r="S111">
        <f>MAX(0,MIN(ROUND(AC110*(1+I$5),0)-I111,$AJ111-SUM($M111:R111)))</f>
        <v/>
      </c>
      <c r="T111">
        <f>MAX(0,MIN(ROUND(AD110*(1+J$5),0)-J111,$AJ111-SUM($M111:S111)))</f>
        <v/>
      </c>
      <c r="U111">
        <f>MAX(0,MIN(ROUND(AE110*(1+K$5),0)-K111,$AJ111-SUM($M111:T111)))</f>
        <v/>
      </c>
      <c r="V111">
        <f>MAX(0,MIN(ROUND(AF110*(1+L$5),0)-L111,$AJ111-SUM($M111:U111)))</f>
        <v/>
      </c>
      <c r="W111">
        <f>MAX(0,ROUND(W110*(1+C$5),0)-C111-M111)</f>
        <v/>
      </c>
      <c r="X111">
        <f>MAX(0,ROUND(X110*(1+D$5),0)-D111-N111)</f>
        <v/>
      </c>
      <c r="Y111">
        <f>MAX(0,ROUND(Y110*(1+E$5),0)-E111-O111)</f>
        <v/>
      </c>
      <c r="Z111">
        <f>MAX(0,ROUND(Z110*(1+F$5),0)-F111-P111)</f>
        <v/>
      </c>
      <c r="AA111">
        <f>MAX(0,ROUND(AA110*(1+G$5),0)-G111-Q111)</f>
        <v/>
      </c>
      <c r="AB111">
        <f>MAX(0,ROUND(AB110*(1+H$5),0)-H111-R111)</f>
        <v/>
      </c>
      <c r="AC111">
        <f>MAX(0,ROUND(AC110*(1+I$5),0)-I111-S111)</f>
        <v/>
      </c>
      <c r="AD111">
        <f>MAX(0,ROUND(AD110*(1+J$5),0)-J111-T111)</f>
        <v/>
      </c>
      <c r="AE111">
        <f>MAX(0,ROUND(AE110*(1+K$5),0)-K111-U111)</f>
        <v/>
      </c>
      <c r="AF111">
        <f>MAX(0,ROUND(AF110*(1+L$5),0)-L111-V111)</f>
        <v/>
      </c>
      <c r="AG111">
        <f>AH111-(AI110-AI111)</f>
        <v/>
      </c>
      <c r="AH111">
        <f>SUM(C111:V111)</f>
        <v/>
      </c>
      <c r="AI111">
        <f>SUM(W111:AF111)</f>
        <v/>
      </c>
      <c r="AJ111">
        <f>MAX(0,PresTot-SUM(C111:L111))</f>
        <v/>
      </c>
      <c r="AK111">
        <f>IF(AI110&lt;=0,0,11-SUMPRODUCT(MAX((W110:AF110&gt;0)*(11-(COLUMN(W110:AF110)-COLUMN($V110))))))</f>
        <v/>
      </c>
    </row>
    <row r="112">
      <c r="A112" t="n">
        <v>102</v>
      </c>
      <c r="B112">
        <f>DATE(YEAR(InicioEf),MONTH(InicioEf)+A112-1,1)</f>
        <v/>
      </c>
      <c r="C112">
        <f>MIN(C$6,ROUND(W111*(1+C$5),0))</f>
        <v/>
      </c>
      <c r="D112">
        <f>MIN(D$6,ROUND(X111*(1+D$5),0))</f>
        <v/>
      </c>
      <c r="E112">
        <f>MIN(E$6,ROUND(Y111*(1+E$5),0))</f>
        <v/>
      </c>
      <c r="F112">
        <f>MIN(F$6,ROUND(Z111*(1+F$5),0))</f>
        <v/>
      </c>
      <c r="G112">
        <f>MIN(G$6,ROUND(AA111*(1+G$5),0))</f>
        <v/>
      </c>
      <c r="H112">
        <f>MIN(H$6,ROUND(AB111*(1+H$5),0))</f>
        <v/>
      </c>
      <c r="I112">
        <f>MIN(I$6,ROUND(AC111*(1+I$5),0))</f>
        <v/>
      </c>
      <c r="J112">
        <f>MIN(J$6,ROUND(AD111*(1+J$5),0))</f>
        <v/>
      </c>
      <c r="K112">
        <f>MIN(K$6,ROUND(AE111*(1+K$5),0))</f>
        <v/>
      </c>
      <c r="L112">
        <f>MIN(L$6,ROUND(AF111*(1+L$5),0))</f>
        <v/>
      </c>
      <c r="M112">
        <f>MAX(0,MIN(ROUND(W111*(1+C$5),0)-C112,$AJ112-0))</f>
        <v/>
      </c>
      <c r="N112">
        <f>MAX(0,MIN(ROUND(X111*(1+D$5),0)-D112,$AJ112-SUM($M112:M112)))</f>
        <v/>
      </c>
      <c r="O112">
        <f>MAX(0,MIN(ROUND(Y111*(1+E$5),0)-E112,$AJ112-SUM($M112:N112)))</f>
        <v/>
      </c>
      <c r="P112">
        <f>MAX(0,MIN(ROUND(Z111*(1+F$5),0)-F112,$AJ112-SUM($M112:O112)))</f>
        <v/>
      </c>
      <c r="Q112">
        <f>MAX(0,MIN(ROUND(AA111*(1+G$5),0)-G112,$AJ112-SUM($M112:P112)))</f>
        <v/>
      </c>
      <c r="R112">
        <f>MAX(0,MIN(ROUND(AB111*(1+H$5),0)-H112,$AJ112-SUM($M112:Q112)))</f>
        <v/>
      </c>
      <c r="S112">
        <f>MAX(0,MIN(ROUND(AC111*(1+I$5),0)-I112,$AJ112-SUM($M112:R112)))</f>
        <v/>
      </c>
      <c r="T112">
        <f>MAX(0,MIN(ROUND(AD111*(1+J$5),0)-J112,$AJ112-SUM($M112:S112)))</f>
        <v/>
      </c>
      <c r="U112">
        <f>MAX(0,MIN(ROUND(AE111*(1+K$5),0)-K112,$AJ112-SUM($M112:T112)))</f>
        <v/>
      </c>
      <c r="V112">
        <f>MAX(0,MIN(ROUND(AF111*(1+L$5),0)-L112,$AJ112-SUM($M112:U112)))</f>
        <v/>
      </c>
      <c r="W112">
        <f>MAX(0,ROUND(W111*(1+C$5),0)-C112-M112)</f>
        <v/>
      </c>
      <c r="X112">
        <f>MAX(0,ROUND(X111*(1+D$5),0)-D112-N112)</f>
        <v/>
      </c>
      <c r="Y112">
        <f>MAX(0,ROUND(Y111*(1+E$5),0)-E112-O112)</f>
        <v/>
      </c>
      <c r="Z112">
        <f>MAX(0,ROUND(Z111*(1+F$5),0)-F112-P112)</f>
        <v/>
      </c>
      <c r="AA112">
        <f>MAX(0,ROUND(AA111*(1+G$5),0)-G112-Q112)</f>
        <v/>
      </c>
      <c r="AB112">
        <f>MAX(0,ROUND(AB111*(1+H$5),0)-H112-R112)</f>
        <v/>
      </c>
      <c r="AC112">
        <f>MAX(0,ROUND(AC111*(1+I$5),0)-I112-S112)</f>
        <v/>
      </c>
      <c r="AD112">
        <f>MAX(0,ROUND(AD111*(1+J$5),0)-J112-T112)</f>
        <v/>
      </c>
      <c r="AE112">
        <f>MAX(0,ROUND(AE111*(1+K$5),0)-K112-U112)</f>
        <v/>
      </c>
      <c r="AF112">
        <f>MAX(0,ROUND(AF111*(1+L$5),0)-L112-V112)</f>
        <v/>
      </c>
      <c r="AG112">
        <f>AH112-(AI111-AI112)</f>
        <v/>
      </c>
      <c r="AH112">
        <f>SUM(C112:V112)</f>
        <v/>
      </c>
      <c r="AI112">
        <f>SUM(W112:AF112)</f>
        <v/>
      </c>
      <c r="AJ112">
        <f>MAX(0,PresTot-SUM(C112:L112))</f>
        <v/>
      </c>
      <c r="AK112">
        <f>IF(AI111&lt;=0,0,11-SUMPRODUCT(MAX((W111:AF111&gt;0)*(11-(COLUMN(W111:AF111)-COLUMN($V111))))))</f>
        <v/>
      </c>
    </row>
    <row r="113">
      <c r="A113" t="n">
        <v>103</v>
      </c>
      <c r="B113">
        <f>DATE(YEAR(InicioEf),MONTH(InicioEf)+A113-1,1)</f>
        <v/>
      </c>
      <c r="C113">
        <f>MIN(C$6,ROUND(W112*(1+C$5),0))</f>
        <v/>
      </c>
      <c r="D113">
        <f>MIN(D$6,ROUND(X112*(1+D$5),0))</f>
        <v/>
      </c>
      <c r="E113">
        <f>MIN(E$6,ROUND(Y112*(1+E$5),0))</f>
        <v/>
      </c>
      <c r="F113">
        <f>MIN(F$6,ROUND(Z112*(1+F$5),0))</f>
        <v/>
      </c>
      <c r="G113">
        <f>MIN(G$6,ROUND(AA112*(1+G$5),0))</f>
        <v/>
      </c>
      <c r="H113">
        <f>MIN(H$6,ROUND(AB112*(1+H$5),0))</f>
        <v/>
      </c>
      <c r="I113">
        <f>MIN(I$6,ROUND(AC112*(1+I$5),0))</f>
        <v/>
      </c>
      <c r="J113">
        <f>MIN(J$6,ROUND(AD112*(1+J$5),0))</f>
        <v/>
      </c>
      <c r="K113">
        <f>MIN(K$6,ROUND(AE112*(1+K$5),0))</f>
        <v/>
      </c>
      <c r="L113">
        <f>MIN(L$6,ROUND(AF112*(1+L$5),0))</f>
        <v/>
      </c>
      <c r="M113">
        <f>MAX(0,MIN(ROUND(W112*(1+C$5),0)-C113,$AJ113-0))</f>
        <v/>
      </c>
      <c r="N113">
        <f>MAX(0,MIN(ROUND(X112*(1+D$5),0)-D113,$AJ113-SUM($M113:M113)))</f>
        <v/>
      </c>
      <c r="O113">
        <f>MAX(0,MIN(ROUND(Y112*(1+E$5),0)-E113,$AJ113-SUM($M113:N113)))</f>
        <v/>
      </c>
      <c r="P113">
        <f>MAX(0,MIN(ROUND(Z112*(1+F$5),0)-F113,$AJ113-SUM($M113:O113)))</f>
        <v/>
      </c>
      <c r="Q113">
        <f>MAX(0,MIN(ROUND(AA112*(1+G$5),0)-G113,$AJ113-SUM($M113:P113)))</f>
        <v/>
      </c>
      <c r="R113">
        <f>MAX(0,MIN(ROUND(AB112*(1+H$5),0)-H113,$AJ113-SUM($M113:Q113)))</f>
        <v/>
      </c>
      <c r="S113">
        <f>MAX(0,MIN(ROUND(AC112*(1+I$5),0)-I113,$AJ113-SUM($M113:R113)))</f>
        <v/>
      </c>
      <c r="T113">
        <f>MAX(0,MIN(ROUND(AD112*(1+J$5),0)-J113,$AJ113-SUM($M113:S113)))</f>
        <v/>
      </c>
      <c r="U113">
        <f>MAX(0,MIN(ROUND(AE112*(1+K$5),0)-K113,$AJ113-SUM($M113:T113)))</f>
        <v/>
      </c>
      <c r="V113">
        <f>MAX(0,MIN(ROUND(AF112*(1+L$5),0)-L113,$AJ113-SUM($M113:U113)))</f>
        <v/>
      </c>
      <c r="W113">
        <f>MAX(0,ROUND(W112*(1+C$5),0)-C113-M113)</f>
        <v/>
      </c>
      <c r="X113">
        <f>MAX(0,ROUND(X112*(1+D$5),0)-D113-N113)</f>
        <v/>
      </c>
      <c r="Y113">
        <f>MAX(0,ROUND(Y112*(1+E$5),0)-E113-O113)</f>
        <v/>
      </c>
      <c r="Z113">
        <f>MAX(0,ROUND(Z112*(1+F$5),0)-F113-P113)</f>
        <v/>
      </c>
      <c r="AA113">
        <f>MAX(0,ROUND(AA112*(1+G$5),0)-G113-Q113)</f>
        <v/>
      </c>
      <c r="AB113">
        <f>MAX(0,ROUND(AB112*(1+H$5),0)-H113-R113)</f>
        <v/>
      </c>
      <c r="AC113">
        <f>MAX(0,ROUND(AC112*(1+I$5),0)-I113-S113)</f>
        <v/>
      </c>
      <c r="AD113">
        <f>MAX(0,ROUND(AD112*(1+J$5),0)-J113-T113)</f>
        <v/>
      </c>
      <c r="AE113">
        <f>MAX(0,ROUND(AE112*(1+K$5),0)-K113-U113)</f>
        <v/>
      </c>
      <c r="AF113">
        <f>MAX(0,ROUND(AF112*(1+L$5),0)-L113-V113)</f>
        <v/>
      </c>
      <c r="AG113">
        <f>AH113-(AI112-AI113)</f>
        <v/>
      </c>
      <c r="AH113">
        <f>SUM(C113:V113)</f>
        <v/>
      </c>
      <c r="AI113">
        <f>SUM(W113:AF113)</f>
        <v/>
      </c>
      <c r="AJ113">
        <f>MAX(0,PresTot-SUM(C113:L113))</f>
        <v/>
      </c>
      <c r="AK113">
        <f>IF(AI112&lt;=0,0,11-SUMPRODUCT(MAX((W112:AF112&gt;0)*(11-(COLUMN(W112:AF112)-COLUMN($V112))))))</f>
        <v/>
      </c>
    </row>
    <row r="114">
      <c r="A114" t="n">
        <v>104</v>
      </c>
      <c r="B114">
        <f>DATE(YEAR(InicioEf),MONTH(InicioEf)+A114-1,1)</f>
        <v/>
      </c>
      <c r="C114">
        <f>MIN(C$6,ROUND(W113*(1+C$5),0))</f>
        <v/>
      </c>
      <c r="D114">
        <f>MIN(D$6,ROUND(X113*(1+D$5),0))</f>
        <v/>
      </c>
      <c r="E114">
        <f>MIN(E$6,ROUND(Y113*(1+E$5),0))</f>
        <v/>
      </c>
      <c r="F114">
        <f>MIN(F$6,ROUND(Z113*(1+F$5),0))</f>
        <v/>
      </c>
      <c r="G114">
        <f>MIN(G$6,ROUND(AA113*(1+G$5),0))</f>
        <v/>
      </c>
      <c r="H114">
        <f>MIN(H$6,ROUND(AB113*(1+H$5),0))</f>
        <v/>
      </c>
      <c r="I114">
        <f>MIN(I$6,ROUND(AC113*(1+I$5),0))</f>
        <v/>
      </c>
      <c r="J114">
        <f>MIN(J$6,ROUND(AD113*(1+J$5),0))</f>
        <v/>
      </c>
      <c r="K114">
        <f>MIN(K$6,ROUND(AE113*(1+K$5),0))</f>
        <v/>
      </c>
      <c r="L114">
        <f>MIN(L$6,ROUND(AF113*(1+L$5),0))</f>
        <v/>
      </c>
      <c r="M114">
        <f>MAX(0,MIN(ROUND(W113*(1+C$5),0)-C114,$AJ114-0))</f>
        <v/>
      </c>
      <c r="N114">
        <f>MAX(0,MIN(ROUND(X113*(1+D$5),0)-D114,$AJ114-SUM($M114:M114)))</f>
        <v/>
      </c>
      <c r="O114">
        <f>MAX(0,MIN(ROUND(Y113*(1+E$5),0)-E114,$AJ114-SUM($M114:N114)))</f>
        <v/>
      </c>
      <c r="P114">
        <f>MAX(0,MIN(ROUND(Z113*(1+F$5),0)-F114,$AJ114-SUM($M114:O114)))</f>
        <v/>
      </c>
      <c r="Q114">
        <f>MAX(0,MIN(ROUND(AA113*(1+G$5),0)-G114,$AJ114-SUM($M114:P114)))</f>
        <v/>
      </c>
      <c r="R114">
        <f>MAX(0,MIN(ROUND(AB113*(1+H$5),0)-H114,$AJ114-SUM($M114:Q114)))</f>
        <v/>
      </c>
      <c r="S114">
        <f>MAX(0,MIN(ROUND(AC113*(1+I$5),0)-I114,$AJ114-SUM($M114:R114)))</f>
        <v/>
      </c>
      <c r="T114">
        <f>MAX(0,MIN(ROUND(AD113*(1+J$5),0)-J114,$AJ114-SUM($M114:S114)))</f>
        <v/>
      </c>
      <c r="U114">
        <f>MAX(0,MIN(ROUND(AE113*(1+K$5),0)-K114,$AJ114-SUM($M114:T114)))</f>
        <v/>
      </c>
      <c r="V114">
        <f>MAX(0,MIN(ROUND(AF113*(1+L$5),0)-L114,$AJ114-SUM($M114:U114)))</f>
        <v/>
      </c>
      <c r="W114">
        <f>MAX(0,ROUND(W113*(1+C$5),0)-C114-M114)</f>
        <v/>
      </c>
      <c r="X114">
        <f>MAX(0,ROUND(X113*(1+D$5),0)-D114-N114)</f>
        <v/>
      </c>
      <c r="Y114">
        <f>MAX(0,ROUND(Y113*(1+E$5),0)-E114-O114)</f>
        <v/>
      </c>
      <c r="Z114">
        <f>MAX(0,ROUND(Z113*(1+F$5),0)-F114-P114)</f>
        <v/>
      </c>
      <c r="AA114">
        <f>MAX(0,ROUND(AA113*(1+G$5),0)-G114-Q114)</f>
        <v/>
      </c>
      <c r="AB114">
        <f>MAX(0,ROUND(AB113*(1+H$5),0)-H114-R114)</f>
        <v/>
      </c>
      <c r="AC114">
        <f>MAX(0,ROUND(AC113*(1+I$5),0)-I114-S114)</f>
        <v/>
      </c>
      <c r="AD114">
        <f>MAX(0,ROUND(AD113*(1+J$5),0)-J114-T114)</f>
        <v/>
      </c>
      <c r="AE114">
        <f>MAX(0,ROUND(AE113*(1+K$5),0)-K114-U114)</f>
        <v/>
      </c>
      <c r="AF114">
        <f>MAX(0,ROUND(AF113*(1+L$5),0)-L114-V114)</f>
        <v/>
      </c>
      <c r="AG114">
        <f>AH114-(AI113-AI114)</f>
        <v/>
      </c>
      <c r="AH114">
        <f>SUM(C114:V114)</f>
        <v/>
      </c>
      <c r="AI114">
        <f>SUM(W114:AF114)</f>
        <v/>
      </c>
      <c r="AJ114">
        <f>MAX(0,PresTot-SUM(C114:L114))</f>
        <v/>
      </c>
      <c r="AK114">
        <f>IF(AI113&lt;=0,0,11-SUMPRODUCT(MAX((W113:AF113&gt;0)*(11-(COLUMN(W113:AF113)-COLUMN($V113))))))</f>
        <v/>
      </c>
    </row>
    <row r="115">
      <c r="A115" t="n">
        <v>105</v>
      </c>
      <c r="B115">
        <f>DATE(YEAR(InicioEf),MONTH(InicioEf)+A115-1,1)</f>
        <v/>
      </c>
      <c r="C115">
        <f>MIN(C$6,ROUND(W114*(1+C$5),0))</f>
        <v/>
      </c>
      <c r="D115">
        <f>MIN(D$6,ROUND(X114*(1+D$5),0))</f>
        <v/>
      </c>
      <c r="E115">
        <f>MIN(E$6,ROUND(Y114*(1+E$5),0))</f>
        <v/>
      </c>
      <c r="F115">
        <f>MIN(F$6,ROUND(Z114*(1+F$5),0))</f>
        <v/>
      </c>
      <c r="G115">
        <f>MIN(G$6,ROUND(AA114*(1+G$5),0))</f>
        <v/>
      </c>
      <c r="H115">
        <f>MIN(H$6,ROUND(AB114*(1+H$5),0))</f>
        <v/>
      </c>
      <c r="I115">
        <f>MIN(I$6,ROUND(AC114*(1+I$5),0))</f>
        <v/>
      </c>
      <c r="J115">
        <f>MIN(J$6,ROUND(AD114*(1+J$5),0))</f>
        <v/>
      </c>
      <c r="K115">
        <f>MIN(K$6,ROUND(AE114*(1+K$5),0))</f>
        <v/>
      </c>
      <c r="L115">
        <f>MIN(L$6,ROUND(AF114*(1+L$5),0))</f>
        <v/>
      </c>
      <c r="M115">
        <f>MAX(0,MIN(ROUND(W114*(1+C$5),0)-C115,$AJ115-0))</f>
        <v/>
      </c>
      <c r="N115">
        <f>MAX(0,MIN(ROUND(X114*(1+D$5),0)-D115,$AJ115-SUM($M115:M115)))</f>
        <v/>
      </c>
      <c r="O115">
        <f>MAX(0,MIN(ROUND(Y114*(1+E$5),0)-E115,$AJ115-SUM($M115:N115)))</f>
        <v/>
      </c>
      <c r="P115">
        <f>MAX(0,MIN(ROUND(Z114*(1+F$5),0)-F115,$AJ115-SUM($M115:O115)))</f>
        <v/>
      </c>
      <c r="Q115">
        <f>MAX(0,MIN(ROUND(AA114*(1+G$5),0)-G115,$AJ115-SUM($M115:P115)))</f>
        <v/>
      </c>
      <c r="R115">
        <f>MAX(0,MIN(ROUND(AB114*(1+H$5),0)-H115,$AJ115-SUM($M115:Q115)))</f>
        <v/>
      </c>
      <c r="S115">
        <f>MAX(0,MIN(ROUND(AC114*(1+I$5),0)-I115,$AJ115-SUM($M115:R115)))</f>
        <v/>
      </c>
      <c r="T115">
        <f>MAX(0,MIN(ROUND(AD114*(1+J$5),0)-J115,$AJ115-SUM($M115:S115)))</f>
        <v/>
      </c>
      <c r="U115">
        <f>MAX(0,MIN(ROUND(AE114*(1+K$5),0)-K115,$AJ115-SUM($M115:T115)))</f>
        <v/>
      </c>
      <c r="V115">
        <f>MAX(0,MIN(ROUND(AF114*(1+L$5),0)-L115,$AJ115-SUM($M115:U115)))</f>
        <v/>
      </c>
      <c r="W115">
        <f>MAX(0,ROUND(W114*(1+C$5),0)-C115-M115)</f>
        <v/>
      </c>
      <c r="X115">
        <f>MAX(0,ROUND(X114*(1+D$5),0)-D115-N115)</f>
        <v/>
      </c>
      <c r="Y115">
        <f>MAX(0,ROUND(Y114*(1+E$5),0)-E115-O115)</f>
        <v/>
      </c>
      <c r="Z115">
        <f>MAX(0,ROUND(Z114*(1+F$5),0)-F115-P115)</f>
        <v/>
      </c>
      <c r="AA115">
        <f>MAX(0,ROUND(AA114*(1+G$5),0)-G115-Q115)</f>
        <v/>
      </c>
      <c r="AB115">
        <f>MAX(0,ROUND(AB114*(1+H$5),0)-H115-R115)</f>
        <v/>
      </c>
      <c r="AC115">
        <f>MAX(0,ROUND(AC114*(1+I$5),0)-I115-S115)</f>
        <v/>
      </c>
      <c r="AD115">
        <f>MAX(0,ROUND(AD114*(1+J$5),0)-J115-T115)</f>
        <v/>
      </c>
      <c r="AE115">
        <f>MAX(0,ROUND(AE114*(1+K$5),0)-K115-U115)</f>
        <v/>
      </c>
      <c r="AF115">
        <f>MAX(0,ROUND(AF114*(1+L$5),0)-L115-V115)</f>
        <v/>
      </c>
      <c r="AG115">
        <f>AH115-(AI114-AI115)</f>
        <v/>
      </c>
      <c r="AH115">
        <f>SUM(C115:V115)</f>
        <v/>
      </c>
      <c r="AI115">
        <f>SUM(W115:AF115)</f>
        <v/>
      </c>
      <c r="AJ115">
        <f>MAX(0,PresTot-SUM(C115:L115))</f>
        <v/>
      </c>
      <c r="AK115">
        <f>IF(AI114&lt;=0,0,11-SUMPRODUCT(MAX((W114:AF114&gt;0)*(11-(COLUMN(W114:AF114)-COLUMN($V114))))))</f>
        <v/>
      </c>
    </row>
    <row r="116">
      <c r="A116" t="n">
        <v>106</v>
      </c>
      <c r="B116">
        <f>DATE(YEAR(InicioEf),MONTH(InicioEf)+A116-1,1)</f>
        <v/>
      </c>
      <c r="C116">
        <f>MIN(C$6,ROUND(W115*(1+C$5),0))</f>
        <v/>
      </c>
      <c r="D116">
        <f>MIN(D$6,ROUND(X115*(1+D$5),0))</f>
        <v/>
      </c>
      <c r="E116">
        <f>MIN(E$6,ROUND(Y115*(1+E$5),0))</f>
        <v/>
      </c>
      <c r="F116">
        <f>MIN(F$6,ROUND(Z115*(1+F$5),0))</f>
        <v/>
      </c>
      <c r="G116">
        <f>MIN(G$6,ROUND(AA115*(1+G$5),0))</f>
        <v/>
      </c>
      <c r="H116">
        <f>MIN(H$6,ROUND(AB115*(1+H$5),0))</f>
        <v/>
      </c>
      <c r="I116">
        <f>MIN(I$6,ROUND(AC115*(1+I$5),0))</f>
        <v/>
      </c>
      <c r="J116">
        <f>MIN(J$6,ROUND(AD115*(1+J$5),0))</f>
        <v/>
      </c>
      <c r="K116">
        <f>MIN(K$6,ROUND(AE115*(1+K$5),0))</f>
        <v/>
      </c>
      <c r="L116">
        <f>MIN(L$6,ROUND(AF115*(1+L$5),0))</f>
        <v/>
      </c>
      <c r="M116">
        <f>MAX(0,MIN(ROUND(W115*(1+C$5),0)-C116,$AJ116-0))</f>
        <v/>
      </c>
      <c r="N116">
        <f>MAX(0,MIN(ROUND(X115*(1+D$5),0)-D116,$AJ116-SUM($M116:M116)))</f>
        <v/>
      </c>
      <c r="O116">
        <f>MAX(0,MIN(ROUND(Y115*(1+E$5),0)-E116,$AJ116-SUM($M116:N116)))</f>
        <v/>
      </c>
      <c r="P116">
        <f>MAX(0,MIN(ROUND(Z115*(1+F$5),0)-F116,$AJ116-SUM($M116:O116)))</f>
        <v/>
      </c>
      <c r="Q116">
        <f>MAX(0,MIN(ROUND(AA115*(1+G$5),0)-G116,$AJ116-SUM($M116:P116)))</f>
        <v/>
      </c>
      <c r="R116">
        <f>MAX(0,MIN(ROUND(AB115*(1+H$5),0)-H116,$AJ116-SUM($M116:Q116)))</f>
        <v/>
      </c>
      <c r="S116">
        <f>MAX(0,MIN(ROUND(AC115*(1+I$5),0)-I116,$AJ116-SUM($M116:R116)))</f>
        <v/>
      </c>
      <c r="T116">
        <f>MAX(0,MIN(ROUND(AD115*(1+J$5),0)-J116,$AJ116-SUM($M116:S116)))</f>
        <v/>
      </c>
      <c r="U116">
        <f>MAX(0,MIN(ROUND(AE115*(1+K$5),0)-K116,$AJ116-SUM($M116:T116)))</f>
        <v/>
      </c>
      <c r="V116">
        <f>MAX(0,MIN(ROUND(AF115*(1+L$5),0)-L116,$AJ116-SUM($M116:U116)))</f>
        <v/>
      </c>
      <c r="W116">
        <f>MAX(0,ROUND(W115*(1+C$5),0)-C116-M116)</f>
        <v/>
      </c>
      <c r="X116">
        <f>MAX(0,ROUND(X115*(1+D$5),0)-D116-N116)</f>
        <v/>
      </c>
      <c r="Y116">
        <f>MAX(0,ROUND(Y115*(1+E$5),0)-E116-O116)</f>
        <v/>
      </c>
      <c r="Z116">
        <f>MAX(0,ROUND(Z115*(1+F$5),0)-F116-P116)</f>
        <v/>
      </c>
      <c r="AA116">
        <f>MAX(0,ROUND(AA115*(1+G$5),0)-G116-Q116)</f>
        <v/>
      </c>
      <c r="AB116">
        <f>MAX(0,ROUND(AB115*(1+H$5),0)-H116-R116)</f>
        <v/>
      </c>
      <c r="AC116">
        <f>MAX(0,ROUND(AC115*(1+I$5),0)-I116-S116)</f>
        <v/>
      </c>
      <c r="AD116">
        <f>MAX(0,ROUND(AD115*(1+J$5),0)-J116-T116)</f>
        <v/>
      </c>
      <c r="AE116">
        <f>MAX(0,ROUND(AE115*(1+K$5),0)-K116-U116)</f>
        <v/>
      </c>
      <c r="AF116">
        <f>MAX(0,ROUND(AF115*(1+L$5),0)-L116-V116)</f>
        <v/>
      </c>
      <c r="AG116">
        <f>AH116-(AI115-AI116)</f>
        <v/>
      </c>
      <c r="AH116">
        <f>SUM(C116:V116)</f>
        <v/>
      </c>
      <c r="AI116">
        <f>SUM(W116:AF116)</f>
        <v/>
      </c>
      <c r="AJ116">
        <f>MAX(0,PresTot-SUM(C116:L116))</f>
        <v/>
      </c>
      <c r="AK116">
        <f>IF(AI115&lt;=0,0,11-SUMPRODUCT(MAX((W115:AF115&gt;0)*(11-(COLUMN(W115:AF115)-COLUMN($V115))))))</f>
        <v/>
      </c>
    </row>
    <row r="117">
      <c r="A117" t="n">
        <v>107</v>
      </c>
      <c r="B117">
        <f>DATE(YEAR(InicioEf),MONTH(InicioEf)+A117-1,1)</f>
        <v/>
      </c>
      <c r="C117">
        <f>MIN(C$6,ROUND(W116*(1+C$5),0))</f>
        <v/>
      </c>
      <c r="D117">
        <f>MIN(D$6,ROUND(X116*(1+D$5),0))</f>
        <v/>
      </c>
      <c r="E117">
        <f>MIN(E$6,ROUND(Y116*(1+E$5),0))</f>
        <v/>
      </c>
      <c r="F117">
        <f>MIN(F$6,ROUND(Z116*(1+F$5),0))</f>
        <v/>
      </c>
      <c r="G117">
        <f>MIN(G$6,ROUND(AA116*(1+G$5),0))</f>
        <v/>
      </c>
      <c r="H117">
        <f>MIN(H$6,ROUND(AB116*(1+H$5),0))</f>
        <v/>
      </c>
      <c r="I117">
        <f>MIN(I$6,ROUND(AC116*(1+I$5),0))</f>
        <v/>
      </c>
      <c r="J117">
        <f>MIN(J$6,ROUND(AD116*(1+J$5),0))</f>
        <v/>
      </c>
      <c r="K117">
        <f>MIN(K$6,ROUND(AE116*(1+K$5),0))</f>
        <v/>
      </c>
      <c r="L117">
        <f>MIN(L$6,ROUND(AF116*(1+L$5),0))</f>
        <v/>
      </c>
      <c r="M117">
        <f>MAX(0,MIN(ROUND(W116*(1+C$5),0)-C117,$AJ117-0))</f>
        <v/>
      </c>
      <c r="N117">
        <f>MAX(0,MIN(ROUND(X116*(1+D$5),0)-D117,$AJ117-SUM($M117:M117)))</f>
        <v/>
      </c>
      <c r="O117">
        <f>MAX(0,MIN(ROUND(Y116*(1+E$5),0)-E117,$AJ117-SUM($M117:N117)))</f>
        <v/>
      </c>
      <c r="P117">
        <f>MAX(0,MIN(ROUND(Z116*(1+F$5),0)-F117,$AJ117-SUM($M117:O117)))</f>
        <v/>
      </c>
      <c r="Q117">
        <f>MAX(0,MIN(ROUND(AA116*(1+G$5),0)-G117,$AJ117-SUM($M117:P117)))</f>
        <v/>
      </c>
      <c r="R117">
        <f>MAX(0,MIN(ROUND(AB116*(1+H$5),0)-H117,$AJ117-SUM($M117:Q117)))</f>
        <v/>
      </c>
      <c r="S117">
        <f>MAX(0,MIN(ROUND(AC116*(1+I$5),0)-I117,$AJ117-SUM($M117:R117)))</f>
        <v/>
      </c>
      <c r="T117">
        <f>MAX(0,MIN(ROUND(AD116*(1+J$5),0)-J117,$AJ117-SUM($M117:S117)))</f>
        <v/>
      </c>
      <c r="U117">
        <f>MAX(0,MIN(ROUND(AE116*(1+K$5),0)-K117,$AJ117-SUM($M117:T117)))</f>
        <v/>
      </c>
      <c r="V117">
        <f>MAX(0,MIN(ROUND(AF116*(1+L$5),0)-L117,$AJ117-SUM($M117:U117)))</f>
        <v/>
      </c>
      <c r="W117">
        <f>MAX(0,ROUND(W116*(1+C$5),0)-C117-M117)</f>
        <v/>
      </c>
      <c r="X117">
        <f>MAX(0,ROUND(X116*(1+D$5),0)-D117-N117)</f>
        <v/>
      </c>
      <c r="Y117">
        <f>MAX(0,ROUND(Y116*(1+E$5),0)-E117-O117)</f>
        <v/>
      </c>
      <c r="Z117">
        <f>MAX(0,ROUND(Z116*(1+F$5),0)-F117-P117)</f>
        <v/>
      </c>
      <c r="AA117">
        <f>MAX(0,ROUND(AA116*(1+G$5),0)-G117-Q117)</f>
        <v/>
      </c>
      <c r="AB117">
        <f>MAX(0,ROUND(AB116*(1+H$5),0)-H117-R117)</f>
        <v/>
      </c>
      <c r="AC117">
        <f>MAX(0,ROUND(AC116*(1+I$5),0)-I117-S117)</f>
        <v/>
      </c>
      <c r="AD117">
        <f>MAX(0,ROUND(AD116*(1+J$5),0)-J117-T117)</f>
        <v/>
      </c>
      <c r="AE117">
        <f>MAX(0,ROUND(AE116*(1+K$5),0)-K117-U117)</f>
        <v/>
      </c>
      <c r="AF117">
        <f>MAX(0,ROUND(AF116*(1+L$5),0)-L117-V117)</f>
        <v/>
      </c>
      <c r="AG117">
        <f>AH117-(AI116-AI117)</f>
        <v/>
      </c>
      <c r="AH117">
        <f>SUM(C117:V117)</f>
        <v/>
      </c>
      <c r="AI117">
        <f>SUM(W117:AF117)</f>
        <v/>
      </c>
      <c r="AJ117">
        <f>MAX(0,PresTot-SUM(C117:L117))</f>
        <v/>
      </c>
      <c r="AK117">
        <f>IF(AI116&lt;=0,0,11-SUMPRODUCT(MAX((W116:AF116&gt;0)*(11-(COLUMN(W116:AF116)-COLUMN($V116))))))</f>
        <v/>
      </c>
    </row>
    <row r="118">
      <c r="A118" t="n">
        <v>108</v>
      </c>
      <c r="B118">
        <f>DATE(YEAR(InicioEf),MONTH(InicioEf)+A118-1,1)</f>
        <v/>
      </c>
      <c r="C118">
        <f>MIN(C$6,ROUND(W117*(1+C$5),0))</f>
        <v/>
      </c>
      <c r="D118">
        <f>MIN(D$6,ROUND(X117*(1+D$5),0))</f>
        <v/>
      </c>
      <c r="E118">
        <f>MIN(E$6,ROUND(Y117*(1+E$5),0))</f>
        <v/>
      </c>
      <c r="F118">
        <f>MIN(F$6,ROUND(Z117*(1+F$5),0))</f>
        <v/>
      </c>
      <c r="G118">
        <f>MIN(G$6,ROUND(AA117*(1+G$5),0))</f>
        <v/>
      </c>
      <c r="H118">
        <f>MIN(H$6,ROUND(AB117*(1+H$5),0))</f>
        <v/>
      </c>
      <c r="I118">
        <f>MIN(I$6,ROUND(AC117*(1+I$5),0))</f>
        <v/>
      </c>
      <c r="J118">
        <f>MIN(J$6,ROUND(AD117*(1+J$5),0))</f>
        <v/>
      </c>
      <c r="K118">
        <f>MIN(K$6,ROUND(AE117*(1+K$5),0))</f>
        <v/>
      </c>
      <c r="L118">
        <f>MIN(L$6,ROUND(AF117*(1+L$5),0))</f>
        <v/>
      </c>
      <c r="M118">
        <f>MAX(0,MIN(ROUND(W117*(1+C$5),0)-C118,$AJ118-0))</f>
        <v/>
      </c>
      <c r="N118">
        <f>MAX(0,MIN(ROUND(X117*(1+D$5),0)-D118,$AJ118-SUM($M118:M118)))</f>
        <v/>
      </c>
      <c r="O118">
        <f>MAX(0,MIN(ROUND(Y117*(1+E$5),0)-E118,$AJ118-SUM($M118:N118)))</f>
        <v/>
      </c>
      <c r="P118">
        <f>MAX(0,MIN(ROUND(Z117*(1+F$5),0)-F118,$AJ118-SUM($M118:O118)))</f>
        <v/>
      </c>
      <c r="Q118">
        <f>MAX(0,MIN(ROUND(AA117*(1+G$5),0)-G118,$AJ118-SUM($M118:P118)))</f>
        <v/>
      </c>
      <c r="R118">
        <f>MAX(0,MIN(ROUND(AB117*(1+H$5),0)-H118,$AJ118-SUM($M118:Q118)))</f>
        <v/>
      </c>
      <c r="S118">
        <f>MAX(0,MIN(ROUND(AC117*(1+I$5),0)-I118,$AJ118-SUM($M118:R118)))</f>
        <v/>
      </c>
      <c r="T118">
        <f>MAX(0,MIN(ROUND(AD117*(1+J$5),0)-J118,$AJ118-SUM($M118:S118)))</f>
        <v/>
      </c>
      <c r="U118">
        <f>MAX(0,MIN(ROUND(AE117*(1+K$5),0)-K118,$AJ118-SUM($M118:T118)))</f>
        <v/>
      </c>
      <c r="V118">
        <f>MAX(0,MIN(ROUND(AF117*(1+L$5),0)-L118,$AJ118-SUM($M118:U118)))</f>
        <v/>
      </c>
      <c r="W118">
        <f>MAX(0,ROUND(W117*(1+C$5),0)-C118-M118)</f>
        <v/>
      </c>
      <c r="X118">
        <f>MAX(0,ROUND(X117*(1+D$5),0)-D118-N118)</f>
        <v/>
      </c>
      <c r="Y118">
        <f>MAX(0,ROUND(Y117*(1+E$5),0)-E118-O118)</f>
        <v/>
      </c>
      <c r="Z118">
        <f>MAX(0,ROUND(Z117*(1+F$5),0)-F118-P118)</f>
        <v/>
      </c>
      <c r="AA118">
        <f>MAX(0,ROUND(AA117*(1+G$5),0)-G118-Q118)</f>
        <v/>
      </c>
      <c r="AB118">
        <f>MAX(0,ROUND(AB117*(1+H$5),0)-H118-R118)</f>
        <v/>
      </c>
      <c r="AC118">
        <f>MAX(0,ROUND(AC117*(1+I$5),0)-I118-S118)</f>
        <v/>
      </c>
      <c r="AD118">
        <f>MAX(0,ROUND(AD117*(1+J$5),0)-J118-T118)</f>
        <v/>
      </c>
      <c r="AE118">
        <f>MAX(0,ROUND(AE117*(1+K$5),0)-K118-U118)</f>
        <v/>
      </c>
      <c r="AF118">
        <f>MAX(0,ROUND(AF117*(1+L$5),0)-L118-V118)</f>
        <v/>
      </c>
      <c r="AG118">
        <f>AH118-(AI117-AI118)</f>
        <v/>
      </c>
      <c r="AH118">
        <f>SUM(C118:V118)</f>
        <v/>
      </c>
      <c r="AI118">
        <f>SUM(W118:AF118)</f>
        <v/>
      </c>
      <c r="AJ118">
        <f>MAX(0,PresTot-SUM(C118:L118))</f>
        <v/>
      </c>
      <c r="AK118">
        <f>IF(AI117&lt;=0,0,11-SUMPRODUCT(MAX((W117:AF117&gt;0)*(11-(COLUMN(W117:AF117)-COLUMN($V117))))))</f>
        <v/>
      </c>
    </row>
    <row r="119">
      <c r="A119" t="n">
        <v>109</v>
      </c>
      <c r="B119">
        <f>DATE(YEAR(InicioEf),MONTH(InicioEf)+A119-1,1)</f>
        <v/>
      </c>
      <c r="C119">
        <f>MIN(C$6,ROUND(W118*(1+C$5),0))</f>
        <v/>
      </c>
      <c r="D119">
        <f>MIN(D$6,ROUND(X118*(1+D$5),0))</f>
        <v/>
      </c>
      <c r="E119">
        <f>MIN(E$6,ROUND(Y118*(1+E$5),0))</f>
        <v/>
      </c>
      <c r="F119">
        <f>MIN(F$6,ROUND(Z118*(1+F$5),0))</f>
        <v/>
      </c>
      <c r="G119">
        <f>MIN(G$6,ROUND(AA118*(1+G$5),0))</f>
        <v/>
      </c>
      <c r="H119">
        <f>MIN(H$6,ROUND(AB118*(1+H$5),0))</f>
        <v/>
      </c>
      <c r="I119">
        <f>MIN(I$6,ROUND(AC118*(1+I$5),0))</f>
        <v/>
      </c>
      <c r="J119">
        <f>MIN(J$6,ROUND(AD118*(1+J$5),0))</f>
        <v/>
      </c>
      <c r="K119">
        <f>MIN(K$6,ROUND(AE118*(1+K$5),0))</f>
        <v/>
      </c>
      <c r="L119">
        <f>MIN(L$6,ROUND(AF118*(1+L$5),0))</f>
        <v/>
      </c>
      <c r="M119">
        <f>MAX(0,MIN(ROUND(W118*(1+C$5),0)-C119,$AJ119-0))</f>
        <v/>
      </c>
      <c r="N119">
        <f>MAX(0,MIN(ROUND(X118*(1+D$5),0)-D119,$AJ119-SUM($M119:M119)))</f>
        <v/>
      </c>
      <c r="O119">
        <f>MAX(0,MIN(ROUND(Y118*(1+E$5),0)-E119,$AJ119-SUM($M119:N119)))</f>
        <v/>
      </c>
      <c r="P119">
        <f>MAX(0,MIN(ROUND(Z118*(1+F$5),0)-F119,$AJ119-SUM($M119:O119)))</f>
        <v/>
      </c>
      <c r="Q119">
        <f>MAX(0,MIN(ROUND(AA118*(1+G$5),0)-G119,$AJ119-SUM($M119:P119)))</f>
        <v/>
      </c>
      <c r="R119">
        <f>MAX(0,MIN(ROUND(AB118*(1+H$5),0)-H119,$AJ119-SUM($M119:Q119)))</f>
        <v/>
      </c>
      <c r="S119">
        <f>MAX(0,MIN(ROUND(AC118*(1+I$5),0)-I119,$AJ119-SUM($M119:R119)))</f>
        <v/>
      </c>
      <c r="T119">
        <f>MAX(0,MIN(ROUND(AD118*(1+J$5),0)-J119,$AJ119-SUM($M119:S119)))</f>
        <v/>
      </c>
      <c r="U119">
        <f>MAX(0,MIN(ROUND(AE118*(1+K$5),0)-K119,$AJ119-SUM($M119:T119)))</f>
        <v/>
      </c>
      <c r="V119">
        <f>MAX(0,MIN(ROUND(AF118*(1+L$5),0)-L119,$AJ119-SUM($M119:U119)))</f>
        <v/>
      </c>
      <c r="W119">
        <f>MAX(0,ROUND(W118*(1+C$5),0)-C119-M119)</f>
        <v/>
      </c>
      <c r="X119">
        <f>MAX(0,ROUND(X118*(1+D$5),0)-D119-N119)</f>
        <v/>
      </c>
      <c r="Y119">
        <f>MAX(0,ROUND(Y118*(1+E$5),0)-E119-O119)</f>
        <v/>
      </c>
      <c r="Z119">
        <f>MAX(0,ROUND(Z118*(1+F$5),0)-F119-P119)</f>
        <v/>
      </c>
      <c r="AA119">
        <f>MAX(0,ROUND(AA118*(1+G$5),0)-G119-Q119)</f>
        <v/>
      </c>
      <c r="AB119">
        <f>MAX(0,ROUND(AB118*(1+H$5),0)-H119-R119)</f>
        <v/>
      </c>
      <c r="AC119">
        <f>MAX(0,ROUND(AC118*(1+I$5),0)-I119-S119)</f>
        <v/>
      </c>
      <c r="AD119">
        <f>MAX(0,ROUND(AD118*(1+J$5),0)-J119-T119)</f>
        <v/>
      </c>
      <c r="AE119">
        <f>MAX(0,ROUND(AE118*(1+K$5),0)-K119-U119)</f>
        <v/>
      </c>
      <c r="AF119">
        <f>MAX(0,ROUND(AF118*(1+L$5),0)-L119-V119)</f>
        <v/>
      </c>
      <c r="AG119">
        <f>AH119-(AI118-AI119)</f>
        <v/>
      </c>
      <c r="AH119">
        <f>SUM(C119:V119)</f>
        <v/>
      </c>
      <c r="AI119">
        <f>SUM(W119:AF119)</f>
        <v/>
      </c>
      <c r="AJ119">
        <f>MAX(0,PresTot-SUM(C119:L119))</f>
        <v/>
      </c>
      <c r="AK119">
        <f>IF(AI118&lt;=0,0,11-SUMPRODUCT(MAX((W118:AF118&gt;0)*(11-(COLUMN(W118:AF118)-COLUMN($V118))))))</f>
        <v/>
      </c>
    </row>
    <row r="120">
      <c r="A120" t="n">
        <v>110</v>
      </c>
      <c r="B120">
        <f>DATE(YEAR(InicioEf),MONTH(InicioEf)+A120-1,1)</f>
        <v/>
      </c>
      <c r="C120">
        <f>MIN(C$6,ROUND(W119*(1+C$5),0))</f>
        <v/>
      </c>
      <c r="D120">
        <f>MIN(D$6,ROUND(X119*(1+D$5),0))</f>
        <v/>
      </c>
      <c r="E120">
        <f>MIN(E$6,ROUND(Y119*(1+E$5),0))</f>
        <v/>
      </c>
      <c r="F120">
        <f>MIN(F$6,ROUND(Z119*(1+F$5),0))</f>
        <v/>
      </c>
      <c r="G120">
        <f>MIN(G$6,ROUND(AA119*(1+G$5),0))</f>
        <v/>
      </c>
      <c r="H120">
        <f>MIN(H$6,ROUND(AB119*(1+H$5),0))</f>
        <v/>
      </c>
      <c r="I120">
        <f>MIN(I$6,ROUND(AC119*(1+I$5),0))</f>
        <v/>
      </c>
      <c r="J120">
        <f>MIN(J$6,ROUND(AD119*(1+J$5),0))</f>
        <v/>
      </c>
      <c r="K120">
        <f>MIN(K$6,ROUND(AE119*(1+K$5),0))</f>
        <v/>
      </c>
      <c r="L120">
        <f>MIN(L$6,ROUND(AF119*(1+L$5),0))</f>
        <v/>
      </c>
      <c r="M120">
        <f>MAX(0,MIN(ROUND(W119*(1+C$5),0)-C120,$AJ120-0))</f>
        <v/>
      </c>
      <c r="N120">
        <f>MAX(0,MIN(ROUND(X119*(1+D$5),0)-D120,$AJ120-SUM($M120:M120)))</f>
        <v/>
      </c>
      <c r="O120">
        <f>MAX(0,MIN(ROUND(Y119*(1+E$5),0)-E120,$AJ120-SUM($M120:N120)))</f>
        <v/>
      </c>
      <c r="P120">
        <f>MAX(0,MIN(ROUND(Z119*(1+F$5),0)-F120,$AJ120-SUM($M120:O120)))</f>
        <v/>
      </c>
      <c r="Q120">
        <f>MAX(0,MIN(ROUND(AA119*(1+G$5),0)-G120,$AJ120-SUM($M120:P120)))</f>
        <v/>
      </c>
      <c r="R120">
        <f>MAX(0,MIN(ROUND(AB119*(1+H$5),0)-H120,$AJ120-SUM($M120:Q120)))</f>
        <v/>
      </c>
      <c r="S120">
        <f>MAX(0,MIN(ROUND(AC119*(1+I$5),0)-I120,$AJ120-SUM($M120:R120)))</f>
        <v/>
      </c>
      <c r="T120">
        <f>MAX(0,MIN(ROUND(AD119*(1+J$5),0)-J120,$AJ120-SUM($M120:S120)))</f>
        <v/>
      </c>
      <c r="U120">
        <f>MAX(0,MIN(ROUND(AE119*(1+K$5),0)-K120,$AJ120-SUM($M120:T120)))</f>
        <v/>
      </c>
      <c r="V120">
        <f>MAX(0,MIN(ROUND(AF119*(1+L$5),0)-L120,$AJ120-SUM($M120:U120)))</f>
        <v/>
      </c>
      <c r="W120">
        <f>MAX(0,ROUND(W119*(1+C$5),0)-C120-M120)</f>
        <v/>
      </c>
      <c r="X120">
        <f>MAX(0,ROUND(X119*(1+D$5),0)-D120-N120)</f>
        <v/>
      </c>
      <c r="Y120">
        <f>MAX(0,ROUND(Y119*(1+E$5),0)-E120-O120)</f>
        <v/>
      </c>
      <c r="Z120">
        <f>MAX(0,ROUND(Z119*(1+F$5),0)-F120-P120)</f>
        <v/>
      </c>
      <c r="AA120">
        <f>MAX(0,ROUND(AA119*(1+G$5),0)-G120-Q120)</f>
        <v/>
      </c>
      <c r="AB120">
        <f>MAX(0,ROUND(AB119*(1+H$5),0)-H120-R120)</f>
        <v/>
      </c>
      <c r="AC120">
        <f>MAX(0,ROUND(AC119*(1+I$5),0)-I120-S120)</f>
        <v/>
      </c>
      <c r="AD120">
        <f>MAX(0,ROUND(AD119*(1+J$5),0)-J120-T120)</f>
        <v/>
      </c>
      <c r="AE120">
        <f>MAX(0,ROUND(AE119*(1+K$5),0)-K120-U120)</f>
        <v/>
      </c>
      <c r="AF120">
        <f>MAX(0,ROUND(AF119*(1+L$5),0)-L120-V120)</f>
        <v/>
      </c>
      <c r="AG120">
        <f>AH120-(AI119-AI120)</f>
        <v/>
      </c>
      <c r="AH120">
        <f>SUM(C120:V120)</f>
        <v/>
      </c>
      <c r="AI120">
        <f>SUM(W120:AF120)</f>
        <v/>
      </c>
      <c r="AJ120">
        <f>MAX(0,PresTot-SUM(C120:L120))</f>
        <v/>
      </c>
      <c r="AK120">
        <f>IF(AI119&lt;=0,0,11-SUMPRODUCT(MAX((W119:AF119&gt;0)*(11-(COLUMN(W119:AF119)-COLUMN($V119))))))</f>
        <v/>
      </c>
    </row>
    <row r="121">
      <c r="A121" t="n">
        <v>111</v>
      </c>
      <c r="B121">
        <f>DATE(YEAR(InicioEf),MONTH(InicioEf)+A121-1,1)</f>
        <v/>
      </c>
      <c r="C121">
        <f>MIN(C$6,ROUND(W120*(1+C$5),0))</f>
        <v/>
      </c>
      <c r="D121">
        <f>MIN(D$6,ROUND(X120*(1+D$5),0))</f>
        <v/>
      </c>
      <c r="E121">
        <f>MIN(E$6,ROUND(Y120*(1+E$5),0))</f>
        <v/>
      </c>
      <c r="F121">
        <f>MIN(F$6,ROUND(Z120*(1+F$5),0))</f>
        <v/>
      </c>
      <c r="G121">
        <f>MIN(G$6,ROUND(AA120*(1+G$5),0))</f>
        <v/>
      </c>
      <c r="H121">
        <f>MIN(H$6,ROUND(AB120*(1+H$5),0))</f>
        <v/>
      </c>
      <c r="I121">
        <f>MIN(I$6,ROUND(AC120*(1+I$5),0))</f>
        <v/>
      </c>
      <c r="J121">
        <f>MIN(J$6,ROUND(AD120*(1+J$5),0))</f>
        <v/>
      </c>
      <c r="K121">
        <f>MIN(K$6,ROUND(AE120*(1+K$5),0))</f>
        <v/>
      </c>
      <c r="L121">
        <f>MIN(L$6,ROUND(AF120*(1+L$5),0))</f>
        <v/>
      </c>
      <c r="M121">
        <f>MAX(0,MIN(ROUND(W120*(1+C$5),0)-C121,$AJ121-0))</f>
        <v/>
      </c>
      <c r="N121">
        <f>MAX(0,MIN(ROUND(X120*(1+D$5),0)-D121,$AJ121-SUM($M121:M121)))</f>
        <v/>
      </c>
      <c r="O121">
        <f>MAX(0,MIN(ROUND(Y120*(1+E$5),0)-E121,$AJ121-SUM($M121:N121)))</f>
        <v/>
      </c>
      <c r="P121">
        <f>MAX(0,MIN(ROUND(Z120*(1+F$5),0)-F121,$AJ121-SUM($M121:O121)))</f>
        <v/>
      </c>
      <c r="Q121">
        <f>MAX(0,MIN(ROUND(AA120*(1+G$5),0)-G121,$AJ121-SUM($M121:P121)))</f>
        <v/>
      </c>
      <c r="R121">
        <f>MAX(0,MIN(ROUND(AB120*(1+H$5),0)-H121,$AJ121-SUM($M121:Q121)))</f>
        <v/>
      </c>
      <c r="S121">
        <f>MAX(0,MIN(ROUND(AC120*(1+I$5),0)-I121,$AJ121-SUM($M121:R121)))</f>
        <v/>
      </c>
      <c r="T121">
        <f>MAX(0,MIN(ROUND(AD120*(1+J$5),0)-J121,$AJ121-SUM($M121:S121)))</f>
        <v/>
      </c>
      <c r="U121">
        <f>MAX(0,MIN(ROUND(AE120*(1+K$5),0)-K121,$AJ121-SUM($M121:T121)))</f>
        <v/>
      </c>
      <c r="V121">
        <f>MAX(0,MIN(ROUND(AF120*(1+L$5),0)-L121,$AJ121-SUM($M121:U121)))</f>
        <v/>
      </c>
      <c r="W121">
        <f>MAX(0,ROUND(W120*(1+C$5),0)-C121-M121)</f>
        <v/>
      </c>
      <c r="X121">
        <f>MAX(0,ROUND(X120*(1+D$5),0)-D121-N121)</f>
        <v/>
      </c>
      <c r="Y121">
        <f>MAX(0,ROUND(Y120*(1+E$5),0)-E121-O121)</f>
        <v/>
      </c>
      <c r="Z121">
        <f>MAX(0,ROUND(Z120*(1+F$5),0)-F121-P121)</f>
        <v/>
      </c>
      <c r="AA121">
        <f>MAX(0,ROUND(AA120*(1+G$5),0)-G121-Q121)</f>
        <v/>
      </c>
      <c r="AB121">
        <f>MAX(0,ROUND(AB120*(1+H$5),0)-H121-R121)</f>
        <v/>
      </c>
      <c r="AC121">
        <f>MAX(0,ROUND(AC120*(1+I$5),0)-I121-S121)</f>
        <v/>
      </c>
      <c r="AD121">
        <f>MAX(0,ROUND(AD120*(1+J$5),0)-J121-T121)</f>
        <v/>
      </c>
      <c r="AE121">
        <f>MAX(0,ROUND(AE120*(1+K$5),0)-K121-U121)</f>
        <v/>
      </c>
      <c r="AF121">
        <f>MAX(0,ROUND(AF120*(1+L$5),0)-L121-V121)</f>
        <v/>
      </c>
      <c r="AG121">
        <f>AH121-(AI120-AI121)</f>
        <v/>
      </c>
      <c r="AH121">
        <f>SUM(C121:V121)</f>
        <v/>
      </c>
      <c r="AI121">
        <f>SUM(W121:AF121)</f>
        <v/>
      </c>
      <c r="AJ121">
        <f>MAX(0,PresTot-SUM(C121:L121))</f>
        <v/>
      </c>
      <c r="AK121">
        <f>IF(AI120&lt;=0,0,11-SUMPRODUCT(MAX((W120:AF120&gt;0)*(11-(COLUMN(W120:AF120)-COLUMN($V120))))))</f>
        <v/>
      </c>
    </row>
    <row r="122">
      <c r="A122" t="n">
        <v>112</v>
      </c>
      <c r="B122">
        <f>DATE(YEAR(InicioEf),MONTH(InicioEf)+A122-1,1)</f>
        <v/>
      </c>
      <c r="C122">
        <f>MIN(C$6,ROUND(W121*(1+C$5),0))</f>
        <v/>
      </c>
      <c r="D122">
        <f>MIN(D$6,ROUND(X121*(1+D$5),0))</f>
        <v/>
      </c>
      <c r="E122">
        <f>MIN(E$6,ROUND(Y121*(1+E$5),0))</f>
        <v/>
      </c>
      <c r="F122">
        <f>MIN(F$6,ROUND(Z121*(1+F$5),0))</f>
        <v/>
      </c>
      <c r="G122">
        <f>MIN(G$6,ROUND(AA121*(1+G$5),0))</f>
        <v/>
      </c>
      <c r="H122">
        <f>MIN(H$6,ROUND(AB121*(1+H$5),0))</f>
        <v/>
      </c>
      <c r="I122">
        <f>MIN(I$6,ROUND(AC121*(1+I$5),0))</f>
        <v/>
      </c>
      <c r="J122">
        <f>MIN(J$6,ROUND(AD121*(1+J$5),0))</f>
        <v/>
      </c>
      <c r="K122">
        <f>MIN(K$6,ROUND(AE121*(1+K$5),0))</f>
        <v/>
      </c>
      <c r="L122">
        <f>MIN(L$6,ROUND(AF121*(1+L$5),0))</f>
        <v/>
      </c>
      <c r="M122">
        <f>MAX(0,MIN(ROUND(W121*(1+C$5),0)-C122,$AJ122-0))</f>
        <v/>
      </c>
      <c r="N122">
        <f>MAX(0,MIN(ROUND(X121*(1+D$5),0)-D122,$AJ122-SUM($M122:M122)))</f>
        <v/>
      </c>
      <c r="O122">
        <f>MAX(0,MIN(ROUND(Y121*(1+E$5),0)-E122,$AJ122-SUM($M122:N122)))</f>
        <v/>
      </c>
      <c r="P122">
        <f>MAX(0,MIN(ROUND(Z121*(1+F$5),0)-F122,$AJ122-SUM($M122:O122)))</f>
        <v/>
      </c>
      <c r="Q122">
        <f>MAX(0,MIN(ROUND(AA121*(1+G$5),0)-G122,$AJ122-SUM($M122:P122)))</f>
        <v/>
      </c>
      <c r="R122">
        <f>MAX(0,MIN(ROUND(AB121*(1+H$5),0)-H122,$AJ122-SUM($M122:Q122)))</f>
        <v/>
      </c>
      <c r="S122">
        <f>MAX(0,MIN(ROUND(AC121*(1+I$5),0)-I122,$AJ122-SUM($M122:R122)))</f>
        <v/>
      </c>
      <c r="T122">
        <f>MAX(0,MIN(ROUND(AD121*(1+J$5),0)-J122,$AJ122-SUM($M122:S122)))</f>
        <v/>
      </c>
      <c r="U122">
        <f>MAX(0,MIN(ROUND(AE121*(1+K$5),0)-K122,$AJ122-SUM($M122:T122)))</f>
        <v/>
      </c>
      <c r="V122">
        <f>MAX(0,MIN(ROUND(AF121*(1+L$5),0)-L122,$AJ122-SUM($M122:U122)))</f>
        <v/>
      </c>
      <c r="W122">
        <f>MAX(0,ROUND(W121*(1+C$5),0)-C122-M122)</f>
        <v/>
      </c>
      <c r="X122">
        <f>MAX(0,ROUND(X121*(1+D$5),0)-D122-N122)</f>
        <v/>
      </c>
      <c r="Y122">
        <f>MAX(0,ROUND(Y121*(1+E$5),0)-E122-O122)</f>
        <v/>
      </c>
      <c r="Z122">
        <f>MAX(0,ROUND(Z121*(1+F$5),0)-F122-P122)</f>
        <v/>
      </c>
      <c r="AA122">
        <f>MAX(0,ROUND(AA121*(1+G$5),0)-G122-Q122)</f>
        <v/>
      </c>
      <c r="AB122">
        <f>MAX(0,ROUND(AB121*(1+H$5),0)-H122-R122)</f>
        <v/>
      </c>
      <c r="AC122">
        <f>MAX(0,ROUND(AC121*(1+I$5),0)-I122-S122)</f>
        <v/>
      </c>
      <c r="AD122">
        <f>MAX(0,ROUND(AD121*(1+J$5),0)-J122-T122)</f>
        <v/>
      </c>
      <c r="AE122">
        <f>MAX(0,ROUND(AE121*(1+K$5),0)-K122-U122)</f>
        <v/>
      </c>
      <c r="AF122">
        <f>MAX(0,ROUND(AF121*(1+L$5),0)-L122-V122)</f>
        <v/>
      </c>
      <c r="AG122">
        <f>AH122-(AI121-AI122)</f>
        <v/>
      </c>
      <c r="AH122">
        <f>SUM(C122:V122)</f>
        <v/>
      </c>
      <c r="AI122">
        <f>SUM(W122:AF122)</f>
        <v/>
      </c>
      <c r="AJ122">
        <f>MAX(0,PresTot-SUM(C122:L122))</f>
        <v/>
      </c>
      <c r="AK122">
        <f>IF(AI121&lt;=0,0,11-SUMPRODUCT(MAX((W121:AF121&gt;0)*(11-(COLUMN(W121:AF121)-COLUMN($V121))))))</f>
        <v/>
      </c>
    </row>
    <row r="123">
      <c r="A123" t="n">
        <v>113</v>
      </c>
      <c r="B123">
        <f>DATE(YEAR(InicioEf),MONTH(InicioEf)+A123-1,1)</f>
        <v/>
      </c>
      <c r="C123">
        <f>MIN(C$6,ROUND(W122*(1+C$5),0))</f>
        <v/>
      </c>
      <c r="D123">
        <f>MIN(D$6,ROUND(X122*(1+D$5),0))</f>
        <v/>
      </c>
      <c r="E123">
        <f>MIN(E$6,ROUND(Y122*(1+E$5),0))</f>
        <v/>
      </c>
      <c r="F123">
        <f>MIN(F$6,ROUND(Z122*(1+F$5),0))</f>
        <v/>
      </c>
      <c r="G123">
        <f>MIN(G$6,ROUND(AA122*(1+G$5),0))</f>
        <v/>
      </c>
      <c r="H123">
        <f>MIN(H$6,ROUND(AB122*(1+H$5),0))</f>
        <v/>
      </c>
      <c r="I123">
        <f>MIN(I$6,ROUND(AC122*(1+I$5),0))</f>
        <v/>
      </c>
      <c r="J123">
        <f>MIN(J$6,ROUND(AD122*(1+J$5),0))</f>
        <v/>
      </c>
      <c r="K123">
        <f>MIN(K$6,ROUND(AE122*(1+K$5),0))</f>
        <v/>
      </c>
      <c r="L123">
        <f>MIN(L$6,ROUND(AF122*(1+L$5),0))</f>
        <v/>
      </c>
      <c r="M123">
        <f>MAX(0,MIN(ROUND(W122*(1+C$5),0)-C123,$AJ123-0))</f>
        <v/>
      </c>
      <c r="N123">
        <f>MAX(0,MIN(ROUND(X122*(1+D$5),0)-D123,$AJ123-SUM($M123:M123)))</f>
        <v/>
      </c>
      <c r="O123">
        <f>MAX(0,MIN(ROUND(Y122*(1+E$5),0)-E123,$AJ123-SUM($M123:N123)))</f>
        <v/>
      </c>
      <c r="P123">
        <f>MAX(0,MIN(ROUND(Z122*(1+F$5),0)-F123,$AJ123-SUM($M123:O123)))</f>
        <v/>
      </c>
      <c r="Q123">
        <f>MAX(0,MIN(ROUND(AA122*(1+G$5),0)-G123,$AJ123-SUM($M123:P123)))</f>
        <v/>
      </c>
      <c r="R123">
        <f>MAX(0,MIN(ROUND(AB122*(1+H$5),0)-H123,$AJ123-SUM($M123:Q123)))</f>
        <v/>
      </c>
      <c r="S123">
        <f>MAX(0,MIN(ROUND(AC122*(1+I$5),0)-I123,$AJ123-SUM($M123:R123)))</f>
        <v/>
      </c>
      <c r="T123">
        <f>MAX(0,MIN(ROUND(AD122*(1+J$5),0)-J123,$AJ123-SUM($M123:S123)))</f>
        <v/>
      </c>
      <c r="U123">
        <f>MAX(0,MIN(ROUND(AE122*(1+K$5),0)-K123,$AJ123-SUM($M123:T123)))</f>
        <v/>
      </c>
      <c r="V123">
        <f>MAX(0,MIN(ROUND(AF122*(1+L$5),0)-L123,$AJ123-SUM($M123:U123)))</f>
        <v/>
      </c>
      <c r="W123">
        <f>MAX(0,ROUND(W122*(1+C$5),0)-C123-M123)</f>
        <v/>
      </c>
      <c r="X123">
        <f>MAX(0,ROUND(X122*(1+D$5),0)-D123-N123)</f>
        <v/>
      </c>
      <c r="Y123">
        <f>MAX(0,ROUND(Y122*(1+E$5),0)-E123-O123)</f>
        <v/>
      </c>
      <c r="Z123">
        <f>MAX(0,ROUND(Z122*(1+F$5),0)-F123-P123)</f>
        <v/>
      </c>
      <c r="AA123">
        <f>MAX(0,ROUND(AA122*(1+G$5),0)-G123-Q123)</f>
        <v/>
      </c>
      <c r="AB123">
        <f>MAX(0,ROUND(AB122*(1+H$5),0)-H123-R123)</f>
        <v/>
      </c>
      <c r="AC123">
        <f>MAX(0,ROUND(AC122*(1+I$5),0)-I123-S123)</f>
        <v/>
      </c>
      <c r="AD123">
        <f>MAX(0,ROUND(AD122*(1+J$5),0)-J123-T123)</f>
        <v/>
      </c>
      <c r="AE123">
        <f>MAX(0,ROUND(AE122*(1+K$5),0)-K123-U123)</f>
        <v/>
      </c>
      <c r="AF123">
        <f>MAX(0,ROUND(AF122*(1+L$5),0)-L123-V123)</f>
        <v/>
      </c>
      <c r="AG123">
        <f>AH123-(AI122-AI123)</f>
        <v/>
      </c>
      <c r="AH123">
        <f>SUM(C123:V123)</f>
        <v/>
      </c>
      <c r="AI123">
        <f>SUM(W123:AF123)</f>
        <v/>
      </c>
      <c r="AJ123">
        <f>MAX(0,PresTot-SUM(C123:L123))</f>
        <v/>
      </c>
      <c r="AK123">
        <f>IF(AI122&lt;=0,0,11-SUMPRODUCT(MAX((W122:AF122&gt;0)*(11-(COLUMN(W122:AF122)-COLUMN($V122))))))</f>
        <v/>
      </c>
    </row>
    <row r="124">
      <c r="A124" t="n">
        <v>114</v>
      </c>
      <c r="B124">
        <f>DATE(YEAR(InicioEf),MONTH(InicioEf)+A124-1,1)</f>
        <v/>
      </c>
      <c r="C124">
        <f>MIN(C$6,ROUND(W123*(1+C$5),0))</f>
        <v/>
      </c>
      <c r="D124">
        <f>MIN(D$6,ROUND(X123*(1+D$5),0))</f>
        <v/>
      </c>
      <c r="E124">
        <f>MIN(E$6,ROUND(Y123*(1+E$5),0))</f>
        <v/>
      </c>
      <c r="F124">
        <f>MIN(F$6,ROUND(Z123*(1+F$5),0))</f>
        <v/>
      </c>
      <c r="G124">
        <f>MIN(G$6,ROUND(AA123*(1+G$5),0))</f>
        <v/>
      </c>
      <c r="H124">
        <f>MIN(H$6,ROUND(AB123*(1+H$5),0))</f>
        <v/>
      </c>
      <c r="I124">
        <f>MIN(I$6,ROUND(AC123*(1+I$5),0))</f>
        <v/>
      </c>
      <c r="J124">
        <f>MIN(J$6,ROUND(AD123*(1+J$5),0))</f>
        <v/>
      </c>
      <c r="K124">
        <f>MIN(K$6,ROUND(AE123*(1+K$5),0))</f>
        <v/>
      </c>
      <c r="L124">
        <f>MIN(L$6,ROUND(AF123*(1+L$5),0))</f>
        <v/>
      </c>
      <c r="M124">
        <f>MAX(0,MIN(ROUND(W123*(1+C$5),0)-C124,$AJ124-0))</f>
        <v/>
      </c>
      <c r="N124">
        <f>MAX(0,MIN(ROUND(X123*(1+D$5),0)-D124,$AJ124-SUM($M124:M124)))</f>
        <v/>
      </c>
      <c r="O124">
        <f>MAX(0,MIN(ROUND(Y123*(1+E$5),0)-E124,$AJ124-SUM($M124:N124)))</f>
        <v/>
      </c>
      <c r="P124">
        <f>MAX(0,MIN(ROUND(Z123*(1+F$5),0)-F124,$AJ124-SUM($M124:O124)))</f>
        <v/>
      </c>
      <c r="Q124">
        <f>MAX(0,MIN(ROUND(AA123*(1+G$5),0)-G124,$AJ124-SUM($M124:P124)))</f>
        <v/>
      </c>
      <c r="R124">
        <f>MAX(0,MIN(ROUND(AB123*(1+H$5),0)-H124,$AJ124-SUM($M124:Q124)))</f>
        <v/>
      </c>
      <c r="S124">
        <f>MAX(0,MIN(ROUND(AC123*(1+I$5),0)-I124,$AJ124-SUM($M124:R124)))</f>
        <v/>
      </c>
      <c r="T124">
        <f>MAX(0,MIN(ROUND(AD123*(1+J$5),0)-J124,$AJ124-SUM($M124:S124)))</f>
        <v/>
      </c>
      <c r="U124">
        <f>MAX(0,MIN(ROUND(AE123*(1+K$5),0)-K124,$AJ124-SUM($M124:T124)))</f>
        <v/>
      </c>
      <c r="V124">
        <f>MAX(0,MIN(ROUND(AF123*(1+L$5),0)-L124,$AJ124-SUM($M124:U124)))</f>
        <v/>
      </c>
      <c r="W124">
        <f>MAX(0,ROUND(W123*(1+C$5),0)-C124-M124)</f>
        <v/>
      </c>
      <c r="X124">
        <f>MAX(0,ROUND(X123*(1+D$5),0)-D124-N124)</f>
        <v/>
      </c>
      <c r="Y124">
        <f>MAX(0,ROUND(Y123*(1+E$5),0)-E124-O124)</f>
        <v/>
      </c>
      <c r="Z124">
        <f>MAX(0,ROUND(Z123*(1+F$5),0)-F124-P124)</f>
        <v/>
      </c>
      <c r="AA124">
        <f>MAX(0,ROUND(AA123*(1+G$5),0)-G124-Q124)</f>
        <v/>
      </c>
      <c r="AB124">
        <f>MAX(0,ROUND(AB123*(1+H$5),0)-H124-R124)</f>
        <v/>
      </c>
      <c r="AC124">
        <f>MAX(0,ROUND(AC123*(1+I$5),0)-I124-S124)</f>
        <v/>
      </c>
      <c r="AD124">
        <f>MAX(0,ROUND(AD123*(1+J$5),0)-J124-T124)</f>
        <v/>
      </c>
      <c r="AE124">
        <f>MAX(0,ROUND(AE123*(1+K$5),0)-K124-U124)</f>
        <v/>
      </c>
      <c r="AF124">
        <f>MAX(0,ROUND(AF123*(1+L$5),0)-L124-V124)</f>
        <v/>
      </c>
      <c r="AG124">
        <f>AH124-(AI123-AI124)</f>
        <v/>
      </c>
      <c r="AH124">
        <f>SUM(C124:V124)</f>
        <v/>
      </c>
      <c r="AI124">
        <f>SUM(W124:AF124)</f>
        <v/>
      </c>
      <c r="AJ124">
        <f>MAX(0,PresTot-SUM(C124:L124))</f>
        <v/>
      </c>
      <c r="AK124">
        <f>IF(AI123&lt;=0,0,11-SUMPRODUCT(MAX((W123:AF123&gt;0)*(11-(COLUMN(W123:AF123)-COLUMN($V123))))))</f>
        <v/>
      </c>
    </row>
    <row r="125">
      <c r="A125" t="n">
        <v>115</v>
      </c>
      <c r="B125">
        <f>DATE(YEAR(InicioEf),MONTH(InicioEf)+A125-1,1)</f>
        <v/>
      </c>
      <c r="C125">
        <f>MIN(C$6,ROUND(W124*(1+C$5),0))</f>
        <v/>
      </c>
      <c r="D125">
        <f>MIN(D$6,ROUND(X124*(1+D$5),0))</f>
        <v/>
      </c>
      <c r="E125">
        <f>MIN(E$6,ROUND(Y124*(1+E$5),0))</f>
        <v/>
      </c>
      <c r="F125">
        <f>MIN(F$6,ROUND(Z124*(1+F$5),0))</f>
        <v/>
      </c>
      <c r="G125">
        <f>MIN(G$6,ROUND(AA124*(1+G$5),0))</f>
        <v/>
      </c>
      <c r="H125">
        <f>MIN(H$6,ROUND(AB124*(1+H$5),0))</f>
        <v/>
      </c>
      <c r="I125">
        <f>MIN(I$6,ROUND(AC124*(1+I$5),0))</f>
        <v/>
      </c>
      <c r="J125">
        <f>MIN(J$6,ROUND(AD124*(1+J$5),0))</f>
        <v/>
      </c>
      <c r="K125">
        <f>MIN(K$6,ROUND(AE124*(1+K$5),0))</f>
        <v/>
      </c>
      <c r="L125">
        <f>MIN(L$6,ROUND(AF124*(1+L$5),0))</f>
        <v/>
      </c>
      <c r="M125">
        <f>MAX(0,MIN(ROUND(W124*(1+C$5),0)-C125,$AJ125-0))</f>
        <v/>
      </c>
      <c r="N125">
        <f>MAX(0,MIN(ROUND(X124*(1+D$5),0)-D125,$AJ125-SUM($M125:M125)))</f>
        <v/>
      </c>
      <c r="O125">
        <f>MAX(0,MIN(ROUND(Y124*(1+E$5),0)-E125,$AJ125-SUM($M125:N125)))</f>
        <v/>
      </c>
      <c r="P125">
        <f>MAX(0,MIN(ROUND(Z124*(1+F$5),0)-F125,$AJ125-SUM($M125:O125)))</f>
        <v/>
      </c>
      <c r="Q125">
        <f>MAX(0,MIN(ROUND(AA124*(1+G$5),0)-G125,$AJ125-SUM($M125:P125)))</f>
        <v/>
      </c>
      <c r="R125">
        <f>MAX(0,MIN(ROUND(AB124*(1+H$5),0)-H125,$AJ125-SUM($M125:Q125)))</f>
        <v/>
      </c>
      <c r="S125">
        <f>MAX(0,MIN(ROUND(AC124*(1+I$5),0)-I125,$AJ125-SUM($M125:R125)))</f>
        <v/>
      </c>
      <c r="T125">
        <f>MAX(0,MIN(ROUND(AD124*(1+J$5),0)-J125,$AJ125-SUM($M125:S125)))</f>
        <v/>
      </c>
      <c r="U125">
        <f>MAX(0,MIN(ROUND(AE124*(1+K$5),0)-K125,$AJ125-SUM($M125:T125)))</f>
        <v/>
      </c>
      <c r="V125">
        <f>MAX(0,MIN(ROUND(AF124*(1+L$5),0)-L125,$AJ125-SUM($M125:U125)))</f>
        <v/>
      </c>
      <c r="W125">
        <f>MAX(0,ROUND(W124*(1+C$5),0)-C125-M125)</f>
        <v/>
      </c>
      <c r="X125">
        <f>MAX(0,ROUND(X124*(1+D$5),0)-D125-N125)</f>
        <v/>
      </c>
      <c r="Y125">
        <f>MAX(0,ROUND(Y124*(1+E$5),0)-E125-O125)</f>
        <v/>
      </c>
      <c r="Z125">
        <f>MAX(0,ROUND(Z124*(1+F$5),0)-F125-P125)</f>
        <v/>
      </c>
      <c r="AA125">
        <f>MAX(0,ROUND(AA124*(1+G$5),0)-G125-Q125)</f>
        <v/>
      </c>
      <c r="AB125">
        <f>MAX(0,ROUND(AB124*(1+H$5),0)-H125-R125)</f>
        <v/>
      </c>
      <c r="AC125">
        <f>MAX(0,ROUND(AC124*(1+I$5),0)-I125-S125)</f>
        <v/>
      </c>
      <c r="AD125">
        <f>MAX(0,ROUND(AD124*(1+J$5),0)-J125-T125)</f>
        <v/>
      </c>
      <c r="AE125">
        <f>MAX(0,ROUND(AE124*(1+K$5),0)-K125-U125)</f>
        <v/>
      </c>
      <c r="AF125">
        <f>MAX(0,ROUND(AF124*(1+L$5),0)-L125-V125)</f>
        <v/>
      </c>
      <c r="AG125">
        <f>AH125-(AI124-AI125)</f>
        <v/>
      </c>
      <c r="AH125">
        <f>SUM(C125:V125)</f>
        <v/>
      </c>
      <c r="AI125">
        <f>SUM(W125:AF125)</f>
        <v/>
      </c>
      <c r="AJ125">
        <f>MAX(0,PresTot-SUM(C125:L125))</f>
        <v/>
      </c>
      <c r="AK125">
        <f>IF(AI124&lt;=0,0,11-SUMPRODUCT(MAX((W124:AF124&gt;0)*(11-(COLUMN(W124:AF124)-COLUMN($V124))))))</f>
        <v/>
      </c>
    </row>
    <row r="126">
      <c r="A126" t="n">
        <v>116</v>
      </c>
      <c r="B126">
        <f>DATE(YEAR(InicioEf),MONTH(InicioEf)+A126-1,1)</f>
        <v/>
      </c>
      <c r="C126">
        <f>MIN(C$6,ROUND(W125*(1+C$5),0))</f>
        <v/>
      </c>
      <c r="D126">
        <f>MIN(D$6,ROUND(X125*(1+D$5),0))</f>
        <v/>
      </c>
      <c r="E126">
        <f>MIN(E$6,ROUND(Y125*(1+E$5),0))</f>
        <v/>
      </c>
      <c r="F126">
        <f>MIN(F$6,ROUND(Z125*(1+F$5),0))</f>
        <v/>
      </c>
      <c r="G126">
        <f>MIN(G$6,ROUND(AA125*(1+G$5),0))</f>
        <v/>
      </c>
      <c r="H126">
        <f>MIN(H$6,ROUND(AB125*(1+H$5),0))</f>
        <v/>
      </c>
      <c r="I126">
        <f>MIN(I$6,ROUND(AC125*(1+I$5),0))</f>
        <v/>
      </c>
      <c r="J126">
        <f>MIN(J$6,ROUND(AD125*(1+J$5),0))</f>
        <v/>
      </c>
      <c r="K126">
        <f>MIN(K$6,ROUND(AE125*(1+K$5),0))</f>
        <v/>
      </c>
      <c r="L126">
        <f>MIN(L$6,ROUND(AF125*(1+L$5),0))</f>
        <v/>
      </c>
      <c r="M126">
        <f>MAX(0,MIN(ROUND(W125*(1+C$5),0)-C126,$AJ126-0))</f>
        <v/>
      </c>
      <c r="N126">
        <f>MAX(0,MIN(ROUND(X125*(1+D$5),0)-D126,$AJ126-SUM($M126:M126)))</f>
        <v/>
      </c>
      <c r="O126">
        <f>MAX(0,MIN(ROUND(Y125*(1+E$5),0)-E126,$AJ126-SUM($M126:N126)))</f>
        <v/>
      </c>
      <c r="P126">
        <f>MAX(0,MIN(ROUND(Z125*(1+F$5),0)-F126,$AJ126-SUM($M126:O126)))</f>
        <v/>
      </c>
      <c r="Q126">
        <f>MAX(0,MIN(ROUND(AA125*(1+G$5),0)-G126,$AJ126-SUM($M126:P126)))</f>
        <v/>
      </c>
      <c r="R126">
        <f>MAX(0,MIN(ROUND(AB125*(1+H$5),0)-H126,$AJ126-SUM($M126:Q126)))</f>
        <v/>
      </c>
      <c r="S126">
        <f>MAX(0,MIN(ROUND(AC125*(1+I$5),0)-I126,$AJ126-SUM($M126:R126)))</f>
        <v/>
      </c>
      <c r="T126">
        <f>MAX(0,MIN(ROUND(AD125*(1+J$5),0)-J126,$AJ126-SUM($M126:S126)))</f>
        <v/>
      </c>
      <c r="U126">
        <f>MAX(0,MIN(ROUND(AE125*(1+K$5),0)-K126,$AJ126-SUM($M126:T126)))</f>
        <v/>
      </c>
      <c r="V126">
        <f>MAX(0,MIN(ROUND(AF125*(1+L$5),0)-L126,$AJ126-SUM($M126:U126)))</f>
        <v/>
      </c>
      <c r="W126">
        <f>MAX(0,ROUND(W125*(1+C$5),0)-C126-M126)</f>
        <v/>
      </c>
      <c r="X126">
        <f>MAX(0,ROUND(X125*(1+D$5),0)-D126-N126)</f>
        <v/>
      </c>
      <c r="Y126">
        <f>MAX(0,ROUND(Y125*(1+E$5),0)-E126-O126)</f>
        <v/>
      </c>
      <c r="Z126">
        <f>MAX(0,ROUND(Z125*(1+F$5),0)-F126-P126)</f>
        <v/>
      </c>
      <c r="AA126">
        <f>MAX(0,ROUND(AA125*(1+G$5),0)-G126-Q126)</f>
        <v/>
      </c>
      <c r="AB126">
        <f>MAX(0,ROUND(AB125*(1+H$5),0)-H126-R126)</f>
        <v/>
      </c>
      <c r="AC126">
        <f>MAX(0,ROUND(AC125*(1+I$5),0)-I126-S126)</f>
        <v/>
      </c>
      <c r="AD126">
        <f>MAX(0,ROUND(AD125*(1+J$5),0)-J126-T126)</f>
        <v/>
      </c>
      <c r="AE126">
        <f>MAX(0,ROUND(AE125*(1+K$5),0)-K126-U126)</f>
        <v/>
      </c>
      <c r="AF126">
        <f>MAX(0,ROUND(AF125*(1+L$5),0)-L126-V126)</f>
        <v/>
      </c>
      <c r="AG126">
        <f>AH126-(AI125-AI126)</f>
        <v/>
      </c>
      <c r="AH126">
        <f>SUM(C126:V126)</f>
        <v/>
      </c>
      <c r="AI126">
        <f>SUM(W126:AF126)</f>
        <v/>
      </c>
      <c r="AJ126">
        <f>MAX(0,PresTot-SUM(C126:L126))</f>
        <v/>
      </c>
      <c r="AK126">
        <f>IF(AI125&lt;=0,0,11-SUMPRODUCT(MAX((W125:AF125&gt;0)*(11-(COLUMN(W125:AF125)-COLUMN($V125))))))</f>
        <v/>
      </c>
    </row>
    <row r="127">
      <c r="A127" t="n">
        <v>117</v>
      </c>
      <c r="B127">
        <f>DATE(YEAR(InicioEf),MONTH(InicioEf)+A127-1,1)</f>
        <v/>
      </c>
      <c r="C127">
        <f>MIN(C$6,ROUND(W126*(1+C$5),0))</f>
        <v/>
      </c>
      <c r="D127">
        <f>MIN(D$6,ROUND(X126*(1+D$5),0))</f>
        <v/>
      </c>
      <c r="E127">
        <f>MIN(E$6,ROUND(Y126*(1+E$5),0))</f>
        <v/>
      </c>
      <c r="F127">
        <f>MIN(F$6,ROUND(Z126*(1+F$5),0))</f>
        <v/>
      </c>
      <c r="G127">
        <f>MIN(G$6,ROUND(AA126*(1+G$5),0))</f>
        <v/>
      </c>
      <c r="H127">
        <f>MIN(H$6,ROUND(AB126*(1+H$5),0))</f>
        <v/>
      </c>
      <c r="I127">
        <f>MIN(I$6,ROUND(AC126*(1+I$5),0))</f>
        <v/>
      </c>
      <c r="J127">
        <f>MIN(J$6,ROUND(AD126*(1+J$5),0))</f>
        <v/>
      </c>
      <c r="K127">
        <f>MIN(K$6,ROUND(AE126*(1+K$5),0))</f>
        <v/>
      </c>
      <c r="L127">
        <f>MIN(L$6,ROUND(AF126*(1+L$5),0))</f>
        <v/>
      </c>
      <c r="M127">
        <f>MAX(0,MIN(ROUND(W126*(1+C$5),0)-C127,$AJ127-0))</f>
        <v/>
      </c>
      <c r="N127">
        <f>MAX(0,MIN(ROUND(X126*(1+D$5),0)-D127,$AJ127-SUM($M127:M127)))</f>
        <v/>
      </c>
      <c r="O127">
        <f>MAX(0,MIN(ROUND(Y126*(1+E$5),0)-E127,$AJ127-SUM($M127:N127)))</f>
        <v/>
      </c>
      <c r="P127">
        <f>MAX(0,MIN(ROUND(Z126*(1+F$5),0)-F127,$AJ127-SUM($M127:O127)))</f>
        <v/>
      </c>
      <c r="Q127">
        <f>MAX(0,MIN(ROUND(AA126*(1+G$5),0)-G127,$AJ127-SUM($M127:P127)))</f>
        <v/>
      </c>
      <c r="R127">
        <f>MAX(0,MIN(ROUND(AB126*(1+H$5),0)-H127,$AJ127-SUM($M127:Q127)))</f>
        <v/>
      </c>
      <c r="S127">
        <f>MAX(0,MIN(ROUND(AC126*(1+I$5),0)-I127,$AJ127-SUM($M127:R127)))</f>
        <v/>
      </c>
      <c r="T127">
        <f>MAX(0,MIN(ROUND(AD126*(1+J$5),0)-J127,$AJ127-SUM($M127:S127)))</f>
        <v/>
      </c>
      <c r="U127">
        <f>MAX(0,MIN(ROUND(AE126*(1+K$5),0)-K127,$AJ127-SUM($M127:T127)))</f>
        <v/>
      </c>
      <c r="V127">
        <f>MAX(0,MIN(ROUND(AF126*(1+L$5),0)-L127,$AJ127-SUM($M127:U127)))</f>
        <v/>
      </c>
      <c r="W127">
        <f>MAX(0,ROUND(W126*(1+C$5),0)-C127-M127)</f>
        <v/>
      </c>
      <c r="X127">
        <f>MAX(0,ROUND(X126*(1+D$5),0)-D127-N127)</f>
        <v/>
      </c>
      <c r="Y127">
        <f>MAX(0,ROUND(Y126*(1+E$5),0)-E127-O127)</f>
        <v/>
      </c>
      <c r="Z127">
        <f>MAX(0,ROUND(Z126*(1+F$5),0)-F127-P127)</f>
        <v/>
      </c>
      <c r="AA127">
        <f>MAX(0,ROUND(AA126*(1+G$5),0)-G127-Q127)</f>
        <v/>
      </c>
      <c r="AB127">
        <f>MAX(0,ROUND(AB126*(1+H$5),0)-H127-R127)</f>
        <v/>
      </c>
      <c r="AC127">
        <f>MAX(0,ROUND(AC126*(1+I$5),0)-I127-S127)</f>
        <v/>
      </c>
      <c r="AD127">
        <f>MAX(0,ROUND(AD126*(1+J$5),0)-J127-T127)</f>
        <v/>
      </c>
      <c r="AE127">
        <f>MAX(0,ROUND(AE126*(1+K$5),0)-K127-U127)</f>
        <v/>
      </c>
      <c r="AF127">
        <f>MAX(0,ROUND(AF126*(1+L$5),0)-L127-V127)</f>
        <v/>
      </c>
      <c r="AG127">
        <f>AH127-(AI126-AI127)</f>
        <v/>
      </c>
      <c r="AH127">
        <f>SUM(C127:V127)</f>
        <v/>
      </c>
      <c r="AI127">
        <f>SUM(W127:AF127)</f>
        <v/>
      </c>
      <c r="AJ127">
        <f>MAX(0,PresTot-SUM(C127:L127))</f>
        <v/>
      </c>
      <c r="AK127">
        <f>IF(AI126&lt;=0,0,11-SUMPRODUCT(MAX((W126:AF126&gt;0)*(11-(COLUMN(W126:AF126)-COLUMN($V126))))))</f>
        <v/>
      </c>
    </row>
    <row r="128">
      <c r="A128" t="n">
        <v>118</v>
      </c>
      <c r="B128">
        <f>DATE(YEAR(InicioEf),MONTH(InicioEf)+A128-1,1)</f>
        <v/>
      </c>
      <c r="C128">
        <f>MIN(C$6,ROUND(W127*(1+C$5),0))</f>
        <v/>
      </c>
      <c r="D128">
        <f>MIN(D$6,ROUND(X127*(1+D$5),0))</f>
        <v/>
      </c>
      <c r="E128">
        <f>MIN(E$6,ROUND(Y127*(1+E$5),0))</f>
        <v/>
      </c>
      <c r="F128">
        <f>MIN(F$6,ROUND(Z127*(1+F$5),0))</f>
        <v/>
      </c>
      <c r="G128">
        <f>MIN(G$6,ROUND(AA127*(1+G$5),0))</f>
        <v/>
      </c>
      <c r="H128">
        <f>MIN(H$6,ROUND(AB127*(1+H$5),0))</f>
        <v/>
      </c>
      <c r="I128">
        <f>MIN(I$6,ROUND(AC127*(1+I$5),0))</f>
        <v/>
      </c>
      <c r="J128">
        <f>MIN(J$6,ROUND(AD127*(1+J$5),0))</f>
        <v/>
      </c>
      <c r="K128">
        <f>MIN(K$6,ROUND(AE127*(1+K$5),0))</f>
        <v/>
      </c>
      <c r="L128">
        <f>MIN(L$6,ROUND(AF127*(1+L$5),0))</f>
        <v/>
      </c>
      <c r="M128">
        <f>MAX(0,MIN(ROUND(W127*(1+C$5),0)-C128,$AJ128-0))</f>
        <v/>
      </c>
      <c r="N128">
        <f>MAX(0,MIN(ROUND(X127*(1+D$5),0)-D128,$AJ128-SUM($M128:M128)))</f>
        <v/>
      </c>
      <c r="O128">
        <f>MAX(0,MIN(ROUND(Y127*(1+E$5),0)-E128,$AJ128-SUM($M128:N128)))</f>
        <v/>
      </c>
      <c r="P128">
        <f>MAX(0,MIN(ROUND(Z127*(1+F$5),0)-F128,$AJ128-SUM($M128:O128)))</f>
        <v/>
      </c>
      <c r="Q128">
        <f>MAX(0,MIN(ROUND(AA127*(1+G$5),0)-G128,$AJ128-SUM($M128:P128)))</f>
        <v/>
      </c>
      <c r="R128">
        <f>MAX(0,MIN(ROUND(AB127*(1+H$5),0)-H128,$AJ128-SUM($M128:Q128)))</f>
        <v/>
      </c>
      <c r="S128">
        <f>MAX(0,MIN(ROUND(AC127*(1+I$5),0)-I128,$AJ128-SUM($M128:R128)))</f>
        <v/>
      </c>
      <c r="T128">
        <f>MAX(0,MIN(ROUND(AD127*(1+J$5),0)-J128,$AJ128-SUM($M128:S128)))</f>
        <v/>
      </c>
      <c r="U128">
        <f>MAX(0,MIN(ROUND(AE127*(1+K$5),0)-K128,$AJ128-SUM($M128:T128)))</f>
        <v/>
      </c>
      <c r="V128">
        <f>MAX(0,MIN(ROUND(AF127*(1+L$5),0)-L128,$AJ128-SUM($M128:U128)))</f>
        <v/>
      </c>
      <c r="W128">
        <f>MAX(0,ROUND(W127*(1+C$5),0)-C128-M128)</f>
        <v/>
      </c>
      <c r="X128">
        <f>MAX(0,ROUND(X127*(1+D$5),0)-D128-N128)</f>
        <v/>
      </c>
      <c r="Y128">
        <f>MAX(0,ROUND(Y127*(1+E$5),0)-E128-O128)</f>
        <v/>
      </c>
      <c r="Z128">
        <f>MAX(0,ROUND(Z127*(1+F$5),0)-F128-P128)</f>
        <v/>
      </c>
      <c r="AA128">
        <f>MAX(0,ROUND(AA127*(1+G$5),0)-G128-Q128)</f>
        <v/>
      </c>
      <c r="AB128">
        <f>MAX(0,ROUND(AB127*(1+H$5),0)-H128-R128)</f>
        <v/>
      </c>
      <c r="AC128">
        <f>MAX(0,ROUND(AC127*(1+I$5),0)-I128-S128)</f>
        <v/>
      </c>
      <c r="AD128">
        <f>MAX(0,ROUND(AD127*(1+J$5),0)-J128-T128)</f>
        <v/>
      </c>
      <c r="AE128">
        <f>MAX(0,ROUND(AE127*(1+K$5),0)-K128-U128)</f>
        <v/>
      </c>
      <c r="AF128">
        <f>MAX(0,ROUND(AF127*(1+L$5),0)-L128-V128)</f>
        <v/>
      </c>
      <c r="AG128">
        <f>AH128-(AI127-AI128)</f>
        <v/>
      </c>
      <c r="AH128">
        <f>SUM(C128:V128)</f>
        <v/>
      </c>
      <c r="AI128">
        <f>SUM(W128:AF128)</f>
        <v/>
      </c>
      <c r="AJ128">
        <f>MAX(0,PresTot-SUM(C128:L128))</f>
        <v/>
      </c>
      <c r="AK128">
        <f>IF(AI127&lt;=0,0,11-SUMPRODUCT(MAX((W127:AF127&gt;0)*(11-(COLUMN(W127:AF127)-COLUMN($V127))))))</f>
        <v/>
      </c>
    </row>
    <row r="129">
      <c r="A129" t="n">
        <v>119</v>
      </c>
      <c r="B129">
        <f>DATE(YEAR(InicioEf),MONTH(InicioEf)+A129-1,1)</f>
        <v/>
      </c>
      <c r="C129">
        <f>MIN(C$6,ROUND(W128*(1+C$5),0))</f>
        <v/>
      </c>
      <c r="D129">
        <f>MIN(D$6,ROUND(X128*(1+D$5),0))</f>
        <v/>
      </c>
      <c r="E129">
        <f>MIN(E$6,ROUND(Y128*(1+E$5),0))</f>
        <v/>
      </c>
      <c r="F129">
        <f>MIN(F$6,ROUND(Z128*(1+F$5),0))</f>
        <v/>
      </c>
      <c r="G129">
        <f>MIN(G$6,ROUND(AA128*(1+G$5),0))</f>
        <v/>
      </c>
      <c r="H129">
        <f>MIN(H$6,ROUND(AB128*(1+H$5),0))</f>
        <v/>
      </c>
      <c r="I129">
        <f>MIN(I$6,ROUND(AC128*(1+I$5),0))</f>
        <v/>
      </c>
      <c r="J129">
        <f>MIN(J$6,ROUND(AD128*(1+J$5),0))</f>
        <v/>
      </c>
      <c r="K129">
        <f>MIN(K$6,ROUND(AE128*(1+K$5),0))</f>
        <v/>
      </c>
      <c r="L129">
        <f>MIN(L$6,ROUND(AF128*(1+L$5),0))</f>
        <v/>
      </c>
      <c r="M129">
        <f>MAX(0,MIN(ROUND(W128*(1+C$5),0)-C129,$AJ129-0))</f>
        <v/>
      </c>
      <c r="N129">
        <f>MAX(0,MIN(ROUND(X128*(1+D$5),0)-D129,$AJ129-SUM($M129:M129)))</f>
        <v/>
      </c>
      <c r="O129">
        <f>MAX(0,MIN(ROUND(Y128*(1+E$5),0)-E129,$AJ129-SUM($M129:N129)))</f>
        <v/>
      </c>
      <c r="P129">
        <f>MAX(0,MIN(ROUND(Z128*(1+F$5),0)-F129,$AJ129-SUM($M129:O129)))</f>
        <v/>
      </c>
      <c r="Q129">
        <f>MAX(0,MIN(ROUND(AA128*(1+G$5),0)-G129,$AJ129-SUM($M129:P129)))</f>
        <v/>
      </c>
      <c r="R129">
        <f>MAX(0,MIN(ROUND(AB128*(1+H$5),0)-H129,$AJ129-SUM($M129:Q129)))</f>
        <v/>
      </c>
      <c r="S129">
        <f>MAX(0,MIN(ROUND(AC128*(1+I$5),0)-I129,$AJ129-SUM($M129:R129)))</f>
        <v/>
      </c>
      <c r="T129">
        <f>MAX(0,MIN(ROUND(AD128*(1+J$5),0)-J129,$AJ129-SUM($M129:S129)))</f>
        <v/>
      </c>
      <c r="U129">
        <f>MAX(0,MIN(ROUND(AE128*(1+K$5),0)-K129,$AJ129-SUM($M129:T129)))</f>
        <v/>
      </c>
      <c r="V129">
        <f>MAX(0,MIN(ROUND(AF128*(1+L$5),0)-L129,$AJ129-SUM($M129:U129)))</f>
        <v/>
      </c>
      <c r="W129">
        <f>MAX(0,ROUND(W128*(1+C$5),0)-C129-M129)</f>
        <v/>
      </c>
      <c r="X129">
        <f>MAX(0,ROUND(X128*(1+D$5),0)-D129-N129)</f>
        <v/>
      </c>
      <c r="Y129">
        <f>MAX(0,ROUND(Y128*(1+E$5),0)-E129-O129)</f>
        <v/>
      </c>
      <c r="Z129">
        <f>MAX(0,ROUND(Z128*(1+F$5),0)-F129-P129)</f>
        <v/>
      </c>
      <c r="AA129">
        <f>MAX(0,ROUND(AA128*(1+G$5),0)-G129-Q129)</f>
        <v/>
      </c>
      <c r="AB129">
        <f>MAX(0,ROUND(AB128*(1+H$5),0)-H129-R129)</f>
        <v/>
      </c>
      <c r="AC129">
        <f>MAX(0,ROUND(AC128*(1+I$5),0)-I129-S129)</f>
        <v/>
      </c>
      <c r="AD129">
        <f>MAX(0,ROUND(AD128*(1+J$5),0)-J129-T129)</f>
        <v/>
      </c>
      <c r="AE129">
        <f>MAX(0,ROUND(AE128*(1+K$5),0)-K129-U129)</f>
        <v/>
      </c>
      <c r="AF129">
        <f>MAX(0,ROUND(AF128*(1+L$5),0)-L129-V129)</f>
        <v/>
      </c>
      <c r="AG129">
        <f>AH129-(AI128-AI129)</f>
        <v/>
      </c>
      <c r="AH129">
        <f>SUM(C129:V129)</f>
        <v/>
      </c>
      <c r="AI129">
        <f>SUM(W129:AF129)</f>
        <v/>
      </c>
      <c r="AJ129">
        <f>MAX(0,PresTot-SUM(C129:L129))</f>
        <v/>
      </c>
      <c r="AK129">
        <f>IF(AI128&lt;=0,0,11-SUMPRODUCT(MAX((W128:AF128&gt;0)*(11-(COLUMN(W128:AF128)-COLUMN($V128))))))</f>
        <v/>
      </c>
    </row>
    <row r="130">
      <c r="A130" t="n">
        <v>120</v>
      </c>
      <c r="B130">
        <f>DATE(YEAR(InicioEf),MONTH(InicioEf)+A130-1,1)</f>
        <v/>
      </c>
      <c r="C130">
        <f>MIN(C$6,ROUND(W129*(1+C$5),0))</f>
        <v/>
      </c>
      <c r="D130">
        <f>MIN(D$6,ROUND(X129*(1+D$5),0))</f>
        <v/>
      </c>
      <c r="E130">
        <f>MIN(E$6,ROUND(Y129*(1+E$5),0))</f>
        <v/>
      </c>
      <c r="F130">
        <f>MIN(F$6,ROUND(Z129*(1+F$5),0))</f>
        <v/>
      </c>
      <c r="G130">
        <f>MIN(G$6,ROUND(AA129*(1+G$5),0))</f>
        <v/>
      </c>
      <c r="H130">
        <f>MIN(H$6,ROUND(AB129*(1+H$5),0))</f>
        <v/>
      </c>
      <c r="I130">
        <f>MIN(I$6,ROUND(AC129*(1+I$5),0))</f>
        <v/>
      </c>
      <c r="J130">
        <f>MIN(J$6,ROUND(AD129*(1+J$5),0))</f>
        <v/>
      </c>
      <c r="K130">
        <f>MIN(K$6,ROUND(AE129*(1+K$5),0))</f>
        <v/>
      </c>
      <c r="L130">
        <f>MIN(L$6,ROUND(AF129*(1+L$5),0))</f>
        <v/>
      </c>
      <c r="M130">
        <f>MAX(0,MIN(ROUND(W129*(1+C$5),0)-C130,$AJ130-0))</f>
        <v/>
      </c>
      <c r="N130">
        <f>MAX(0,MIN(ROUND(X129*(1+D$5),0)-D130,$AJ130-SUM($M130:M130)))</f>
        <v/>
      </c>
      <c r="O130">
        <f>MAX(0,MIN(ROUND(Y129*(1+E$5),0)-E130,$AJ130-SUM($M130:N130)))</f>
        <v/>
      </c>
      <c r="P130">
        <f>MAX(0,MIN(ROUND(Z129*(1+F$5),0)-F130,$AJ130-SUM($M130:O130)))</f>
        <v/>
      </c>
      <c r="Q130">
        <f>MAX(0,MIN(ROUND(AA129*(1+G$5),0)-G130,$AJ130-SUM($M130:P130)))</f>
        <v/>
      </c>
      <c r="R130">
        <f>MAX(0,MIN(ROUND(AB129*(1+H$5),0)-H130,$AJ130-SUM($M130:Q130)))</f>
        <v/>
      </c>
      <c r="S130">
        <f>MAX(0,MIN(ROUND(AC129*(1+I$5),0)-I130,$AJ130-SUM($M130:R130)))</f>
        <v/>
      </c>
      <c r="T130">
        <f>MAX(0,MIN(ROUND(AD129*(1+J$5),0)-J130,$AJ130-SUM($M130:S130)))</f>
        <v/>
      </c>
      <c r="U130">
        <f>MAX(0,MIN(ROUND(AE129*(1+K$5),0)-K130,$AJ130-SUM($M130:T130)))</f>
        <v/>
      </c>
      <c r="V130">
        <f>MAX(0,MIN(ROUND(AF129*(1+L$5),0)-L130,$AJ130-SUM($M130:U130)))</f>
        <v/>
      </c>
      <c r="W130">
        <f>MAX(0,ROUND(W129*(1+C$5),0)-C130-M130)</f>
        <v/>
      </c>
      <c r="X130">
        <f>MAX(0,ROUND(X129*(1+D$5),0)-D130-N130)</f>
        <v/>
      </c>
      <c r="Y130">
        <f>MAX(0,ROUND(Y129*(1+E$5),0)-E130-O130)</f>
        <v/>
      </c>
      <c r="Z130">
        <f>MAX(0,ROUND(Z129*(1+F$5),0)-F130-P130)</f>
        <v/>
      </c>
      <c r="AA130">
        <f>MAX(0,ROUND(AA129*(1+G$5),0)-G130-Q130)</f>
        <v/>
      </c>
      <c r="AB130">
        <f>MAX(0,ROUND(AB129*(1+H$5),0)-H130-R130)</f>
        <v/>
      </c>
      <c r="AC130">
        <f>MAX(0,ROUND(AC129*(1+I$5),0)-I130-S130)</f>
        <v/>
      </c>
      <c r="AD130">
        <f>MAX(0,ROUND(AD129*(1+J$5),0)-J130-T130)</f>
        <v/>
      </c>
      <c r="AE130">
        <f>MAX(0,ROUND(AE129*(1+K$5),0)-K130-U130)</f>
        <v/>
      </c>
      <c r="AF130">
        <f>MAX(0,ROUND(AF129*(1+L$5),0)-L130-V130)</f>
        <v/>
      </c>
      <c r="AG130">
        <f>AH130-(AI129-AI130)</f>
        <v/>
      </c>
      <c r="AH130">
        <f>SUM(C130:V130)</f>
        <v/>
      </c>
      <c r="AI130">
        <f>SUM(W130:AF130)</f>
        <v/>
      </c>
      <c r="AJ130">
        <f>MAX(0,PresTot-SUM(C130:L130))</f>
        <v/>
      </c>
      <c r="AK130">
        <f>IF(AI129&lt;=0,0,11-SUMPRODUCT(MAX((W129:AF129&gt;0)*(11-(COLUMN(W129:AF129)-COLUMN($V129))))))</f>
        <v/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30"/>
  <sheetViews>
    <sheetView workbookViewId="0">
      <selection activeCell="A1" sqref="A1"/>
    </sheetView>
  </sheetViews>
  <sheetFormatPr baseColWidth="8" defaultRowHeight="15"/>
  <sheetData>
    <row r="1">
      <c r="A1" s="108" t="inlineStr">
        <is>
          <t>SOLO MÍNIMOS: se paga solo la cuota de cada deuda, sin extra</t>
        </is>
      </c>
    </row>
    <row r="2">
      <c r="A2" t="inlineStr">
        <is>
          <t>Posición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AM2" t="inlineStr">
        <is>
          <t>Meses hasta liberarte</t>
        </is>
      </c>
      <c r="AN2">
        <f>IF(AI10&lt;=0,0,IFERROR(MATCH(0,AI10:AI130,0)-1,999))</f>
        <v/>
      </c>
    </row>
    <row r="3">
      <c r="A3" t="inlineStr">
        <is>
          <t>N° de deuda</t>
        </is>
      </c>
      <c r="C3">
        <f>IFERROR(MATCH(C$2,RankA,0),0)</f>
        <v/>
      </c>
      <c r="D3">
        <f>IFERROR(MATCH(D$2,RankA,0),0)</f>
        <v/>
      </c>
      <c r="E3">
        <f>IFERROR(MATCH(E$2,RankA,0),0)</f>
        <v/>
      </c>
      <c r="F3">
        <f>IFERROR(MATCH(F$2,RankA,0),0)</f>
        <v/>
      </c>
      <c r="G3">
        <f>IFERROR(MATCH(G$2,RankA,0),0)</f>
        <v/>
      </c>
      <c r="H3">
        <f>IFERROR(MATCH(H$2,RankA,0),0)</f>
        <v/>
      </c>
      <c r="I3">
        <f>IFERROR(MATCH(I$2,RankA,0),0)</f>
        <v/>
      </c>
      <c r="J3">
        <f>IFERROR(MATCH(J$2,RankA,0),0)</f>
        <v/>
      </c>
      <c r="K3">
        <f>IFERROR(MATCH(K$2,RankA,0),0)</f>
        <v/>
      </c>
      <c r="L3">
        <f>IFERROR(MATCH(L$2,RankA,0),0)</f>
        <v/>
      </c>
      <c r="AM3" t="inlineStr">
        <is>
          <t>Intereses totales</t>
        </is>
      </c>
      <c r="AN3">
        <f>SUM(AG11:AG130)</f>
        <v/>
      </c>
    </row>
    <row r="4">
      <c r="A4" t="inlineStr">
        <is>
          <t>Saldo hoy</t>
        </is>
      </c>
      <c r="C4">
        <f>IF(C$3=0,0,INDEX(DeuSal,C$3))</f>
        <v/>
      </c>
      <c r="D4">
        <f>IF(D$3=0,0,INDEX(DeuSal,D$3))</f>
        <v/>
      </c>
      <c r="E4">
        <f>IF(E$3=0,0,INDEX(DeuSal,E$3))</f>
        <v/>
      </c>
      <c r="F4">
        <f>IF(F$3=0,0,INDEX(DeuSal,F$3))</f>
        <v/>
      </c>
      <c r="G4">
        <f>IF(G$3=0,0,INDEX(DeuSal,G$3))</f>
        <v/>
      </c>
      <c r="H4">
        <f>IF(H$3=0,0,INDEX(DeuSal,H$3))</f>
        <v/>
      </c>
      <c r="I4">
        <f>IF(I$3=0,0,INDEX(DeuSal,I$3))</f>
        <v/>
      </c>
      <c r="J4">
        <f>IF(J$3=0,0,INDEX(DeuSal,J$3))</f>
        <v/>
      </c>
      <c r="K4">
        <f>IF(K$3=0,0,INDEX(DeuSal,K$3))</f>
        <v/>
      </c>
      <c r="L4">
        <f>IF(L$3=0,0,INDEX(DeuSal,L$3))</f>
        <v/>
      </c>
      <c r="AM4" t="inlineStr">
        <is>
          <t>Total pagado</t>
        </is>
      </c>
      <c r="AN4">
        <f>SUM(AH11:AH130)</f>
        <v/>
      </c>
    </row>
    <row r="5">
      <c r="A5" t="inlineStr">
        <is>
          <t>Tasa mensual</t>
        </is>
      </c>
      <c r="C5">
        <f>IF(C$3=0,0,INDEX(DeuTasa,C$3)/12)</f>
        <v/>
      </c>
      <c r="D5">
        <f>IF(D$3=0,0,INDEX(DeuTasa,D$3)/12)</f>
        <v/>
      </c>
      <c r="E5">
        <f>IF(E$3=0,0,INDEX(DeuTasa,E$3)/12)</f>
        <v/>
      </c>
      <c r="F5">
        <f>IF(F$3=0,0,INDEX(DeuTasa,F$3)/12)</f>
        <v/>
      </c>
      <c r="G5">
        <f>IF(G$3=0,0,INDEX(DeuTasa,G$3)/12)</f>
        <v/>
      </c>
      <c r="H5">
        <f>IF(H$3=0,0,INDEX(DeuTasa,H$3)/12)</f>
        <v/>
      </c>
      <c r="I5">
        <f>IF(I$3=0,0,INDEX(DeuTasa,I$3)/12)</f>
        <v/>
      </c>
      <c r="J5">
        <f>IF(J$3=0,0,INDEX(DeuTasa,J$3)/12)</f>
        <v/>
      </c>
      <c r="K5">
        <f>IF(K$3=0,0,INDEX(DeuTasa,K$3)/12)</f>
        <v/>
      </c>
      <c r="L5">
        <f>IF(L$3=0,0,INDEX(DeuTasa,L$3)/12)</f>
        <v/>
      </c>
    </row>
    <row r="6">
      <c r="A6" t="inlineStr">
        <is>
          <t>Cuota</t>
        </is>
      </c>
      <c r="C6">
        <f>IF(C$3=0,0,INDEX(DeuCuota,C$3))</f>
        <v/>
      </c>
      <c r="D6">
        <f>IF(D$3=0,0,INDEX(DeuCuota,D$3))</f>
        <v/>
      </c>
      <c r="E6">
        <f>IF(E$3=0,0,INDEX(DeuCuota,E$3))</f>
        <v/>
      </c>
      <c r="F6">
        <f>IF(F$3=0,0,INDEX(DeuCuota,F$3))</f>
        <v/>
      </c>
      <c r="G6">
        <f>IF(G$3=0,0,INDEX(DeuCuota,G$3))</f>
        <v/>
      </c>
      <c r="H6">
        <f>IF(H$3=0,0,INDEX(DeuCuota,H$3))</f>
        <v/>
      </c>
      <c r="I6">
        <f>IF(I$3=0,0,INDEX(DeuCuota,I$3))</f>
        <v/>
      </c>
      <c r="J6">
        <f>IF(J$3=0,0,INDEX(DeuCuota,J$3))</f>
        <v/>
      </c>
      <c r="K6">
        <f>IF(K$3=0,0,INDEX(DeuCuota,K$3))</f>
        <v/>
      </c>
      <c r="L6">
        <f>IF(L$3=0,0,INDEX(DeuCuota,L$3))</f>
        <v/>
      </c>
    </row>
    <row r="7">
      <c r="A7" t="inlineStr">
        <is>
          <t>Deuda</t>
        </is>
      </c>
      <c r="C7">
        <f>IF(C$4&gt;0,INDEX(DeuNom,C$3)&amp;"","")</f>
        <v/>
      </c>
      <c r="D7">
        <f>IF(D$4&gt;0,INDEX(DeuNom,D$3)&amp;"","")</f>
        <v/>
      </c>
      <c r="E7">
        <f>IF(E$4&gt;0,INDEX(DeuNom,E$3)&amp;"","")</f>
        <v/>
      </c>
      <c r="F7">
        <f>IF(F$4&gt;0,INDEX(DeuNom,F$3)&amp;"","")</f>
        <v/>
      </c>
      <c r="G7">
        <f>IF(G$4&gt;0,INDEX(DeuNom,G$3)&amp;"","")</f>
        <v/>
      </c>
      <c r="H7">
        <f>IF(H$4&gt;0,INDEX(DeuNom,H$3)&amp;"","")</f>
        <v/>
      </c>
      <c r="I7">
        <f>IF(I$4&gt;0,INDEX(DeuNom,I$3)&amp;"","")</f>
        <v/>
      </c>
      <c r="J7">
        <f>IF(J$4&gt;0,INDEX(DeuNom,J$3)&amp;"","")</f>
        <v/>
      </c>
      <c r="K7">
        <f>IF(K$4&gt;0,INDEX(DeuNom,K$3)&amp;"","")</f>
        <v/>
      </c>
      <c r="L7">
        <f>IF(L$4&gt;0,INDEX(DeuNom,L$3)&amp;"","")</f>
        <v/>
      </c>
    </row>
    <row r="8">
      <c r="A8" t="inlineStr">
        <is>
          <t>Termina en el mes</t>
        </is>
      </c>
      <c r="C8">
        <f>IF(C$4&lt;=0,0,IFERROR(MATCH(0,W$10:W$130,0)-1,999))</f>
        <v/>
      </c>
      <c r="D8">
        <f>IF(D$4&lt;=0,0,IFERROR(MATCH(0,X$10:X$130,0)-1,999))</f>
        <v/>
      </c>
      <c r="E8">
        <f>IF(E$4&lt;=0,0,IFERROR(MATCH(0,Y$10:Y$130,0)-1,999))</f>
        <v/>
      </c>
      <c r="F8">
        <f>IF(F$4&lt;=0,0,IFERROR(MATCH(0,Z$10:Z$130,0)-1,999))</f>
        <v/>
      </c>
      <c r="G8">
        <f>IF(G$4&lt;=0,0,IFERROR(MATCH(0,AA$10:AA$130,0)-1,999))</f>
        <v/>
      </c>
      <c r="H8">
        <f>IF(H$4&lt;=0,0,IFERROR(MATCH(0,AB$10:AB$130,0)-1,999))</f>
        <v/>
      </c>
      <c r="I8">
        <f>IF(I$4&lt;=0,0,IFERROR(MATCH(0,AC$10:AC$130,0)-1,999))</f>
        <v/>
      </c>
      <c r="J8">
        <f>IF(J$4&lt;=0,0,IFERROR(MATCH(0,AD$10:AD$130,0)-1,999))</f>
        <v/>
      </c>
      <c r="K8">
        <f>IF(K$4&lt;=0,0,IFERROR(MATCH(0,AE$10:AE$130,0)-1,999))</f>
        <v/>
      </c>
      <c r="L8">
        <f>IF(L$4&lt;=0,0,IFERROR(MATCH(0,AF$10:AF$130,0)-1,999))</f>
        <v/>
      </c>
    </row>
    <row r="9">
      <c r="A9" t="inlineStr">
        <is>
          <t>Mes</t>
        </is>
      </c>
      <c r="B9" t="inlineStr">
        <is>
          <t>Fecha</t>
        </is>
      </c>
      <c r="C9" t="inlineStr">
        <is>
          <t>Mín 1</t>
        </is>
      </c>
      <c r="D9" t="inlineStr">
        <is>
          <t>Mín 2</t>
        </is>
      </c>
      <c r="E9" t="inlineStr">
        <is>
          <t>Mín 3</t>
        </is>
      </c>
      <c r="F9" t="inlineStr">
        <is>
          <t>Mín 4</t>
        </is>
      </c>
      <c r="G9" t="inlineStr">
        <is>
          <t>Mín 5</t>
        </is>
      </c>
      <c r="H9" t="inlineStr">
        <is>
          <t>Mín 6</t>
        </is>
      </c>
      <c r="I9" t="inlineStr">
        <is>
          <t>Mín 7</t>
        </is>
      </c>
      <c r="J9" t="inlineStr">
        <is>
          <t>Mín 8</t>
        </is>
      </c>
      <c r="K9" t="inlineStr">
        <is>
          <t>Mín 9</t>
        </is>
      </c>
      <c r="L9" t="inlineStr">
        <is>
          <t>Mín 10</t>
        </is>
      </c>
      <c r="M9" t="inlineStr">
        <is>
          <t>Extra 1</t>
        </is>
      </c>
      <c r="N9" t="inlineStr">
        <is>
          <t>Extra 2</t>
        </is>
      </c>
      <c r="O9" t="inlineStr">
        <is>
          <t>Extra 3</t>
        </is>
      </c>
      <c r="P9" t="inlineStr">
        <is>
          <t>Extra 4</t>
        </is>
      </c>
      <c r="Q9" t="inlineStr">
        <is>
          <t>Extra 5</t>
        </is>
      </c>
      <c r="R9" t="inlineStr">
        <is>
          <t>Extra 6</t>
        </is>
      </c>
      <c r="S9" t="inlineStr">
        <is>
          <t>Extra 7</t>
        </is>
      </c>
      <c r="T9" t="inlineStr">
        <is>
          <t>Extra 8</t>
        </is>
      </c>
      <c r="U9" t="inlineStr">
        <is>
          <t>Extra 9</t>
        </is>
      </c>
      <c r="V9" t="inlineStr">
        <is>
          <t>Extra 10</t>
        </is>
      </c>
      <c r="W9" t="inlineStr">
        <is>
          <t>Saldo 1</t>
        </is>
      </c>
      <c r="X9" t="inlineStr">
        <is>
          <t>Saldo 2</t>
        </is>
      </c>
      <c r="Y9" t="inlineStr">
        <is>
          <t>Saldo 3</t>
        </is>
      </c>
      <c r="Z9" t="inlineStr">
        <is>
          <t>Saldo 4</t>
        </is>
      </c>
      <c r="AA9" t="inlineStr">
        <is>
          <t>Saldo 5</t>
        </is>
      </c>
      <c r="AB9" t="inlineStr">
        <is>
          <t>Saldo 6</t>
        </is>
      </c>
      <c r="AC9" t="inlineStr">
        <is>
          <t>Saldo 7</t>
        </is>
      </c>
      <c r="AD9" t="inlineStr">
        <is>
          <t>Saldo 8</t>
        </is>
      </c>
      <c r="AE9" t="inlineStr">
        <is>
          <t>Saldo 9</t>
        </is>
      </c>
      <c r="AF9" t="inlineStr">
        <is>
          <t>Saldo 10</t>
        </is>
      </c>
      <c r="AG9" t="inlineStr">
        <is>
          <t>Intereses</t>
        </is>
      </c>
      <c r="AH9" t="inlineStr">
        <is>
          <t>Pago total</t>
        </is>
      </c>
      <c r="AI9" t="inlineStr">
        <is>
          <t>Saldo total</t>
        </is>
      </c>
      <c r="AJ9" t="inlineStr">
        <is>
          <t>Pozo extra</t>
        </is>
      </c>
      <c r="AK9" t="inlineStr">
        <is>
          <t>Objetivo</t>
        </is>
      </c>
    </row>
    <row r="10">
      <c r="A10" t="n">
        <v>0</v>
      </c>
      <c r="B10" t="inlineStr">
        <is>
          <t>Hoy</t>
        </is>
      </c>
      <c r="W10">
        <f>C$4</f>
        <v/>
      </c>
      <c r="X10">
        <f>D$4</f>
        <v/>
      </c>
      <c r="Y10">
        <f>E$4</f>
        <v/>
      </c>
      <c r="Z10">
        <f>F$4</f>
        <v/>
      </c>
      <c r="AA10">
        <f>G$4</f>
        <v/>
      </c>
      <c r="AB10">
        <f>H$4</f>
        <v/>
      </c>
      <c r="AC10">
        <f>I$4</f>
        <v/>
      </c>
      <c r="AD10">
        <f>J$4</f>
        <v/>
      </c>
      <c r="AE10">
        <f>K$4</f>
        <v/>
      </c>
      <c r="AF10">
        <f>L$4</f>
        <v/>
      </c>
      <c r="AI10">
        <f>SUM(W10:AF10)</f>
        <v/>
      </c>
    </row>
    <row r="11">
      <c r="A11" t="n">
        <v>1</v>
      </c>
      <c r="B11">
        <f>DATE(YEAR(InicioEf),MONTH(InicioEf)+A11-1,1)</f>
        <v/>
      </c>
      <c r="C11">
        <f>MIN(C$6,ROUND(W10*(1+C$5),0))</f>
        <v/>
      </c>
      <c r="D11">
        <f>MIN(D$6,ROUND(X10*(1+D$5),0))</f>
        <v/>
      </c>
      <c r="E11">
        <f>MIN(E$6,ROUND(Y10*(1+E$5),0))</f>
        <v/>
      </c>
      <c r="F11">
        <f>MIN(F$6,ROUND(Z10*(1+F$5),0))</f>
        <v/>
      </c>
      <c r="G11">
        <f>MIN(G$6,ROUND(AA10*(1+G$5),0))</f>
        <v/>
      </c>
      <c r="H11">
        <f>MIN(H$6,ROUND(AB10*(1+H$5),0))</f>
        <v/>
      </c>
      <c r="I11">
        <f>MIN(I$6,ROUND(AC10*(1+I$5),0))</f>
        <v/>
      </c>
      <c r="J11">
        <f>MIN(J$6,ROUND(AD10*(1+J$5),0))</f>
        <v/>
      </c>
      <c r="K11">
        <f>MIN(K$6,ROUND(AE10*(1+K$5),0))</f>
        <v/>
      </c>
      <c r="L11">
        <f>MIN(L$6,ROUND(AF10*(1+L$5),0))</f>
        <v/>
      </c>
      <c r="M11">
        <f>MAX(0,MIN(ROUND(W10*(1+C$5),0)-C11,$AJ11-0))</f>
        <v/>
      </c>
      <c r="N11">
        <f>MAX(0,MIN(ROUND(X10*(1+D$5),0)-D11,$AJ11-SUM($M11:M11)))</f>
        <v/>
      </c>
      <c r="O11">
        <f>MAX(0,MIN(ROUND(Y10*(1+E$5),0)-E11,$AJ11-SUM($M11:N11)))</f>
        <v/>
      </c>
      <c r="P11">
        <f>MAX(0,MIN(ROUND(Z10*(1+F$5),0)-F11,$AJ11-SUM($M11:O11)))</f>
        <v/>
      </c>
      <c r="Q11">
        <f>MAX(0,MIN(ROUND(AA10*(1+G$5),0)-G11,$AJ11-SUM($M11:P11)))</f>
        <v/>
      </c>
      <c r="R11">
        <f>MAX(0,MIN(ROUND(AB10*(1+H$5),0)-H11,$AJ11-SUM($M11:Q11)))</f>
        <v/>
      </c>
      <c r="S11">
        <f>MAX(0,MIN(ROUND(AC10*(1+I$5),0)-I11,$AJ11-SUM($M11:R11)))</f>
        <v/>
      </c>
      <c r="T11">
        <f>MAX(0,MIN(ROUND(AD10*(1+J$5),0)-J11,$AJ11-SUM($M11:S11)))</f>
        <v/>
      </c>
      <c r="U11">
        <f>MAX(0,MIN(ROUND(AE10*(1+K$5),0)-K11,$AJ11-SUM($M11:T11)))</f>
        <v/>
      </c>
      <c r="V11">
        <f>MAX(0,MIN(ROUND(AF10*(1+L$5),0)-L11,$AJ11-SUM($M11:U11)))</f>
        <v/>
      </c>
      <c r="W11">
        <f>MAX(0,ROUND(W10*(1+C$5),0)-C11-M11)</f>
        <v/>
      </c>
      <c r="X11">
        <f>MAX(0,ROUND(X10*(1+D$5),0)-D11-N11)</f>
        <v/>
      </c>
      <c r="Y11">
        <f>MAX(0,ROUND(Y10*(1+E$5),0)-E11-O11)</f>
        <v/>
      </c>
      <c r="Z11">
        <f>MAX(0,ROUND(Z10*(1+F$5),0)-F11-P11)</f>
        <v/>
      </c>
      <c r="AA11">
        <f>MAX(0,ROUND(AA10*(1+G$5),0)-G11-Q11)</f>
        <v/>
      </c>
      <c r="AB11">
        <f>MAX(0,ROUND(AB10*(1+H$5),0)-H11-R11)</f>
        <v/>
      </c>
      <c r="AC11">
        <f>MAX(0,ROUND(AC10*(1+I$5),0)-I11-S11)</f>
        <v/>
      </c>
      <c r="AD11">
        <f>MAX(0,ROUND(AD10*(1+J$5),0)-J11-T11)</f>
        <v/>
      </c>
      <c r="AE11">
        <f>MAX(0,ROUND(AE10*(1+K$5),0)-K11-U11)</f>
        <v/>
      </c>
      <c r="AF11">
        <f>MAX(0,ROUND(AF10*(1+L$5),0)-L11-V11)</f>
        <v/>
      </c>
      <c r="AG11">
        <f>AH11-(AI10-AI11)</f>
        <v/>
      </c>
      <c r="AH11">
        <f>SUM(C11:V11)</f>
        <v/>
      </c>
      <c r="AI11">
        <f>SUM(W11:AF11)</f>
        <v/>
      </c>
      <c r="AJ11">
        <f>0</f>
        <v/>
      </c>
      <c r="AK11">
        <f>IF(AI10&lt;=0,0,11-SUMPRODUCT(MAX((W10:AF10&gt;0)*(11-(COLUMN(W10:AF10)-COLUMN($V10))))))</f>
        <v/>
      </c>
    </row>
    <row r="12">
      <c r="A12" t="n">
        <v>2</v>
      </c>
      <c r="B12">
        <f>DATE(YEAR(InicioEf),MONTH(InicioEf)+A12-1,1)</f>
        <v/>
      </c>
      <c r="C12">
        <f>MIN(C$6,ROUND(W11*(1+C$5),0))</f>
        <v/>
      </c>
      <c r="D12">
        <f>MIN(D$6,ROUND(X11*(1+D$5),0))</f>
        <v/>
      </c>
      <c r="E12">
        <f>MIN(E$6,ROUND(Y11*(1+E$5),0))</f>
        <v/>
      </c>
      <c r="F12">
        <f>MIN(F$6,ROUND(Z11*(1+F$5),0))</f>
        <v/>
      </c>
      <c r="G12">
        <f>MIN(G$6,ROUND(AA11*(1+G$5),0))</f>
        <v/>
      </c>
      <c r="H12">
        <f>MIN(H$6,ROUND(AB11*(1+H$5),0))</f>
        <v/>
      </c>
      <c r="I12">
        <f>MIN(I$6,ROUND(AC11*(1+I$5),0))</f>
        <v/>
      </c>
      <c r="J12">
        <f>MIN(J$6,ROUND(AD11*(1+J$5),0))</f>
        <v/>
      </c>
      <c r="K12">
        <f>MIN(K$6,ROUND(AE11*(1+K$5),0))</f>
        <v/>
      </c>
      <c r="L12">
        <f>MIN(L$6,ROUND(AF11*(1+L$5),0))</f>
        <v/>
      </c>
      <c r="M12">
        <f>MAX(0,MIN(ROUND(W11*(1+C$5),0)-C12,$AJ12-0))</f>
        <v/>
      </c>
      <c r="N12">
        <f>MAX(0,MIN(ROUND(X11*(1+D$5),0)-D12,$AJ12-SUM($M12:M12)))</f>
        <v/>
      </c>
      <c r="O12">
        <f>MAX(0,MIN(ROUND(Y11*(1+E$5),0)-E12,$AJ12-SUM($M12:N12)))</f>
        <v/>
      </c>
      <c r="P12">
        <f>MAX(0,MIN(ROUND(Z11*(1+F$5),0)-F12,$AJ12-SUM($M12:O12)))</f>
        <v/>
      </c>
      <c r="Q12">
        <f>MAX(0,MIN(ROUND(AA11*(1+G$5),0)-G12,$AJ12-SUM($M12:P12)))</f>
        <v/>
      </c>
      <c r="R12">
        <f>MAX(0,MIN(ROUND(AB11*(1+H$5),0)-H12,$AJ12-SUM($M12:Q12)))</f>
        <v/>
      </c>
      <c r="S12">
        <f>MAX(0,MIN(ROUND(AC11*(1+I$5),0)-I12,$AJ12-SUM($M12:R12)))</f>
        <v/>
      </c>
      <c r="T12">
        <f>MAX(0,MIN(ROUND(AD11*(1+J$5),0)-J12,$AJ12-SUM($M12:S12)))</f>
        <v/>
      </c>
      <c r="U12">
        <f>MAX(0,MIN(ROUND(AE11*(1+K$5),0)-K12,$AJ12-SUM($M12:T12)))</f>
        <v/>
      </c>
      <c r="V12">
        <f>MAX(0,MIN(ROUND(AF11*(1+L$5),0)-L12,$AJ12-SUM($M12:U12)))</f>
        <v/>
      </c>
      <c r="W12">
        <f>MAX(0,ROUND(W11*(1+C$5),0)-C12-M12)</f>
        <v/>
      </c>
      <c r="X12">
        <f>MAX(0,ROUND(X11*(1+D$5),0)-D12-N12)</f>
        <v/>
      </c>
      <c r="Y12">
        <f>MAX(0,ROUND(Y11*(1+E$5),0)-E12-O12)</f>
        <v/>
      </c>
      <c r="Z12">
        <f>MAX(0,ROUND(Z11*(1+F$5),0)-F12-P12)</f>
        <v/>
      </c>
      <c r="AA12">
        <f>MAX(0,ROUND(AA11*(1+G$5),0)-G12-Q12)</f>
        <v/>
      </c>
      <c r="AB12">
        <f>MAX(0,ROUND(AB11*(1+H$5),0)-H12-R12)</f>
        <v/>
      </c>
      <c r="AC12">
        <f>MAX(0,ROUND(AC11*(1+I$5),0)-I12-S12)</f>
        <v/>
      </c>
      <c r="AD12">
        <f>MAX(0,ROUND(AD11*(1+J$5),0)-J12-T12)</f>
        <v/>
      </c>
      <c r="AE12">
        <f>MAX(0,ROUND(AE11*(1+K$5),0)-K12-U12)</f>
        <v/>
      </c>
      <c r="AF12">
        <f>MAX(0,ROUND(AF11*(1+L$5),0)-L12-V12)</f>
        <v/>
      </c>
      <c r="AG12">
        <f>AH12-(AI11-AI12)</f>
        <v/>
      </c>
      <c r="AH12">
        <f>SUM(C12:V12)</f>
        <v/>
      </c>
      <c r="AI12">
        <f>SUM(W12:AF12)</f>
        <v/>
      </c>
      <c r="AJ12">
        <f>0</f>
        <v/>
      </c>
      <c r="AK12">
        <f>IF(AI11&lt;=0,0,11-SUMPRODUCT(MAX((W11:AF11&gt;0)*(11-(COLUMN(W11:AF11)-COLUMN($V11))))))</f>
        <v/>
      </c>
    </row>
    <row r="13">
      <c r="A13" t="n">
        <v>3</v>
      </c>
      <c r="B13">
        <f>DATE(YEAR(InicioEf),MONTH(InicioEf)+A13-1,1)</f>
        <v/>
      </c>
      <c r="C13">
        <f>MIN(C$6,ROUND(W12*(1+C$5),0))</f>
        <v/>
      </c>
      <c r="D13">
        <f>MIN(D$6,ROUND(X12*(1+D$5),0))</f>
        <v/>
      </c>
      <c r="E13">
        <f>MIN(E$6,ROUND(Y12*(1+E$5),0))</f>
        <v/>
      </c>
      <c r="F13">
        <f>MIN(F$6,ROUND(Z12*(1+F$5),0))</f>
        <v/>
      </c>
      <c r="G13">
        <f>MIN(G$6,ROUND(AA12*(1+G$5),0))</f>
        <v/>
      </c>
      <c r="H13">
        <f>MIN(H$6,ROUND(AB12*(1+H$5),0))</f>
        <v/>
      </c>
      <c r="I13">
        <f>MIN(I$6,ROUND(AC12*(1+I$5),0))</f>
        <v/>
      </c>
      <c r="J13">
        <f>MIN(J$6,ROUND(AD12*(1+J$5),0))</f>
        <v/>
      </c>
      <c r="K13">
        <f>MIN(K$6,ROUND(AE12*(1+K$5),0))</f>
        <v/>
      </c>
      <c r="L13">
        <f>MIN(L$6,ROUND(AF12*(1+L$5),0))</f>
        <v/>
      </c>
      <c r="M13">
        <f>MAX(0,MIN(ROUND(W12*(1+C$5),0)-C13,$AJ13-0))</f>
        <v/>
      </c>
      <c r="N13">
        <f>MAX(0,MIN(ROUND(X12*(1+D$5),0)-D13,$AJ13-SUM($M13:M13)))</f>
        <v/>
      </c>
      <c r="O13">
        <f>MAX(0,MIN(ROUND(Y12*(1+E$5),0)-E13,$AJ13-SUM($M13:N13)))</f>
        <v/>
      </c>
      <c r="P13">
        <f>MAX(0,MIN(ROUND(Z12*(1+F$5),0)-F13,$AJ13-SUM($M13:O13)))</f>
        <v/>
      </c>
      <c r="Q13">
        <f>MAX(0,MIN(ROUND(AA12*(1+G$5),0)-G13,$AJ13-SUM($M13:P13)))</f>
        <v/>
      </c>
      <c r="R13">
        <f>MAX(0,MIN(ROUND(AB12*(1+H$5),0)-H13,$AJ13-SUM($M13:Q13)))</f>
        <v/>
      </c>
      <c r="S13">
        <f>MAX(0,MIN(ROUND(AC12*(1+I$5),0)-I13,$AJ13-SUM($M13:R13)))</f>
        <v/>
      </c>
      <c r="T13">
        <f>MAX(0,MIN(ROUND(AD12*(1+J$5),0)-J13,$AJ13-SUM($M13:S13)))</f>
        <v/>
      </c>
      <c r="U13">
        <f>MAX(0,MIN(ROUND(AE12*(1+K$5),0)-K13,$AJ13-SUM($M13:T13)))</f>
        <v/>
      </c>
      <c r="V13">
        <f>MAX(0,MIN(ROUND(AF12*(1+L$5),0)-L13,$AJ13-SUM($M13:U13)))</f>
        <v/>
      </c>
      <c r="W13">
        <f>MAX(0,ROUND(W12*(1+C$5),0)-C13-M13)</f>
        <v/>
      </c>
      <c r="X13">
        <f>MAX(0,ROUND(X12*(1+D$5),0)-D13-N13)</f>
        <v/>
      </c>
      <c r="Y13">
        <f>MAX(0,ROUND(Y12*(1+E$5),0)-E13-O13)</f>
        <v/>
      </c>
      <c r="Z13">
        <f>MAX(0,ROUND(Z12*(1+F$5),0)-F13-P13)</f>
        <v/>
      </c>
      <c r="AA13">
        <f>MAX(0,ROUND(AA12*(1+G$5),0)-G13-Q13)</f>
        <v/>
      </c>
      <c r="AB13">
        <f>MAX(0,ROUND(AB12*(1+H$5),0)-H13-R13)</f>
        <v/>
      </c>
      <c r="AC13">
        <f>MAX(0,ROUND(AC12*(1+I$5),0)-I13-S13)</f>
        <v/>
      </c>
      <c r="AD13">
        <f>MAX(0,ROUND(AD12*(1+J$5),0)-J13-T13)</f>
        <v/>
      </c>
      <c r="AE13">
        <f>MAX(0,ROUND(AE12*(1+K$5),0)-K13-U13)</f>
        <v/>
      </c>
      <c r="AF13">
        <f>MAX(0,ROUND(AF12*(1+L$5),0)-L13-V13)</f>
        <v/>
      </c>
      <c r="AG13">
        <f>AH13-(AI12-AI13)</f>
        <v/>
      </c>
      <c r="AH13">
        <f>SUM(C13:V13)</f>
        <v/>
      </c>
      <c r="AI13">
        <f>SUM(W13:AF13)</f>
        <v/>
      </c>
      <c r="AJ13">
        <f>0</f>
        <v/>
      </c>
      <c r="AK13">
        <f>IF(AI12&lt;=0,0,11-SUMPRODUCT(MAX((W12:AF12&gt;0)*(11-(COLUMN(W12:AF12)-COLUMN($V12))))))</f>
        <v/>
      </c>
    </row>
    <row r="14">
      <c r="A14" t="n">
        <v>4</v>
      </c>
      <c r="B14">
        <f>DATE(YEAR(InicioEf),MONTH(InicioEf)+A14-1,1)</f>
        <v/>
      </c>
      <c r="C14">
        <f>MIN(C$6,ROUND(W13*(1+C$5),0))</f>
        <v/>
      </c>
      <c r="D14">
        <f>MIN(D$6,ROUND(X13*(1+D$5),0))</f>
        <v/>
      </c>
      <c r="E14">
        <f>MIN(E$6,ROUND(Y13*(1+E$5),0))</f>
        <v/>
      </c>
      <c r="F14">
        <f>MIN(F$6,ROUND(Z13*(1+F$5),0))</f>
        <v/>
      </c>
      <c r="G14">
        <f>MIN(G$6,ROUND(AA13*(1+G$5),0))</f>
        <v/>
      </c>
      <c r="H14">
        <f>MIN(H$6,ROUND(AB13*(1+H$5),0))</f>
        <v/>
      </c>
      <c r="I14">
        <f>MIN(I$6,ROUND(AC13*(1+I$5),0))</f>
        <v/>
      </c>
      <c r="J14">
        <f>MIN(J$6,ROUND(AD13*(1+J$5),0))</f>
        <v/>
      </c>
      <c r="K14">
        <f>MIN(K$6,ROUND(AE13*(1+K$5),0))</f>
        <v/>
      </c>
      <c r="L14">
        <f>MIN(L$6,ROUND(AF13*(1+L$5),0))</f>
        <v/>
      </c>
      <c r="M14">
        <f>MAX(0,MIN(ROUND(W13*(1+C$5),0)-C14,$AJ14-0))</f>
        <v/>
      </c>
      <c r="N14">
        <f>MAX(0,MIN(ROUND(X13*(1+D$5),0)-D14,$AJ14-SUM($M14:M14)))</f>
        <v/>
      </c>
      <c r="O14">
        <f>MAX(0,MIN(ROUND(Y13*(1+E$5),0)-E14,$AJ14-SUM($M14:N14)))</f>
        <v/>
      </c>
      <c r="P14">
        <f>MAX(0,MIN(ROUND(Z13*(1+F$5),0)-F14,$AJ14-SUM($M14:O14)))</f>
        <v/>
      </c>
      <c r="Q14">
        <f>MAX(0,MIN(ROUND(AA13*(1+G$5),0)-G14,$AJ14-SUM($M14:P14)))</f>
        <v/>
      </c>
      <c r="R14">
        <f>MAX(0,MIN(ROUND(AB13*(1+H$5),0)-H14,$AJ14-SUM($M14:Q14)))</f>
        <v/>
      </c>
      <c r="S14">
        <f>MAX(0,MIN(ROUND(AC13*(1+I$5),0)-I14,$AJ14-SUM($M14:R14)))</f>
        <v/>
      </c>
      <c r="T14">
        <f>MAX(0,MIN(ROUND(AD13*(1+J$5),0)-J14,$AJ14-SUM($M14:S14)))</f>
        <v/>
      </c>
      <c r="U14">
        <f>MAX(0,MIN(ROUND(AE13*(1+K$5),0)-K14,$AJ14-SUM($M14:T14)))</f>
        <v/>
      </c>
      <c r="V14">
        <f>MAX(0,MIN(ROUND(AF13*(1+L$5),0)-L14,$AJ14-SUM($M14:U14)))</f>
        <v/>
      </c>
      <c r="W14">
        <f>MAX(0,ROUND(W13*(1+C$5),0)-C14-M14)</f>
        <v/>
      </c>
      <c r="X14">
        <f>MAX(0,ROUND(X13*(1+D$5),0)-D14-N14)</f>
        <v/>
      </c>
      <c r="Y14">
        <f>MAX(0,ROUND(Y13*(1+E$5),0)-E14-O14)</f>
        <v/>
      </c>
      <c r="Z14">
        <f>MAX(0,ROUND(Z13*(1+F$5),0)-F14-P14)</f>
        <v/>
      </c>
      <c r="AA14">
        <f>MAX(0,ROUND(AA13*(1+G$5),0)-G14-Q14)</f>
        <v/>
      </c>
      <c r="AB14">
        <f>MAX(0,ROUND(AB13*(1+H$5),0)-H14-R14)</f>
        <v/>
      </c>
      <c r="AC14">
        <f>MAX(0,ROUND(AC13*(1+I$5),0)-I14-S14)</f>
        <v/>
      </c>
      <c r="AD14">
        <f>MAX(0,ROUND(AD13*(1+J$5),0)-J14-T14)</f>
        <v/>
      </c>
      <c r="AE14">
        <f>MAX(0,ROUND(AE13*(1+K$5),0)-K14-U14)</f>
        <v/>
      </c>
      <c r="AF14">
        <f>MAX(0,ROUND(AF13*(1+L$5),0)-L14-V14)</f>
        <v/>
      </c>
      <c r="AG14">
        <f>AH14-(AI13-AI14)</f>
        <v/>
      </c>
      <c r="AH14">
        <f>SUM(C14:V14)</f>
        <v/>
      </c>
      <c r="AI14">
        <f>SUM(W14:AF14)</f>
        <v/>
      </c>
      <c r="AJ14">
        <f>0</f>
        <v/>
      </c>
      <c r="AK14">
        <f>IF(AI13&lt;=0,0,11-SUMPRODUCT(MAX((W13:AF13&gt;0)*(11-(COLUMN(W13:AF13)-COLUMN($V13))))))</f>
        <v/>
      </c>
    </row>
    <row r="15">
      <c r="A15" t="n">
        <v>5</v>
      </c>
      <c r="B15">
        <f>DATE(YEAR(InicioEf),MONTH(InicioEf)+A15-1,1)</f>
        <v/>
      </c>
      <c r="C15">
        <f>MIN(C$6,ROUND(W14*(1+C$5),0))</f>
        <v/>
      </c>
      <c r="D15">
        <f>MIN(D$6,ROUND(X14*(1+D$5),0))</f>
        <v/>
      </c>
      <c r="E15">
        <f>MIN(E$6,ROUND(Y14*(1+E$5),0))</f>
        <v/>
      </c>
      <c r="F15">
        <f>MIN(F$6,ROUND(Z14*(1+F$5),0))</f>
        <v/>
      </c>
      <c r="G15">
        <f>MIN(G$6,ROUND(AA14*(1+G$5),0))</f>
        <v/>
      </c>
      <c r="H15">
        <f>MIN(H$6,ROUND(AB14*(1+H$5),0))</f>
        <v/>
      </c>
      <c r="I15">
        <f>MIN(I$6,ROUND(AC14*(1+I$5),0))</f>
        <v/>
      </c>
      <c r="J15">
        <f>MIN(J$6,ROUND(AD14*(1+J$5),0))</f>
        <v/>
      </c>
      <c r="K15">
        <f>MIN(K$6,ROUND(AE14*(1+K$5),0))</f>
        <v/>
      </c>
      <c r="L15">
        <f>MIN(L$6,ROUND(AF14*(1+L$5),0))</f>
        <v/>
      </c>
      <c r="M15">
        <f>MAX(0,MIN(ROUND(W14*(1+C$5),0)-C15,$AJ15-0))</f>
        <v/>
      </c>
      <c r="N15">
        <f>MAX(0,MIN(ROUND(X14*(1+D$5),0)-D15,$AJ15-SUM($M15:M15)))</f>
        <v/>
      </c>
      <c r="O15">
        <f>MAX(0,MIN(ROUND(Y14*(1+E$5),0)-E15,$AJ15-SUM($M15:N15)))</f>
        <v/>
      </c>
      <c r="P15">
        <f>MAX(0,MIN(ROUND(Z14*(1+F$5),0)-F15,$AJ15-SUM($M15:O15)))</f>
        <v/>
      </c>
      <c r="Q15">
        <f>MAX(0,MIN(ROUND(AA14*(1+G$5),0)-G15,$AJ15-SUM($M15:P15)))</f>
        <v/>
      </c>
      <c r="R15">
        <f>MAX(0,MIN(ROUND(AB14*(1+H$5),0)-H15,$AJ15-SUM($M15:Q15)))</f>
        <v/>
      </c>
      <c r="S15">
        <f>MAX(0,MIN(ROUND(AC14*(1+I$5),0)-I15,$AJ15-SUM($M15:R15)))</f>
        <v/>
      </c>
      <c r="T15">
        <f>MAX(0,MIN(ROUND(AD14*(1+J$5),0)-J15,$AJ15-SUM($M15:S15)))</f>
        <v/>
      </c>
      <c r="U15">
        <f>MAX(0,MIN(ROUND(AE14*(1+K$5),0)-K15,$AJ15-SUM($M15:T15)))</f>
        <v/>
      </c>
      <c r="V15">
        <f>MAX(0,MIN(ROUND(AF14*(1+L$5),0)-L15,$AJ15-SUM($M15:U15)))</f>
        <v/>
      </c>
      <c r="W15">
        <f>MAX(0,ROUND(W14*(1+C$5),0)-C15-M15)</f>
        <v/>
      </c>
      <c r="X15">
        <f>MAX(0,ROUND(X14*(1+D$5),0)-D15-N15)</f>
        <v/>
      </c>
      <c r="Y15">
        <f>MAX(0,ROUND(Y14*(1+E$5),0)-E15-O15)</f>
        <v/>
      </c>
      <c r="Z15">
        <f>MAX(0,ROUND(Z14*(1+F$5),0)-F15-P15)</f>
        <v/>
      </c>
      <c r="AA15">
        <f>MAX(0,ROUND(AA14*(1+G$5),0)-G15-Q15)</f>
        <v/>
      </c>
      <c r="AB15">
        <f>MAX(0,ROUND(AB14*(1+H$5),0)-H15-R15)</f>
        <v/>
      </c>
      <c r="AC15">
        <f>MAX(0,ROUND(AC14*(1+I$5),0)-I15-S15)</f>
        <v/>
      </c>
      <c r="AD15">
        <f>MAX(0,ROUND(AD14*(1+J$5),0)-J15-T15)</f>
        <v/>
      </c>
      <c r="AE15">
        <f>MAX(0,ROUND(AE14*(1+K$5),0)-K15-U15)</f>
        <v/>
      </c>
      <c r="AF15">
        <f>MAX(0,ROUND(AF14*(1+L$5),0)-L15-V15)</f>
        <v/>
      </c>
      <c r="AG15">
        <f>AH15-(AI14-AI15)</f>
        <v/>
      </c>
      <c r="AH15">
        <f>SUM(C15:V15)</f>
        <v/>
      </c>
      <c r="AI15">
        <f>SUM(W15:AF15)</f>
        <v/>
      </c>
      <c r="AJ15">
        <f>0</f>
        <v/>
      </c>
      <c r="AK15">
        <f>IF(AI14&lt;=0,0,11-SUMPRODUCT(MAX((W14:AF14&gt;0)*(11-(COLUMN(W14:AF14)-COLUMN($V14))))))</f>
        <v/>
      </c>
    </row>
    <row r="16">
      <c r="A16" t="n">
        <v>6</v>
      </c>
      <c r="B16">
        <f>DATE(YEAR(InicioEf),MONTH(InicioEf)+A16-1,1)</f>
        <v/>
      </c>
      <c r="C16">
        <f>MIN(C$6,ROUND(W15*(1+C$5),0))</f>
        <v/>
      </c>
      <c r="D16">
        <f>MIN(D$6,ROUND(X15*(1+D$5),0))</f>
        <v/>
      </c>
      <c r="E16">
        <f>MIN(E$6,ROUND(Y15*(1+E$5),0))</f>
        <v/>
      </c>
      <c r="F16">
        <f>MIN(F$6,ROUND(Z15*(1+F$5),0))</f>
        <v/>
      </c>
      <c r="G16">
        <f>MIN(G$6,ROUND(AA15*(1+G$5),0))</f>
        <v/>
      </c>
      <c r="H16">
        <f>MIN(H$6,ROUND(AB15*(1+H$5),0))</f>
        <v/>
      </c>
      <c r="I16">
        <f>MIN(I$6,ROUND(AC15*(1+I$5),0))</f>
        <v/>
      </c>
      <c r="J16">
        <f>MIN(J$6,ROUND(AD15*(1+J$5),0))</f>
        <v/>
      </c>
      <c r="K16">
        <f>MIN(K$6,ROUND(AE15*(1+K$5),0))</f>
        <v/>
      </c>
      <c r="L16">
        <f>MIN(L$6,ROUND(AF15*(1+L$5),0))</f>
        <v/>
      </c>
      <c r="M16">
        <f>MAX(0,MIN(ROUND(W15*(1+C$5),0)-C16,$AJ16-0))</f>
        <v/>
      </c>
      <c r="N16">
        <f>MAX(0,MIN(ROUND(X15*(1+D$5),0)-D16,$AJ16-SUM($M16:M16)))</f>
        <v/>
      </c>
      <c r="O16">
        <f>MAX(0,MIN(ROUND(Y15*(1+E$5),0)-E16,$AJ16-SUM($M16:N16)))</f>
        <v/>
      </c>
      <c r="P16">
        <f>MAX(0,MIN(ROUND(Z15*(1+F$5),0)-F16,$AJ16-SUM($M16:O16)))</f>
        <v/>
      </c>
      <c r="Q16">
        <f>MAX(0,MIN(ROUND(AA15*(1+G$5),0)-G16,$AJ16-SUM($M16:P16)))</f>
        <v/>
      </c>
      <c r="R16">
        <f>MAX(0,MIN(ROUND(AB15*(1+H$5),0)-H16,$AJ16-SUM($M16:Q16)))</f>
        <v/>
      </c>
      <c r="S16">
        <f>MAX(0,MIN(ROUND(AC15*(1+I$5),0)-I16,$AJ16-SUM($M16:R16)))</f>
        <v/>
      </c>
      <c r="T16">
        <f>MAX(0,MIN(ROUND(AD15*(1+J$5),0)-J16,$AJ16-SUM($M16:S16)))</f>
        <v/>
      </c>
      <c r="U16">
        <f>MAX(0,MIN(ROUND(AE15*(1+K$5),0)-K16,$AJ16-SUM($M16:T16)))</f>
        <v/>
      </c>
      <c r="V16">
        <f>MAX(0,MIN(ROUND(AF15*(1+L$5),0)-L16,$AJ16-SUM($M16:U16)))</f>
        <v/>
      </c>
      <c r="W16">
        <f>MAX(0,ROUND(W15*(1+C$5),0)-C16-M16)</f>
        <v/>
      </c>
      <c r="X16">
        <f>MAX(0,ROUND(X15*(1+D$5),0)-D16-N16)</f>
        <v/>
      </c>
      <c r="Y16">
        <f>MAX(0,ROUND(Y15*(1+E$5),0)-E16-O16)</f>
        <v/>
      </c>
      <c r="Z16">
        <f>MAX(0,ROUND(Z15*(1+F$5),0)-F16-P16)</f>
        <v/>
      </c>
      <c r="AA16">
        <f>MAX(0,ROUND(AA15*(1+G$5),0)-G16-Q16)</f>
        <v/>
      </c>
      <c r="AB16">
        <f>MAX(0,ROUND(AB15*(1+H$5),0)-H16-R16)</f>
        <v/>
      </c>
      <c r="AC16">
        <f>MAX(0,ROUND(AC15*(1+I$5),0)-I16-S16)</f>
        <v/>
      </c>
      <c r="AD16">
        <f>MAX(0,ROUND(AD15*(1+J$5),0)-J16-T16)</f>
        <v/>
      </c>
      <c r="AE16">
        <f>MAX(0,ROUND(AE15*(1+K$5),0)-K16-U16)</f>
        <v/>
      </c>
      <c r="AF16">
        <f>MAX(0,ROUND(AF15*(1+L$5),0)-L16-V16)</f>
        <v/>
      </c>
      <c r="AG16">
        <f>AH16-(AI15-AI16)</f>
        <v/>
      </c>
      <c r="AH16">
        <f>SUM(C16:V16)</f>
        <v/>
      </c>
      <c r="AI16">
        <f>SUM(W16:AF16)</f>
        <v/>
      </c>
      <c r="AJ16">
        <f>0</f>
        <v/>
      </c>
      <c r="AK16">
        <f>IF(AI15&lt;=0,0,11-SUMPRODUCT(MAX((W15:AF15&gt;0)*(11-(COLUMN(W15:AF15)-COLUMN($V15))))))</f>
        <v/>
      </c>
    </row>
    <row r="17">
      <c r="A17" t="n">
        <v>7</v>
      </c>
      <c r="B17">
        <f>DATE(YEAR(InicioEf),MONTH(InicioEf)+A17-1,1)</f>
        <v/>
      </c>
      <c r="C17">
        <f>MIN(C$6,ROUND(W16*(1+C$5),0))</f>
        <v/>
      </c>
      <c r="D17">
        <f>MIN(D$6,ROUND(X16*(1+D$5),0))</f>
        <v/>
      </c>
      <c r="E17">
        <f>MIN(E$6,ROUND(Y16*(1+E$5),0))</f>
        <v/>
      </c>
      <c r="F17">
        <f>MIN(F$6,ROUND(Z16*(1+F$5),0))</f>
        <v/>
      </c>
      <c r="G17">
        <f>MIN(G$6,ROUND(AA16*(1+G$5),0))</f>
        <v/>
      </c>
      <c r="H17">
        <f>MIN(H$6,ROUND(AB16*(1+H$5),0))</f>
        <v/>
      </c>
      <c r="I17">
        <f>MIN(I$6,ROUND(AC16*(1+I$5),0))</f>
        <v/>
      </c>
      <c r="J17">
        <f>MIN(J$6,ROUND(AD16*(1+J$5),0))</f>
        <v/>
      </c>
      <c r="K17">
        <f>MIN(K$6,ROUND(AE16*(1+K$5),0))</f>
        <v/>
      </c>
      <c r="L17">
        <f>MIN(L$6,ROUND(AF16*(1+L$5),0))</f>
        <v/>
      </c>
      <c r="M17">
        <f>MAX(0,MIN(ROUND(W16*(1+C$5),0)-C17,$AJ17-0))</f>
        <v/>
      </c>
      <c r="N17">
        <f>MAX(0,MIN(ROUND(X16*(1+D$5),0)-D17,$AJ17-SUM($M17:M17)))</f>
        <v/>
      </c>
      <c r="O17">
        <f>MAX(0,MIN(ROUND(Y16*(1+E$5),0)-E17,$AJ17-SUM($M17:N17)))</f>
        <v/>
      </c>
      <c r="P17">
        <f>MAX(0,MIN(ROUND(Z16*(1+F$5),0)-F17,$AJ17-SUM($M17:O17)))</f>
        <v/>
      </c>
      <c r="Q17">
        <f>MAX(0,MIN(ROUND(AA16*(1+G$5),0)-G17,$AJ17-SUM($M17:P17)))</f>
        <v/>
      </c>
      <c r="R17">
        <f>MAX(0,MIN(ROUND(AB16*(1+H$5),0)-H17,$AJ17-SUM($M17:Q17)))</f>
        <v/>
      </c>
      <c r="S17">
        <f>MAX(0,MIN(ROUND(AC16*(1+I$5),0)-I17,$AJ17-SUM($M17:R17)))</f>
        <v/>
      </c>
      <c r="T17">
        <f>MAX(0,MIN(ROUND(AD16*(1+J$5),0)-J17,$AJ17-SUM($M17:S17)))</f>
        <v/>
      </c>
      <c r="U17">
        <f>MAX(0,MIN(ROUND(AE16*(1+K$5),0)-K17,$AJ17-SUM($M17:T17)))</f>
        <v/>
      </c>
      <c r="V17">
        <f>MAX(0,MIN(ROUND(AF16*(1+L$5),0)-L17,$AJ17-SUM($M17:U17)))</f>
        <v/>
      </c>
      <c r="W17">
        <f>MAX(0,ROUND(W16*(1+C$5),0)-C17-M17)</f>
        <v/>
      </c>
      <c r="X17">
        <f>MAX(0,ROUND(X16*(1+D$5),0)-D17-N17)</f>
        <v/>
      </c>
      <c r="Y17">
        <f>MAX(0,ROUND(Y16*(1+E$5),0)-E17-O17)</f>
        <v/>
      </c>
      <c r="Z17">
        <f>MAX(0,ROUND(Z16*(1+F$5),0)-F17-P17)</f>
        <v/>
      </c>
      <c r="AA17">
        <f>MAX(0,ROUND(AA16*(1+G$5),0)-G17-Q17)</f>
        <v/>
      </c>
      <c r="AB17">
        <f>MAX(0,ROUND(AB16*(1+H$5),0)-H17-R17)</f>
        <v/>
      </c>
      <c r="AC17">
        <f>MAX(0,ROUND(AC16*(1+I$5),0)-I17-S17)</f>
        <v/>
      </c>
      <c r="AD17">
        <f>MAX(0,ROUND(AD16*(1+J$5),0)-J17-T17)</f>
        <v/>
      </c>
      <c r="AE17">
        <f>MAX(0,ROUND(AE16*(1+K$5),0)-K17-U17)</f>
        <v/>
      </c>
      <c r="AF17">
        <f>MAX(0,ROUND(AF16*(1+L$5),0)-L17-V17)</f>
        <v/>
      </c>
      <c r="AG17">
        <f>AH17-(AI16-AI17)</f>
        <v/>
      </c>
      <c r="AH17">
        <f>SUM(C17:V17)</f>
        <v/>
      </c>
      <c r="AI17">
        <f>SUM(W17:AF17)</f>
        <v/>
      </c>
      <c r="AJ17">
        <f>0</f>
        <v/>
      </c>
      <c r="AK17">
        <f>IF(AI16&lt;=0,0,11-SUMPRODUCT(MAX((W16:AF16&gt;0)*(11-(COLUMN(W16:AF16)-COLUMN($V16))))))</f>
        <v/>
      </c>
    </row>
    <row r="18">
      <c r="A18" t="n">
        <v>8</v>
      </c>
      <c r="B18">
        <f>DATE(YEAR(InicioEf),MONTH(InicioEf)+A18-1,1)</f>
        <v/>
      </c>
      <c r="C18">
        <f>MIN(C$6,ROUND(W17*(1+C$5),0))</f>
        <v/>
      </c>
      <c r="D18">
        <f>MIN(D$6,ROUND(X17*(1+D$5),0))</f>
        <v/>
      </c>
      <c r="E18">
        <f>MIN(E$6,ROUND(Y17*(1+E$5),0))</f>
        <v/>
      </c>
      <c r="F18">
        <f>MIN(F$6,ROUND(Z17*(1+F$5),0))</f>
        <v/>
      </c>
      <c r="G18">
        <f>MIN(G$6,ROUND(AA17*(1+G$5),0))</f>
        <v/>
      </c>
      <c r="H18">
        <f>MIN(H$6,ROUND(AB17*(1+H$5),0))</f>
        <v/>
      </c>
      <c r="I18">
        <f>MIN(I$6,ROUND(AC17*(1+I$5),0))</f>
        <v/>
      </c>
      <c r="J18">
        <f>MIN(J$6,ROUND(AD17*(1+J$5),0))</f>
        <v/>
      </c>
      <c r="K18">
        <f>MIN(K$6,ROUND(AE17*(1+K$5),0))</f>
        <v/>
      </c>
      <c r="L18">
        <f>MIN(L$6,ROUND(AF17*(1+L$5),0))</f>
        <v/>
      </c>
      <c r="M18">
        <f>MAX(0,MIN(ROUND(W17*(1+C$5),0)-C18,$AJ18-0))</f>
        <v/>
      </c>
      <c r="N18">
        <f>MAX(0,MIN(ROUND(X17*(1+D$5),0)-D18,$AJ18-SUM($M18:M18)))</f>
        <v/>
      </c>
      <c r="O18">
        <f>MAX(0,MIN(ROUND(Y17*(1+E$5),0)-E18,$AJ18-SUM($M18:N18)))</f>
        <v/>
      </c>
      <c r="P18">
        <f>MAX(0,MIN(ROUND(Z17*(1+F$5),0)-F18,$AJ18-SUM($M18:O18)))</f>
        <v/>
      </c>
      <c r="Q18">
        <f>MAX(0,MIN(ROUND(AA17*(1+G$5),0)-G18,$AJ18-SUM($M18:P18)))</f>
        <v/>
      </c>
      <c r="R18">
        <f>MAX(0,MIN(ROUND(AB17*(1+H$5),0)-H18,$AJ18-SUM($M18:Q18)))</f>
        <v/>
      </c>
      <c r="S18">
        <f>MAX(0,MIN(ROUND(AC17*(1+I$5),0)-I18,$AJ18-SUM($M18:R18)))</f>
        <v/>
      </c>
      <c r="T18">
        <f>MAX(0,MIN(ROUND(AD17*(1+J$5),0)-J18,$AJ18-SUM($M18:S18)))</f>
        <v/>
      </c>
      <c r="U18">
        <f>MAX(0,MIN(ROUND(AE17*(1+K$5),0)-K18,$AJ18-SUM($M18:T18)))</f>
        <v/>
      </c>
      <c r="V18">
        <f>MAX(0,MIN(ROUND(AF17*(1+L$5),0)-L18,$AJ18-SUM($M18:U18)))</f>
        <v/>
      </c>
      <c r="W18">
        <f>MAX(0,ROUND(W17*(1+C$5),0)-C18-M18)</f>
        <v/>
      </c>
      <c r="X18">
        <f>MAX(0,ROUND(X17*(1+D$5),0)-D18-N18)</f>
        <v/>
      </c>
      <c r="Y18">
        <f>MAX(0,ROUND(Y17*(1+E$5),0)-E18-O18)</f>
        <v/>
      </c>
      <c r="Z18">
        <f>MAX(0,ROUND(Z17*(1+F$5),0)-F18-P18)</f>
        <v/>
      </c>
      <c r="AA18">
        <f>MAX(0,ROUND(AA17*(1+G$5),0)-G18-Q18)</f>
        <v/>
      </c>
      <c r="AB18">
        <f>MAX(0,ROUND(AB17*(1+H$5),0)-H18-R18)</f>
        <v/>
      </c>
      <c r="AC18">
        <f>MAX(0,ROUND(AC17*(1+I$5),0)-I18-S18)</f>
        <v/>
      </c>
      <c r="AD18">
        <f>MAX(0,ROUND(AD17*(1+J$5),0)-J18-T18)</f>
        <v/>
      </c>
      <c r="AE18">
        <f>MAX(0,ROUND(AE17*(1+K$5),0)-K18-U18)</f>
        <v/>
      </c>
      <c r="AF18">
        <f>MAX(0,ROUND(AF17*(1+L$5),0)-L18-V18)</f>
        <v/>
      </c>
      <c r="AG18">
        <f>AH18-(AI17-AI18)</f>
        <v/>
      </c>
      <c r="AH18">
        <f>SUM(C18:V18)</f>
        <v/>
      </c>
      <c r="AI18">
        <f>SUM(W18:AF18)</f>
        <v/>
      </c>
      <c r="AJ18">
        <f>0</f>
        <v/>
      </c>
      <c r="AK18">
        <f>IF(AI17&lt;=0,0,11-SUMPRODUCT(MAX((W17:AF17&gt;0)*(11-(COLUMN(W17:AF17)-COLUMN($V17))))))</f>
        <v/>
      </c>
    </row>
    <row r="19">
      <c r="A19" t="n">
        <v>9</v>
      </c>
      <c r="B19">
        <f>DATE(YEAR(InicioEf),MONTH(InicioEf)+A19-1,1)</f>
        <v/>
      </c>
      <c r="C19">
        <f>MIN(C$6,ROUND(W18*(1+C$5),0))</f>
        <v/>
      </c>
      <c r="D19">
        <f>MIN(D$6,ROUND(X18*(1+D$5),0))</f>
        <v/>
      </c>
      <c r="E19">
        <f>MIN(E$6,ROUND(Y18*(1+E$5),0))</f>
        <v/>
      </c>
      <c r="F19">
        <f>MIN(F$6,ROUND(Z18*(1+F$5),0))</f>
        <v/>
      </c>
      <c r="G19">
        <f>MIN(G$6,ROUND(AA18*(1+G$5),0))</f>
        <v/>
      </c>
      <c r="H19">
        <f>MIN(H$6,ROUND(AB18*(1+H$5),0))</f>
        <v/>
      </c>
      <c r="I19">
        <f>MIN(I$6,ROUND(AC18*(1+I$5),0))</f>
        <v/>
      </c>
      <c r="J19">
        <f>MIN(J$6,ROUND(AD18*(1+J$5),0))</f>
        <v/>
      </c>
      <c r="K19">
        <f>MIN(K$6,ROUND(AE18*(1+K$5),0))</f>
        <v/>
      </c>
      <c r="L19">
        <f>MIN(L$6,ROUND(AF18*(1+L$5),0))</f>
        <v/>
      </c>
      <c r="M19">
        <f>MAX(0,MIN(ROUND(W18*(1+C$5),0)-C19,$AJ19-0))</f>
        <v/>
      </c>
      <c r="N19">
        <f>MAX(0,MIN(ROUND(X18*(1+D$5),0)-D19,$AJ19-SUM($M19:M19)))</f>
        <v/>
      </c>
      <c r="O19">
        <f>MAX(0,MIN(ROUND(Y18*(1+E$5),0)-E19,$AJ19-SUM($M19:N19)))</f>
        <v/>
      </c>
      <c r="P19">
        <f>MAX(0,MIN(ROUND(Z18*(1+F$5),0)-F19,$AJ19-SUM($M19:O19)))</f>
        <v/>
      </c>
      <c r="Q19">
        <f>MAX(0,MIN(ROUND(AA18*(1+G$5),0)-G19,$AJ19-SUM($M19:P19)))</f>
        <v/>
      </c>
      <c r="R19">
        <f>MAX(0,MIN(ROUND(AB18*(1+H$5),0)-H19,$AJ19-SUM($M19:Q19)))</f>
        <v/>
      </c>
      <c r="S19">
        <f>MAX(0,MIN(ROUND(AC18*(1+I$5),0)-I19,$AJ19-SUM($M19:R19)))</f>
        <v/>
      </c>
      <c r="T19">
        <f>MAX(0,MIN(ROUND(AD18*(1+J$5),0)-J19,$AJ19-SUM($M19:S19)))</f>
        <v/>
      </c>
      <c r="U19">
        <f>MAX(0,MIN(ROUND(AE18*(1+K$5),0)-K19,$AJ19-SUM($M19:T19)))</f>
        <v/>
      </c>
      <c r="V19">
        <f>MAX(0,MIN(ROUND(AF18*(1+L$5),0)-L19,$AJ19-SUM($M19:U19)))</f>
        <v/>
      </c>
      <c r="W19">
        <f>MAX(0,ROUND(W18*(1+C$5),0)-C19-M19)</f>
        <v/>
      </c>
      <c r="X19">
        <f>MAX(0,ROUND(X18*(1+D$5),0)-D19-N19)</f>
        <v/>
      </c>
      <c r="Y19">
        <f>MAX(0,ROUND(Y18*(1+E$5),0)-E19-O19)</f>
        <v/>
      </c>
      <c r="Z19">
        <f>MAX(0,ROUND(Z18*(1+F$5),0)-F19-P19)</f>
        <v/>
      </c>
      <c r="AA19">
        <f>MAX(0,ROUND(AA18*(1+G$5),0)-G19-Q19)</f>
        <v/>
      </c>
      <c r="AB19">
        <f>MAX(0,ROUND(AB18*(1+H$5),0)-H19-R19)</f>
        <v/>
      </c>
      <c r="AC19">
        <f>MAX(0,ROUND(AC18*(1+I$5),0)-I19-S19)</f>
        <v/>
      </c>
      <c r="AD19">
        <f>MAX(0,ROUND(AD18*(1+J$5),0)-J19-T19)</f>
        <v/>
      </c>
      <c r="AE19">
        <f>MAX(0,ROUND(AE18*(1+K$5),0)-K19-U19)</f>
        <v/>
      </c>
      <c r="AF19">
        <f>MAX(0,ROUND(AF18*(1+L$5),0)-L19-V19)</f>
        <v/>
      </c>
      <c r="AG19">
        <f>AH19-(AI18-AI19)</f>
        <v/>
      </c>
      <c r="AH19">
        <f>SUM(C19:V19)</f>
        <v/>
      </c>
      <c r="AI19">
        <f>SUM(W19:AF19)</f>
        <v/>
      </c>
      <c r="AJ19">
        <f>0</f>
        <v/>
      </c>
      <c r="AK19">
        <f>IF(AI18&lt;=0,0,11-SUMPRODUCT(MAX((W18:AF18&gt;0)*(11-(COLUMN(W18:AF18)-COLUMN($V18))))))</f>
        <v/>
      </c>
    </row>
    <row r="20">
      <c r="A20" t="n">
        <v>10</v>
      </c>
      <c r="B20">
        <f>DATE(YEAR(InicioEf),MONTH(InicioEf)+A20-1,1)</f>
        <v/>
      </c>
      <c r="C20">
        <f>MIN(C$6,ROUND(W19*(1+C$5),0))</f>
        <v/>
      </c>
      <c r="D20">
        <f>MIN(D$6,ROUND(X19*(1+D$5),0))</f>
        <v/>
      </c>
      <c r="E20">
        <f>MIN(E$6,ROUND(Y19*(1+E$5),0))</f>
        <v/>
      </c>
      <c r="F20">
        <f>MIN(F$6,ROUND(Z19*(1+F$5),0))</f>
        <v/>
      </c>
      <c r="G20">
        <f>MIN(G$6,ROUND(AA19*(1+G$5),0))</f>
        <v/>
      </c>
      <c r="H20">
        <f>MIN(H$6,ROUND(AB19*(1+H$5),0))</f>
        <v/>
      </c>
      <c r="I20">
        <f>MIN(I$6,ROUND(AC19*(1+I$5),0))</f>
        <v/>
      </c>
      <c r="J20">
        <f>MIN(J$6,ROUND(AD19*(1+J$5),0))</f>
        <v/>
      </c>
      <c r="K20">
        <f>MIN(K$6,ROUND(AE19*(1+K$5),0))</f>
        <v/>
      </c>
      <c r="L20">
        <f>MIN(L$6,ROUND(AF19*(1+L$5),0))</f>
        <v/>
      </c>
      <c r="M20">
        <f>MAX(0,MIN(ROUND(W19*(1+C$5),0)-C20,$AJ20-0))</f>
        <v/>
      </c>
      <c r="N20">
        <f>MAX(0,MIN(ROUND(X19*(1+D$5),0)-D20,$AJ20-SUM($M20:M20)))</f>
        <v/>
      </c>
      <c r="O20">
        <f>MAX(0,MIN(ROUND(Y19*(1+E$5),0)-E20,$AJ20-SUM($M20:N20)))</f>
        <v/>
      </c>
      <c r="P20">
        <f>MAX(0,MIN(ROUND(Z19*(1+F$5),0)-F20,$AJ20-SUM($M20:O20)))</f>
        <v/>
      </c>
      <c r="Q20">
        <f>MAX(0,MIN(ROUND(AA19*(1+G$5),0)-G20,$AJ20-SUM($M20:P20)))</f>
        <v/>
      </c>
      <c r="R20">
        <f>MAX(0,MIN(ROUND(AB19*(1+H$5),0)-H20,$AJ20-SUM($M20:Q20)))</f>
        <v/>
      </c>
      <c r="S20">
        <f>MAX(0,MIN(ROUND(AC19*(1+I$5),0)-I20,$AJ20-SUM($M20:R20)))</f>
        <v/>
      </c>
      <c r="T20">
        <f>MAX(0,MIN(ROUND(AD19*(1+J$5),0)-J20,$AJ20-SUM($M20:S20)))</f>
        <v/>
      </c>
      <c r="U20">
        <f>MAX(0,MIN(ROUND(AE19*(1+K$5),0)-K20,$AJ20-SUM($M20:T20)))</f>
        <v/>
      </c>
      <c r="V20">
        <f>MAX(0,MIN(ROUND(AF19*(1+L$5),0)-L20,$AJ20-SUM($M20:U20)))</f>
        <v/>
      </c>
      <c r="W20">
        <f>MAX(0,ROUND(W19*(1+C$5),0)-C20-M20)</f>
        <v/>
      </c>
      <c r="X20">
        <f>MAX(0,ROUND(X19*(1+D$5),0)-D20-N20)</f>
        <v/>
      </c>
      <c r="Y20">
        <f>MAX(0,ROUND(Y19*(1+E$5),0)-E20-O20)</f>
        <v/>
      </c>
      <c r="Z20">
        <f>MAX(0,ROUND(Z19*(1+F$5),0)-F20-P20)</f>
        <v/>
      </c>
      <c r="AA20">
        <f>MAX(0,ROUND(AA19*(1+G$5),0)-G20-Q20)</f>
        <v/>
      </c>
      <c r="AB20">
        <f>MAX(0,ROUND(AB19*(1+H$5),0)-H20-R20)</f>
        <v/>
      </c>
      <c r="AC20">
        <f>MAX(0,ROUND(AC19*(1+I$5),0)-I20-S20)</f>
        <v/>
      </c>
      <c r="AD20">
        <f>MAX(0,ROUND(AD19*(1+J$5),0)-J20-T20)</f>
        <v/>
      </c>
      <c r="AE20">
        <f>MAX(0,ROUND(AE19*(1+K$5),0)-K20-U20)</f>
        <v/>
      </c>
      <c r="AF20">
        <f>MAX(0,ROUND(AF19*(1+L$5),0)-L20-V20)</f>
        <v/>
      </c>
      <c r="AG20">
        <f>AH20-(AI19-AI20)</f>
        <v/>
      </c>
      <c r="AH20">
        <f>SUM(C20:V20)</f>
        <v/>
      </c>
      <c r="AI20">
        <f>SUM(W20:AF20)</f>
        <v/>
      </c>
      <c r="AJ20">
        <f>0</f>
        <v/>
      </c>
      <c r="AK20">
        <f>IF(AI19&lt;=0,0,11-SUMPRODUCT(MAX((W19:AF19&gt;0)*(11-(COLUMN(W19:AF19)-COLUMN($V19))))))</f>
        <v/>
      </c>
    </row>
    <row r="21">
      <c r="A21" t="n">
        <v>11</v>
      </c>
      <c r="B21">
        <f>DATE(YEAR(InicioEf),MONTH(InicioEf)+A21-1,1)</f>
        <v/>
      </c>
      <c r="C21">
        <f>MIN(C$6,ROUND(W20*(1+C$5),0))</f>
        <v/>
      </c>
      <c r="D21">
        <f>MIN(D$6,ROUND(X20*(1+D$5),0))</f>
        <v/>
      </c>
      <c r="E21">
        <f>MIN(E$6,ROUND(Y20*(1+E$5),0))</f>
        <v/>
      </c>
      <c r="F21">
        <f>MIN(F$6,ROUND(Z20*(1+F$5),0))</f>
        <v/>
      </c>
      <c r="G21">
        <f>MIN(G$6,ROUND(AA20*(1+G$5),0))</f>
        <v/>
      </c>
      <c r="H21">
        <f>MIN(H$6,ROUND(AB20*(1+H$5),0))</f>
        <v/>
      </c>
      <c r="I21">
        <f>MIN(I$6,ROUND(AC20*(1+I$5),0))</f>
        <v/>
      </c>
      <c r="J21">
        <f>MIN(J$6,ROUND(AD20*(1+J$5),0))</f>
        <v/>
      </c>
      <c r="K21">
        <f>MIN(K$6,ROUND(AE20*(1+K$5),0))</f>
        <v/>
      </c>
      <c r="L21">
        <f>MIN(L$6,ROUND(AF20*(1+L$5),0))</f>
        <v/>
      </c>
      <c r="M21">
        <f>MAX(0,MIN(ROUND(W20*(1+C$5),0)-C21,$AJ21-0))</f>
        <v/>
      </c>
      <c r="N21">
        <f>MAX(0,MIN(ROUND(X20*(1+D$5),0)-D21,$AJ21-SUM($M21:M21)))</f>
        <v/>
      </c>
      <c r="O21">
        <f>MAX(0,MIN(ROUND(Y20*(1+E$5),0)-E21,$AJ21-SUM($M21:N21)))</f>
        <v/>
      </c>
      <c r="P21">
        <f>MAX(0,MIN(ROUND(Z20*(1+F$5),0)-F21,$AJ21-SUM($M21:O21)))</f>
        <v/>
      </c>
      <c r="Q21">
        <f>MAX(0,MIN(ROUND(AA20*(1+G$5),0)-G21,$AJ21-SUM($M21:P21)))</f>
        <v/>
      </c>
      <c r="R21">
        <f>MAX(0,MIN(ROUND(AB20*(1+H$5),0)-H21,$AJ21-SUM($M21:Q21)))</f>
        <v/>
      </c>
      <c r="S21">
        <f>MAX(0,MIN(ROUND(AC20*(1+I$5),0)-I21,$AJ21-SUM($M21:R21)))</f>
        <v/>
      </c>
      <c r="T21">
        <f>MAX(0,MIN(ROUND(AD20*(1+J$5),0)-J21,$AJ21-SUM($M21:S21)))</f>
        <v/>
      </c>
      <c r="U21">
        <f>MAX(0,MIN(ROUND(AE20*(1+K$5),0)-K21,$AJ21-SUM($M21:T21)))</f>
        <v/>
      </c>
      <c r="V21">
        <f>MAX(0,MIN(ROUND(AF20*(1+L$5),0)-L21,$AJ21-SUM($M21:U21)))</f>
        <v/>
      </c>
      <c r="W21">
        <f>MAX(0,ROUND(W20*(1+C$5),0)-C21-M21)</f>
        <v/>
      </c>
      <c r="X21">
        <f>MAX(0,ROUND(X20*(1+D$5),0)-D21-N21)</f>
        <v/>
      </c>
      <c r="Y21">
        <f>MAX(0,ROUND(Y20*(1+E$5),0)-E21-O21)</f>
        <v/>
      </c>
      <c r="Z21">
        <f>MAX(0,ROUND(Z20*(1+F$5),0)-F21-P21)</f>
        <v/>
      </c>
      <c r="AA21">
        <f>MAX(0,ROUND(AA20*(1+G$5),0)-G21-Q21)</f>
        <v/>
      </c>
      <c r="AB21">
        <f>MAX(0,ROUND(AB20*(1+H$5),0)-H21-R21)</f>
        <v/>
      </c>
      <c r="AC21">
        <f>MAX(0,ROUND(AC20*(1+I$5),0)-I21-S21)</f>
        <v/>
      </c>
      <c r="AD21">
        <f>MAX(0,ROUND(AD20*(1+J$5),0)-J21-T21)</f>
        <v/>
      </c>
      <c r="AE21">
        <f>MAX(0,ROUND(AE20*(1+K$5),0)-K21-U21)</f>
        <v/>
      </c>
      <c r="AF21">
        <f>MAX(0,ROUND(AF20*(1+L$5),0)-L21-V21)</f>
        <v/>
      </c>
      <c r="AG21">
        <f>AH21-(AI20-AI21)</f>
        <v/>
      </c>
      <c r="AH21">
        <f>SUM(C21:V21)</f>
        <v/>
      </c>
      <c r="AI21">
        <f>SUM(W21:AF21)</f>
        <v/>
      </c>
      <c r="AJ21">
        <f>0</f>
        <v/>
      </c>
      <c r="AK21">
        <f>IF(AI20&lt;=0,0,11-SUMPRODUCT(MAX((W20:AF20&gt;0)*(11-(COLUMN(W20:AF20)-COLUMN($V20))))))</f>
        <v/>
      </c>
    </row>
    <row r="22">
      <c r="A22" t="n">
        <v>12</v>
      </c>
      <c r="B22">
        <f>DATE(YEAR(InicioEf),MONTH(InicioEf)+A22-1,1)</f>
        <v/>
      </c>
      <c r="C22">
        <f>MIN(C$6,ROUND(W21*(1+C$5),0))</f>
        <v/>
      </c>
      <c r="D22">
        <f>MIN(D$6,ROUND(X21*(1+D$5),0))</f>
        <v/>
      </c>
      <c r="E22">
        <f>MIN(E$6,ROUND(Y21*(1+E$5),0))</f>
        <v/>
      </c>
      <c r="F22">
        <f>MIN(F$6,ROUND(Z21*(1+F$5),0))</f>
        <v/>
      </c>
      <c r="G22">
        <f>MIN(G$6,ROUND(AA21*(1+G$5),0))</f>
        <v/>
      </c>
      <c r="H22">
        <f>MIN(H$6,ROUND(AB21*(1+H$5),0))</f>
        <v/>
      </c>
      <c r="I22">
        <f>MIN(I$6,ROUND(AC21*(1+I$5),0))</f>
        <v/>
      </c>
      <c r="J22">
        <f>MIN(J$6,ROUND(AD21*(1+J$5),0))</f>
        <v/>
      </c>
      <c r="K22">
        <f>MIN(K$6,ROUND(AE21*(1+K$5),0))</f>
        <v/>
      </c>
      <c r="L22">
        <f>MIN(L$6,ROUND(AF21*(1+L$5),0))</f>
        <v/>
      </c>
      <c r="M22">
        <f>MAX(0,MIN(ROUND(W21*(1+C$5),0)-C22,$AJ22-0))</f>
        <v/>
      </c>
      <c r="N22">
        <f>MAX(0,MIN(ROUND(X21*(1+D$5),0)-D22,$AJ22-SUM($M22:M22)))</f>
        <v/>
      </c>
      <c r="O22">
        <f>MAX(0,MIN(ROUND(Y21*(1+E$5),0)-E22,$AJ22-SUM($M22:N22)))</f>
        <v/>
      </c>
      <c r="P22">
        <f>MAX(0,MIN(ROUND(Z21*(1+F$5),0)-F22,$AJ22-SUM($M22:O22)))</f>
        <v/>
      </c>
      <c r="Q22">
        <f>MAX(0,MIN(ROUND(AA21*(1+G$5),0)-G22,$AJ22-SUM($M22:P22)))</f>
        <v/>
      </c>
      <c r="R22">
        <f>MAX(0,MIN(ROUND(AB21*(1+H$5),0)-H22,$AJ22-SUM($M22:Q22)))</f>
        <v/>
      </c>
      <c r="S22">
        <f>MAX(0,MIN(ROUND(AC21*(1+I$5),0)-I22,$AJ22-SUM($M22:R22)))</f>
        <v/>
      </c>
      <c r="T22">
        <f>MAX(0,MIN(ROUND(AD21*(1+J$5),0)-J22,$AJ22-SUM($M22:S22)))</f>
        <v/>
      </c>
      <c r="U22">
        <f>MAX(0,MIN(ROUND(AE21*(1+K$5),0)-K22,$AJ22-SUM($M22:T22)))</f>
        <v/>
      </c>
      <c r="V22">
        <f>MAX(0,MIN(ROUND(AF21*(1+L$5),0)-L22,$AJ22-SUM($M22:U22)))</f>
        <v/>
      </c>
      <c r="W22">
        <f>MAX(0,ROUND(W21*(1+C$5),0)-C22-M22)</f>
        <v/>
      </c>
      <c r="X22">
        <f>MAX(0,ROUND(X21*(1+D$5),0)-D22-N22)</f>
        <v/>
      </c>
      <c r="Y22">
        <f>MAX(0,ROUND(Y21*(1+E$5),0)-E22-O22)</f>
        <v/>
      </c>
      <c r="Z22">
        <f>MAX(0,ROUND(Z21*(1+F$5),0)-F22-P22)</f>
        <v/>
      </c>
      <c r="AA22">
        <f>MAX(0,ROUND(AA21*(1+G$5),0)-G22-Q22)</f>
        <v/>
      </c>
      <c r="AB22">
        <f>MAX(0,ROUND(AB21*(1+H$5),0)-H22-R22)</f>
        <v/>
      </c>
      <c r="AC22">
        <f>MAX(0,ROUND(AC21*(1+I$5),0)-I22-S22)</f>
        <v/>
      </c>
      <c r="AD22">
        <f>MAX(0,ROUND(AD21*(1+J$5),0)-J22-T22)</f>
        <v/>
      </c>
      <c r="AE22">
        <f>MAX(0,ROUND(AE21*(1+K$5),0)-K22-U22)</f>
        <v/>
      </c>
      <c r="AF22">
        <f>MAX(0,ROUND(AF21*(1+L$5),0)-L22-V22)</f>
        <v/>
      </c>
      <c r="AG22">
        <f>AH22-(AI21-AI22)</f>
        <v/>
      </c>
      <c r="AH22">
        <f>SUM(C22:V22)</f>
        <v/>
      </c>
      <c r="AI22">
        <f>SUM(W22:AF22)</f>
        <v/>
      </c>
      <c r="AJ22">
        <f>0</f>
        <v/>
      </c>
      <c r="AK22">
        <f>IF(AI21&lt;=0,0,11-SUMPRODUCT(MAX((W21:AF21&gt;0)*(11-(COLUMN(W21:AF21)-COLUMN($V21))))))</f>
        <v/>
      </c>
    </row>
    <row r="23">
      <c r="A23" t="n">
        <v>13</v>
      </c>
      <c r="B23">
        <f>DATE(YEAR(InicioEf),MONTH(InicioEf)+A23-1,1)</f>
        <v/>
      </c>
      <c r="C23">
        <f>MIN(C$6,ROUND(W22*(1+C$5),0))</f>
        <v/>
      </c>
      <c r="D23">
        <f>MIN(D$6,ROUND(X22*(1+D$5),0))</f>
        <v/>
      </c>
      <c r="E23">
        <f>MIN(E$6,ROUND(Y22*(1+E$5),0))</f>
        <v/>
      </c>
      <c r="F23">
        <f>MIN(F$6,ROUND(Z22*(1+F$5),0))</f>
        <v/>
      </c>
      <c r="G23">
        <f>MIN(G$6,ROUND(AA22*(1+G$5),0))</f>
        <v/>
      </c>
      <c r="H23">
        <f>MIN(H$6,ROUND(AB22*(1+H$5),0))</f>
        <v/>
      </c>
      <c r="I23">
        <f>MIN(I$6,ROUND(AC22*(1+I$5),0))</f>
        <v/>
      </c>
      <c r="J23">
        <f>MIN(J$6,ROUND(AD22*(1+J$5),0))</f>
        <v/>
      </c>
      <c r="K23">
        <f>MIN(K$6,ROUND(AE22*(1+K$5),0))</f>
        <v/>
      </c>
      <c r="L23">
        <f>MIN(L$6,ROUND(AF22*(1+L$5),0))</f>
        <v/>
      </c>
      <c r="M23">
        <f>MAX(0,MIN(ROUND(W22*(1+C$5),0)-C23,$AJ23-0))</f>
        <v/>
      </c>
      <c r="N23">
        <f>MAX(0,MIN(ROUND(X22*(1+D$5),0)-D23,$AJ23-SUM($M23:M23)))</f>
        <v/>
      </c>
      <c r="O23">
        <f>MAX(0,MIN(ROUND(Y22*(1+E$5),0)-E23,$AJ23-SUM($M23:N23)))</f>
        <v/>
      </c>
      <c r="P23">
        <f>MAX(0,MIN(ROUND(Z22*(1+F$5),0)-F23,$AJ23-SUM($M23:O23)))</f>
        <v/>
      </c>
      <c r="Q23">
        <f>MAX(0,MIN(ROUND(AA22*(1+G$5),0)-G23,$AJ23-SUM($M23:P23)))</f>
        <v/>
      </c>
      <c r="R23">
        <f>MAX(0,MIN(ROUND(AB22*(1+H$5),0)-H23,$AJ23-SUM($M23:Q23)))</f>
        <v/>
      </c>
      <c r="S23">
        <f>MAX(0,MIN(ROUND(AC22*(1+I$5),0)-I23,$AJ23-SUM($M23:R23)))</f>
        <v/>
      </c>
      <c r="T23">
        <f>MAX(0,MIN(ROUND(AD22*(1+J$5),0)-J23,$AJ23-SUM($M23:S23)))</f>
        <v/>
      </c>
      <c r="U23">
        <f>MAX(0,MIN(ROUND(AE22*(1+K$5),0)-K23,$AJ23-SUM($M23:T23)))</f>
        <v/>
      </c>
      <c r="V23">
        <f>MAX(0,MIN(ROUND(AF22*(1+L$5),0)-L23,$AJ23-SUM($M23:U23)))</f>
        <v/>
      </c>
      <c r="W23">
        <f>MAX(0,ROUND(W22*(1+C$5),0)-C23-M23)</f>
        <v/>
      </c>
      <c r="X23">
        <f>MAX(0,ROUND(X22*(1+D$5),0)-D23-N23)</f>
        <v/>
      </c>
      <c r="Y23">
        <f>MAX(0,ROUND(Y22*(1+E$5),0)-E23-O23)</f>
        <v/>
      </c>
      <c r="Z23">
        <f>MAX(0,ROUND(Z22*(1+F$5),0)-F23-P23)</f>
        <v/>
      </c>
      <c r="AA23">
        <f>MAX(0,ROUND(AA22*(1+G$5),0)-G23-Q23)</f>
        <v/>
      </c>
      <c r="AB23">
        <f>MAX(0,ROUND(AB22*(1+H$5),0)-H23-R23)</f>
        <v/>
      </c>
      <c r="AC23">
        <f>MAX(0,ROUND(AC22*(1+I$5),0)-I23-S23)</f>
        <v/>
      </c>
      <c r="AD23">
        <f>MAX(0,ROUND(AD22*(1+J$5),0)-J23-T23)</f>
        <v/>
      </c>
      <c r="AE23">
        <f>MAX(0,ROUND(AE22*(1+K$5),0)-K23-U23)</f>
        <v/>
      </c>
      <c r="AF23">
        <f>MAX(0,ROUND(AF22*(1+L$5),0)-L23-V23)</f>
        <v/>
      </c>
      <c r="AG23">
        <f>AH23-(AI22-AI23)</f>
        <v/>
      </c>
      <c r="AH23">
        <f>SUM(C23:V23)</f>
        <v/>
      </c>
      <c r="AI23">
        <f>SUM(W23:AF23)</f>
        <v/>
      </c>
      <c r="AJ23">
        <f>0</f>
        <v/>
      </c>
      <c r="AK23">
        <f>IF(AI22&lt;=0,0,11-SUMPRODUCT(MAX((W22:AF22&gt;0)*(11-(COLUMN(W22:AF22)-COLUMN($V22))))))</f>
        <v/>
      </c>
    </row>
    <row r="24">
      <c r="A24" t="n">
        <v>14</v>
      </c>
      <c r="B24">
        <f>DATE(YEAR(InicioEf),MONTH(InicioEf)+A24-1,1)</f>
        <v/>
      </c>
      <c r="C24">
        <f>MIN(C$6,ROUND(W23*(1+C$5),0))</f>
        <v/>
      </c>
      <c r="D24">
        <f>MIN(D$6,ROUND(X23*(1+D$5),0))</f>
        <v/>
      </c>
      <c r="E24">
        <f>MIN(E$6,ROUND(Y23*(1+E$5),0))</f>
        <v/>
      </c>
      <c r="F24">
        <f>MIN(F$6,ROUND(Z23*(1+F$5),0))</f>
        <v/>
      </c>
      <c r="G24">
        <f>MIN(G$6,ROUND(AA23*(1+G$5),0))</f>
        <v/>
      </c>
      <c r="H24">
        <f>MIN(H$6,ROUND(AB23*(1+H$5),0))</f>
        <v/>
      </c>
      <c r="I24">
        <f>MIN(I$6,ROUND(AC23*(1+I$5),0))</f>
        <v/>
      </c>
      <c r="J24">
        <f>MIN(J$6,ROUND(AD23*(1+J$5),0))</f>
        <v/>
      </c>
      <c r="K24">
        <f>MIN(K$6,ROUND(AE23*(1+K$5),0))</f>
        <v/>
      </c>
      <c r="L24">
        <f>MIN(L$6,ROUND(AF23*(1+L$5),0))</f>
        <v/>
      </c>
      <c r="M24">
        <f>MAX(0,MIN(ROUND(W23*(1+C$5),0)-C24,$AJ24-0))</f>
        <v/>
      </c>
      <c r="N24">
        <f>MAX(0,MIN(ROUND(X23*(1+D$5),0)-D24,$AJ24-SUM($M24:M24)))</f>
        <v/>
      </c>
      <c r="O24">
        <f>MAX(0,MIN(ROUND(Y23*(1+E$5),0)-E24,$AJ24-SUM($M24:N24)))</f>
        <v/>
      </c>
      <c r="P24">
        <f>MAX(0,MIN(ROUND(Z23*(1+F$5),0)-F24,$AJ24-SUM($M24:O24)))</f>
        <v/>
      </c>
      <c r="Q24">
        <f>MAX(0,MIN(ROUND(AA23*(1+G$5),0)-G24,$AJ24-SUM($M24:P24)))</f>
        <v/>
      </c>
      <c r="R24">
        <f>MAX(0,MIN(ROUND(AB23*(1+H$5),0)-H24,$AJ24-SUM($M24:Q24)))</f>
        <v/>
      </c>
      <c r="S24">
        <f>MAX(0,MIN(ROUND(AC23*(1+I$5),0)-I24,$AJ24-SUM($M24:R24)))</f>
        <v/>
      </c>
      <c r="T24">
        <f>MAX(0,MIN(ROUND(AD23*(1+J$5),0)-J24,$AJ24-SUM($M24:S24)))</f>
        <v/>
      </c>
      <c r="U24">
        <f>MAX(0,MIN(ROUND(AE23*(1+K$5),0)-K24,$AJ24-SUM($M24:T24)))</f>
        <v/>
      </c>
      <c r="V24">
        <f>MAX(0,MIN(ROUND(AF23*(1+L$5),0)-L24,$AJ24-SUM($M24:U24)))</f>
        <v/>
      </c>
      <c r="W24">
        <f>MAX(0,ROUND(W23*(1+C$5),0)-C24-M24)</f>
        <v/>
      </c>
      <c r="X24">
        <f>MAX(0,ROUND(X23*(1+D$5),0)-D24-N24)</f>
        <v/>
      </c>
      <c r="Y24">
        <f>MAX(0,ROUND(Y23*(1+E$5),0)-E24-O24)</f>
        <v/>
      </c>
      <c r="Z24">
        <f>MAX(0,ROUND(Z23*(1+F$5),0)-F24-P24)</f>
        <v/>
      </c>
      <c r="AA24">
        <f>MAX(0,ROUND(AA23*(1+G$5),0)-G24-Q24)</f>
        <v/>
      </c>
      <c r="AB24">
        <f>MAX(0,ROUND(AB23*(1+H$5),0)-H24-R24)</f>
        <v/>
      </c>
      <c r="AC24">
        <f>MAX(0,ROUND(AC23*(1+I$5),0)-I24-S24)</f>
        <v/>
      </c>
      <c r="AD24">
        <f>MAX(0,ROUND(AD23*(1+J$5),0)-J24-T24)</f>
        <v/>
      </c>
      <c r="AE24">
        <f>MAX(0,ROUND(AE23*(1+K$5),0)-K24-U24)</f>
        <v/>
      </c>
      <c r="AF24">
        <f>MAX(0,ROUND(AF23*(1+L$5),0)-L24-V24)</f>
        <v/>
      </c>
      <c r="AG24">
        <f>AH24-(AI23-AI24)</f>
        <v/>
      </c>
      <c r="AH24">
        <f>SUM(C24:V24)</f>
        <v/>
      </c>
      <c r="AI24">
        <f>SUM(W24:AF24)</f>
        <v/>
      </c>
      <c r="AJ24">
        <f>0</f>
        <v/>
      </c>
      <c r="AK24">
        <f>IF(AI23&lt;=0,0,11-SUMPRODUCT(MAX((W23:AF23&gt;0)*(11-(COLUMN(W23:AF23)-COLUMN($V23))))))</f>
        <v/>
      </c>
    </row>
    <row r="25">
      <c r="A25" t="n">
        <v>15</v>
      </c>
      <c r="B25">
        <f>DATE(YEAR(InicioEf),MONTH(InicioEf)+A25-1,1)</f>
        <v/>
      </c>
      <c r="C25">
        <f>MIN(C$6,ROUND(W24*(1+C$5),0))</f>
        <v/>
      </c>
      <c r="D25">
        <f>MIN(D$6,ROUND(X24*(1+D$5),0))</f>
        <v/>
      </c>
      <c r="E25">
        <f>MIN(E$6,ROUND(Y24*(1+E$5),0))</f>
        <v/>
      </c>
      <c r="F25">
        <f>MIN(F$6,ROUND(Z24*(1+F$5),0))</f>
        <v/>
      </c>
      <c r="G25">
        <f>MIN(G$6,ROUND(AA24*(1+G$5),0))</f>
        <v/>
      </c>
      <c r="H25">
        <f>MIN(H$6,ROUND(AB24*(1+H$5),0))</f>
        <v/>
      </c>
      <c r="I25">
        <f>MIN(I$6,ROUND(AC24*(1+I$5),0))</f>
        <v/>
      </c>
      <c r="J25">
        <f>MIN(J$6,ROUND(AD24*(1+J$5),0))</f>
        <v/>
      </c>
      <c r="K25">
        <f>MIN(K$6,ROUND(AE24*(1+K$5),0))</f>
        <v/>
      </c>
      <c r="L25">
        <f>MIN(L$6,ROUND(AF24*(1+L$5),0))</f>
        <v/>
      </c>
      <c r="M25">
        <f>MAX(0,MIN(ROUND(W24*(1+C$5),0)-C25,$AJ25-0))</f>
        <v/>
      </c>
      <c r="N25">
        <f>MAX(0,MIN(ROUND(X24*(1+D$5),0)-D25,$AJ25-SUM($M25:M25)))</f>
        <v/>
      </c>
      <c r="O25">
        <f>MAX(0,MIN(ROUND(Y24*(1+E$5),0)-E25,$AJ25-SUM($M25:N25)))</f>
        <v/>
      </c>
      <c r="P25">
        <f>MAX(0,MIN(ROUND(Z24*(1+F$5),0)-F25,$AJ25-SUM($M25:O25)))</f>
        <v/>
      </c>
      <c r="Q25">
        <f>MAX(0,MIN(ROUND(AA24*(1+G$5),0)-G25,$AJ25-SUM($M25:P25)))</f>
        <v/>
      </c>
      <c r="R25">
        <f>MAX(0,MIN(ROUND(AB24*(1+H$5),0)-H25,$AJ25-SUM($M25:Q25)))</f>
        <v/>
      </c>
      <c r="S25">
        <f>MAX(0,MIN(ROUND(AC24*(1+I$5),0)-I25,$AJ25-SUM($M25:R25)))</f>
        <v/>
      </c>
      <c r="T25">
        <f>MAX(0,MIN(ROUND(AD24*(1+J$5),0)-J25,$AJ25-SUM($M25:S25)))</f>
        <v/>
      </c>
      <c r="U25">
        <f>MAX(0,MIN(ROUND(AE24*(1+K$5),0)-K25,$AJ25-SUM($M25:T25)))</f>
        <v/>
      </c>
      <c r="V25">
        <f>MAX(0,MIN(ROUND(AF24*(1+L$5),0)-L25,$AJ25-SUM($M25:U25)))</f>
        <v/>
      </c>
      <c r="W25">
        <f>MAX(0,ROUND(W24*(1+C$5),0)-C25-M25)</f>
        <v/>
      </c>
      <c r="X25">
        <f>MAX(0,ROUND(X24*(1+D$5),0)-D25-N25)</f>
        <v/>
      </c>
      <c r="Y25">
        <f>MAX(0,ROUND(Y24*(1+E$5),0)-E25-O25)</f>
        <v/>
      </c>
      <c r="Z25">
        <f>MAX(0,ROUND(Z24*(1+F$5),0)-F25-P25)</f>
        <v/>
      </c>
      <c r="AA25">
        <f>MAX(0,ROUND(AA24*(1+G$5),0)-G25-Q25)</f>
        <v/>
      </c>
      <c r="AB25">
        <f>MAX(0,ROUND(AB24*(1+H$5),0)-H25-R25)</f>
        <v/>
      </c>
      <c r="AC25">
        <f>MAX(0,ROUND(AC24*(1+I$5),0)-I25-S25)</f>
        <v/>
      </c>
      <c r="AD25">
        <f>MAX(0,ROUND(AD24*(1+J$5),0)-J25-T25)</f>
        <v/>
      </c>
      <c r="AE25">
        <f>MAX(0,ROUND(AE24*(1+K$5),0)-K25-U25)</f>
        <v/>
      </c>
      <c r="AF25">
        <f>MAX(0,ROUND(AF24*(1+L$5),0)-L25-V25)</f>
        <v/>
      </c>
      <c r="AG25">
        <f>AH25-(AI24-AI25)</f>
        <v/>
      </c>
      <c r="AH25">
        <f>SUM(C25:V25)</f>
        <v/>
      </c>
      <c r="AI25">
        <f>SUM(W25:AF25)</f>
        <v/>
      </c>
      <c r="AJ25">
        <f>0</f>
        <v/>
      </c>
      <c r="AK25">
        <f>IF(AI24&lt;=0,0,11-SUMPRODUCT(MAX((W24:AF24&gt;0)*(11-(COLUMN(W24:AF24)-COLUMN($V24))))))</f>
        <v/>
      </c>
    </row>
    <row r="26">
      <c r="A26" t="n">
        <v>16</v>
      </c>
      <c r="B26">
        <f>DATE(YEAR(InicioEf),MONTH(InicioEf)+A26-1,1)</f>
        <v/>
      </c>
      <c r="C26">
        <f>MIN(C$6,ROUND(W25*(1+C$5),0))</f>
        <v/>
      </c>
      <c r="D26">
        <f>MIN(D$6,ROUND(X25*(1+D$5),0))</f>
        <v/>
      </c>
      <c r="E26">
        <f>MIN(E$6,ROUND(Y25*(1+E$5),0))</f>
        <v/>
      </c>
      <c r="F26">
        <f>MIN(F$6,ROUND(Z25*(1+F$5),0))</f>
        <v/>
      </c>
      <c r="G26">
        <f>MIN(G$6,ROUND(AA25*(1+G$5),0))</f>
        <v/>
      </c>
      <c r="H26">
        <f>MIN(H$6,ROUND(AB25*(1+H$5),0))</f>
        <v/>
      </c>
      <c r="I26">
        <f>MIN(I$6,ROUND(AC25*(1+I$5),0))</f>
        <v/>
      </c>
      <c r="J26">
        <f>MIN(J$6,ROUND(AD25*(1+J$5),0))</f>
        <v/>
      </c>
      <c r="K26">
        <f>MIN(K$6,ROUND(AE25*(1+K$5),0))</f>
        <v/>
      </c>
      <c r="L26">
        <f>MIN(L$6,ROUND(AF25*(1+L$5),0))</f>
        <v/>
      </c>
      <c r="M26">
        <f>MAX(0,MIN(ROUND(W25*(1+C$5),0)-C26,$AJ26-0))</f>
        <v/>
      </c>
      <c r="N26">
        <f>MAX(0,MIN(ROUND(X25*(1+D$5),0)-D26,$AJ26-SUM($M26:M26)))</f>
        <v/>
      </c>
      <c r="O26">
        <f>MAX(0,MIN(ROUND(Y25*(1+E$5),0)-E26,$AJ26-SUM($M26:N26)))</f>
        <v/>
      </c>
      <c r="P26">
        <f>MAX(0,MIN(ROUND(Z25*(1+F$5),0)-F26,$AJ26-SUM($M26:O26)))</f>
        <v/>
      </c>
      <c r="Q26">
        <f>MAX(0,MIN(ROUND(AA25*(1+G$5),0)-G26,$AJ26-SUM($M26:P26)))</f>
        <v/>
      </c>
      <c r="R26">
        <f>MAX(0,MIN(ROUND(AB25*(1+H$5),0)-H26,$AJ26-SUM($M26:Q26)))</f>
        <v/>
      </c>
      <c r="S26">
        <f>MAX(0,MIN(ROUND(AC25*(1+I$5),0)-I26,$AJ26-SUM($M26:R26)))</f>
        <v/>
      </c>
      <c r="T26">
        <f>MAX(0,MIN(ROUND(AD25*(1+J$5),0)-J26,$AJ26-SUM($M26:S26)))</f>
        <v/>
      </c>
      <c r="U26">
        <f>MAX(0,MIN(ROUND(AE25*(1+K$5),0)-K26,$AJ26-SUM($M26:T26)))</f>
        <v/>
      </c>
      <c r="V26">
        <f>MAX(0,MIN(ROUND(AF25*(1+L$5),0)-L26,$AJ26-SUM($M26:U26)))</f>
        <v/>
      </c>
      <c r="W26">
        <f>MAX(0,ROUND(W25*(1+C$5),0)-C26-M26)</f>
        <v/>
      </c>
      <c r="X26">
        <f>MAX(0,ROUND(X25*(1+D$5),0)-D26-N26)</f>
        <v/>
      </c>
      <c r="Y26">
        <f>MAX(0,ROUND(Y25*(1+E$5),0)-E26-O26)</f>
        <v/>
      </c>
      <c r="Z26">
        <f>MAX(0,ROUND(Z25*(1+F$5),0)-F26-P26)</f>
        <v/>
      </c>
      <c r="AA26">
        <f>MAX(0,ROUND(AA25*(1+G$5),0)-G26-Q26)</f>
        <v/>
      </c>
      <c r="AB26">
        <f>MAX(0,ROUND(AB25*(1+H$5),0)-H26-R26)</f>
        <v/>
      </c>
      <c r="AC26">
        <f>MAX(0,ROUND(AC25*(1+I$5),0)-I26-S26)</f>
        <v/>
      </c>
      <c r="AD26">
        <f>MAX(0,ROUND(AD25*(1+J$5),0)-J26-T26)</f>
        <v/>
      </c>
      <c r="AE26">
        <f>MAX(0,ROUND(AE25*(1+K$5),0)-K26-U26)</f>
        <v/>
      </c>
      <c r="AF26">
        <f>MAX(0,ROUND(AF25*(1+L$5),0)-L26-V26)</f>
        <v/>
      </c>
      <c r="AG26">
        <f>AH26-(AI25-AI26)</f>
        <v/>
      </c>
      <c r="AH26">
        <f>SUM(C26:V26)</f>
        <v/>
      </c>
      <c r="AI26">
        <f>SUM(W26:AF26)</f>
        <v/>
      </c>
      <c r="AJ26">
        <f>0</f>
        <v/>
      </c>
      <c r="AK26">
        <f>IF(AI25&lt;=0,0,11-SUMPRODUCT(MAX((W25:AF25&gt;0)*(11-(COLUMN(W25:AF25)-COLUMN($V25))))))</f>
        <v/>
      </c>
    </row>
    <row r="27">
      <c r="A27" t="n">
        <v>17</v>
      </c>
      <c r="B27">
        <f>DATE(YEAR(InicioEf),MONTH(InicioEf)+A27-1,1)</f>
        <v/>
      </c>
      <c r="C27">
        <f>MIN(C$6,ROUND(W26*(1+C$5),0))</f>
        <v/>
      </c>
      <c r="D27">
        <f>MIN(D$6,ROUND(X26*(1+D$5),0))</f>
        <v/>
      </c>
      <c r="E27">
        <f>MIN(E$6,ROUND(Y26*(1+E$5),0))</f>
        <v/>
      </c>
      <c r="F27">
        <f>MIN(F$6,ROUND(Z26*(1+F$5),0))</f>
        <v/>
      </c>
      <c r="G27">
        <f>MIN(G$6,ROUND(AA26*(1+G$5),0))</f>
        <v/>
      </c>
      <c r="H27">
        <f>MIN(H$6,ROUND(AB26*(1+H$5),0))</f>
        <v/>
      </c>
      <c r="I27">
        <f>MIN(I$6,ROUND(AC26*(1+I$5),0))</f>
        <v/>
      </c>
      <c r="J27">
        <f>MIN(J$6,ROUND(AD26*(1+J$5),0))</f>
        <v/>
      </c>
      <c r="K27">
        <f>MIN(K$6,ROUND(AE26*(1+K$5),0))</f>
        <v/>
      </c>
      <c r="L27">
        <f>MIN(L$6,ROUND(AF26*(1+L$5),0))</f>
        <v/>
      </c>
      <c r="M27">
        <f>MAX(0,MIN(ROUND(W26*(1+C$5),0)-C27,$AJ27-0))</f>
        <v/>
      </c>
      <c r="N27">
        <f>MAX(0,MIN(ROUND(X26*(1+D$5),0)-D27,$AJ27-SUM($M27:M27)))</f>
        <v/>
      </c>
      <c r="O27">
        <f>MAX(0,MIN(ROUND(Y26*(1+E$5),0)-E27,$AJ27-SUM($M27:N27)))</f>
        <v/>
      </c>
      <c r="P27">
        <f>MAX(0,MIN(ROUND(Z26*(1+F$5),0)-F27,$AJ27-SUM($M27:O27)))</f>
        <v/>
      </c>
      <c r="Q27">
        <f>MAX(0,MIN(ROUND(AA26*(1+G$5),0)-G27,$AJ27-SUM($M27:P27)))</f>
        <v/>
      </c>
      <c r="R27">
        <f>MAX(0,MIN(ROUND(AB26*(1+H$5),0)-H27,$AJ27-SUM($M27:Q27)))</f>
        <v/>
      </c>
      <c r="S27">
        <f>MAX(0,MIN(ROUND(AC26*(1+I$5),0)-I27,$AJ27-SUM($M27:R27)))</f>
        <v/>
      </c>
      <c r="T27">
        <f>MAX(0,MIN(ROUND(AD26*(1+J$5),0)-J27,$AJ27-SUM($M27:S27)))</f>
        <v/>
      </c>
      <c r="U27">
        <f>MAX(0,MIN(ROUND(AE26*(1+K$5),0)-K27,$AJ27-SUM($M27:T27)))</f>
        <v/>
      </c>
      <c r="V27">
        <f>MAX(0,MIN(ROUND(AF26*(1+L$5),0)-L27,$AJ27-SUM($M27:U27)))</f>
        <v/>
      </c>
      <c r="W27">
        <f>MAX(0,ROUND(W26*(1+C$5),0)-C27-M27)</f>
        <v/>
      </c>
      <c r="X27">
        <f>MAX(0,ROUND(X26*(1+D$5),0)-D27-N27)</f>
        <v/>
      </c>
      <c r="Y27">
        <f>MAX(0,ROUND(Y26*(1+E$5),0)-E27-O27)</f>
        <v/>
      </c>
      <c r="Z27">
        <f>MAX(0,ROUND(Z26*(1+F$5),0)-F27-P27)</f>
        <v/>
      </c>
      <c r="AA27">
        <f>MAX(0,ROUND(AA26*(1+G$5),0)-G27-Q27)</f>
        <v/>
      </c>
      <c r="AB27">
        <f>MAX(0,ROUND(AB26*(1+H$5),0)-H27-R27)</f>
        <v/>
      </c>
      <c r="AC27">
        <f>MAX(0,ROUND(AC26*(1+I$5),0)-I27-S27)</f>
        <v/>
      </c>
      <c r="AD27">
        <f>MAX(0,ROUND(AD26*(1+J$5),0)-J27-T27)</f>
        <v/>
      </c>
      <c r="AE27">
        <f>MAX(0,ROUND(AE26*(1+K$5),0)-K27-U27)</f>
        <v/>
      </c>
      <c r="AF27">
        <f>MAX(0,ROUND(AF26*(1+L$5),0)-L27-V27)</f>
        <v/>
      </c>
      <c r="AG27">
        <f>AH27-(AI26-AI27)</f>
        <v/>
      </c>
      <c r="AH27">
        <f>SUM(C27:V27)</f>
        <v/>
      </c>
      <c r="AI27">
        <f>SUM(W27:AF27)</f>
        <v/>
      </c>
      <c r="AJ27">
        <f>0</f>
        <v/>
      </c>
      <c r="AK27">
        <f>IF(AI26&lt;=0,0,11-SUMPRODUCT(MAX((W26:AF26&gt;0)*(11-(COLUMN(W26:AF26)-COLUMN($V26))))))</f>
        <v/>
      </c>
    </row>
    <row r="28">
      <c r="A28" t="n">
        <v>18</v>
      </c>
      <c r="B28">
        <f>DATE(YEAR(InicioEf),MONTH(InicioEf)+A28-1,1)</f>
        <v/>
      </c>
      <c r="C28">
        <f>MIN(C$6,ROUND(W27*(1+C$5),0))</f>
        <v/>
      </c>
      <c r="D28">
        <f>MIN(D$6,ROUND(X27*(1+D$5),0))</f>
        <v/>
      </c>
      <c r="E28">
        <f>MIN(E$6,ROUND(Y27*(1+E$5),0))</f>
        <v/>
      </c>
      <c r="F28">
        <f>MIN(F$6,ROUND(Z27*(1+F$5),0))</f>
        <v/>
      </c>
      <c r="G28">
        <f>MIN(G$6,ROUND(AA27*(1+G$5),0))</f>
        <v/>
      </c>
      <c r="H28">
        <f>MIN(H$6,ROUND(AB27*(1+H$5),0))</f>
        <v/>
      </c>
      <c r="I28">
        <f>MIN(I$6,ROUND(AC27*(1+I$5),0))</f>
        <v/>
      </c>
      <c r="J28">
        <f>MIN(J$6,ROUND(AD27*(1+J$5),0))</f>
        <v/>
      </c>
      <c r="K28">
        <f>MIN(K$6,ROUND(AE27*(1+K$5),0))</f>
        <v/>
      </c>
      <c r="L28">
        <f>MIN(L$6,ROUND(AF27*(1+L$5),0))</f>
        <v/>
      </c>
      <c r="M28">
        <f>MAX(0,MIN(ROUND(W27*(1+C$5),0)-C28,$AJ28-0))</f>
        <v/>
      </c>
      <c r="N28">
        <f>MAX(0,MIN(ROUND(X27*(1+D$5),0)-D28,$AJ28-SUM($M28:M28)))</f>
        <v/>
      </c>
      <c r="O28">
        <f>MAX(0,MIN(ROUND(Y27*(1+E$5),0)-E28,$AJ28-SUM($M28:N28)))</f>
        <v/>
      </c>
      <c r="P28">
        <f>MAX(0,MIN(ROUND(Z27*(1+F$5),0)-F28,$AJ28-SUM($M28:O28)))</f>
        <v/>
      </c>
      <c r="Q28">
        <f>MAX(0,MIN(ROUND(AA27*(1+G$5),0)-G28,$AJ28-SUM($M28:P28)))</f>
        <v/>
      </c>
      <c r="R28">
        <f>MAX(0,MIN(ROUND(AB27*(1+H$5),0)-H28,$AJ28-SUM($M28:Q28)))</f>
        <v/>
      </c>
      <c r="S28">
        <f>MAX(0,MIN(ROUND(AC27*(1+I$5),0)-I28,$AJ28-SUM($M28:R28)))</f>
        <v/>
      </c>
      <c r="T28">
        <f>MAX(0,MIN(ROUND(AD27*(1+J$5),0)-J28,$AJ28-SUM($M28:S28)))</f>
        <v/>
      </c>
      <c r="U28">
        <f>MAX(0,MIN(ROUND(AE27*(1+K$5),0)-K28,$AJ28-SUM($M28:T28)))</f>
        <v/>
      </c>
      <c r="V28">
        <f>MAX(0,MIN(ROUND(AF27*(1+L$5),0)-L28,$AJ28-SUM($M28:U28)))</f>
        <v/>
      </c>
      <c r="W28">
        <f>MAX(0,ROUND(W27*(1+C$5),0)-C28-M28)</f>
        <v/>
      </c>
      <c r="X28">
        <f>MAX(0,ROUND(X27*(1+D$5),0)-D28-N28)</f>
        <v/>
      </c>
      <c r="Y28">
        <f>MAX(0,ROUND(Y27*(1+E$5),0)-E28-O28)</f>
        <v/>
      </c>
      <c r="Z28">
        <f>MAX(0,ROUND(Z27*(1+F$5),0)-F28-P28)</f>
        <v/>
      </c>
      <c r="AA28">
        <f>MAX(0,ROUND(AA27*(1+G$5),0)-G28-Q28)</f>
        <v/>
      </c>
      <c r="AB28">
        <f>MAX(0,ROUND(AB27*(1+H$5),0)-H28-R28)</f>
        <v/>
      </c>
      <c r="AC28">
        <f>MAX(0,ROUND(AC27*(1+I$5),0)-I28-S28)</f>
        <v/>
      </c>
      <c r="AD28">
        <f>MAX(0,ROUND(AD27*(1+J$5),0)-J28-T28)</f>
        <v/>
      </c>
      <c r="AE28">
        <f>MAX(0,ROUND(AE27*(1+K$5),0)-K28-U28)</f>
        <v/>
      </c>
      <c r="AF28">
        <f>MAX(0,ROUND(AF27*(1+L$5),0)-L28-V28)</f>
        <v/>
      </c>
      <c r="AG28">
        <f>AH28-(AI27-AI28)</f>
        <v/>
      </c>
      <c r="AH28">
        <f>SUM(C28:V28)</f>
        <v/>
      </c>
      <c r="AI28">
        <f>SUM(W28:AF28)</f>
        <v/>
      </c>
      <c r="AJ28">
        <f>0</f>
        <v/>
      </c>
      <c r="AK28">
        <f>IF(AI27&lt;=0,0,11-SUMPRODUCT(MAX((W27:AF27&gt;0)*(11-(COLUMN(W27:AF27)-COLUMN($V27))))))</f>
        <v/>
      </c>
    </row>
    <row r="29">
      <c r="A29" t="n">
        <v>19</v>
      </c>
      <c r="B29">
        <f>DATE(YEAR(InicioEf),MONTH(InicioEf)+A29-1,1)</f>
        <v/>
      </c>
      <c r="C29">
        <f>MIN(C$6,ROUND(W28*(1+C$5),0))</f>
        <v/>
      </c>
      <c r="D29">
        <f>MIN(D$6,ROUND(X28*(1+D$5),0))</f>
        <v/>
      </c>
      <c r="E29">
        <f>MIN(E$6,ROUND(Y28*(1+E$5),0))</f>
        <v/>
      </c>
      <c r="F29">
        <f>MIN(F$6,ROUND(Z28*(1+F$5),0))</f>
        <v/>
      </c>
      <c r="G29">
        <f>MIN(G$6,ROUND(AA28*(1+G$5),0))</f>
        <v/>
      </c>
      <c r="H29">
        <f>MIN(H$6,ROUND(AB28*(1+H$5),0))</f>
        <v/>
      </c>
      <c r="I29">
        <f>MIN(I$6,ROUND(AC28*(1+I$5),0))</f>
        <v/>
      </c>
      <c r="J29">
        <f>MIN(J$6,ROUND(AD28*(1+J$5),0))</f>
        <v/>
      </c>
      <c r="K29">
        <f>MIN(K$6,ROUND(AE28*(1+K$5),0))</f>
        <v/>
      </c>
      <c r="L29">
        <f>MIN(L$6,ROUND(AF28*(1+L$5),0))</f>
        <v/>
      </c>
      <c r="M29">
        <f>MAX(0,MIN(ROUND(W28*(1+C$5),0)-C29,$AJ29-0))</f>
        <v/>
      </c>
      <c r="N29">
        <f>MAX(0,MIN(ROUND(X28*(1+D$5),0)-D29,$AJ29-SUM($M29:M29)))</f>
        <v/>
      </c>
      <c r="O29">
        <f>MAX(0,MIN(ROUND(Y28*(1+E$5),0)-E29,$AJ29-SUM($M29:N29)))</f>
        <v/>
      </c>
      <c r="P29">
        <f>MAX(0,MIN(ROUND(Z28*(1+F$5),0)-F29,$AJ29-SUM($M29:O29)))</f>
        <v/>
      </c>
      <c r="Q29">
        <f>MAX(0,MIN(ROUND(AA28*(1+G$5),0)-G29,$AJ29-SUM($M29:P29)))</f>
        <v/>
      </c>
      <c r="R29">
        <f>MAX(0,MIN(ROUND(AB28*(1+H$5),0)-H29,$AJ29-SUM($M29:Q29)))</f>
        <v/>
      </c>
      <c r="S29">
        <f>MAX(0,MIN(ROUND(AC28*(1+I$5),0)-I29,$AJ29-SUM($M29:R29)))</f>
        <v/>
      </c>
      <c r="T29">
        <f>MAX(0,MIN(ROUND(AD28*(1+J$5),0)-J29,$AJ29-SUM($M29:S29)))</f>
        <v/>
      </c>
      <c r="U29">
        <f>MAX(0,MIN(ROUND(AE28*(1+K$5),0)-K29,$AJ29-SUM($M29:T29)))</f>
        <v/>
      </c>
      <c r="V29">
        <f>MAX(0,MIN(ROUND(AF28*(1+L$5),0)-L29,$AJ29-SUM($M29:U29)))</f>
        <v/>
      </c>
      <c r="W29">
        <f>MAX(0,ROUND(W28*(1+C$5),0)-C29-M29)</f>
        <v/>
      </c>
      <c r="X29">
        <f>MAX(0,ROUND(X28*(1+D$5),0)-D29-N29)</f>
        <v/>
      </c>
      <c r="Y29">
        <f>MAX(0,ROUND(Y28*(1+E$5),0)-E29-O29)</f>
        <v/>
      </c>
      <c r="Z29">
        <f>MAX(0,ROUND(Z28*(1+F$5),0)-F29-P29)</f>
        <v/>
      </c>
      <c r="AA29">
        <f>MAX(0,ROUND(AA28*(1+G$5),0)-G29-Q29)</f>
        <v/>
      </c>
      <c r="AB29">
        <f>MAX(0,ROUND(AB28*(1+H$5),0)-H29-R29)</f>
        <v/>
      </c>
      <c r="AC29">
        <f>MAX(0,ROUND(AC28*(1+I$5),0)-I29-S29)</f>
        <v/>
      </c>
      <c r="AD29">
        <f>MAX(0,ROUND(AD28*(1+J$5),0)-J29-T29)</f>
        <v/>
      </c>
      <c r="AE29">
        <f>MAX(0,ROUND(AE28*(1+K$5),0)-K29-U29)</f>
        <v/>
      </c>
      <c r="AF29">
        <f>MAX(0,ROUND(AF28*(1+L$5),0)-L29-V29)</f>
        <v/>
      </c>
      <c r="AG29">
        <f>AH29-(AI28-AI29)</f>
        <v/>
      </c>
      <c r="AH29">
        <f>SUM(C29:V29)</f>
        <v/>
      </c>
      <c r="AI29">
        <f>SUM(W29:AF29)</f>
        <v/>
      </c>
      <c r="AJ29">
        <f>0</f>
        <v/>
      </c>
      <c r="AK29">
        <f>IF(AI28&lt;=0,0,11-SUMPRODUCT(MAX((W28:AF28&gt;0)*(11-(COLUMN(W28:AF28)-COLUMN($V28))))))</f>
        <v/>
      </c>
    </row>
    <row r="30">
      <c r="A30" t="n">
        <v>20</v>
      </c>
      <c r="B30">
        <f>DATE(YEAR(InicioEf),MONTH(InicioEf)+A30-1,1)</f>
        <v/>
      </c>
      <c r="C30">
        <f>MIN(C$6,ROUND(W29*(1+C$5),0))</f>
        <v/>
      </c>
      <c r="D30">
        <f>MIN(D$6,ROUND(X29*(1+D$5),0))</f>
        <v/>
      </c>
      <c r="E30">
        <f>MIN(E$6,ROUND(Y29*(1+E$5),0))</f>
        <v/>
      </c>
      <c r="F30">
        <f>MIN(F$6,ROUND(Z29*(1+F$5),0))</f>
        <v/>
      </c>
      <c r="G30">
        <f>MIN(G$6,ROUND(AA29*(1+G$5),0))</f>
        <v/>
      </c>
      <c r="H30">
        <f>MIN(H$6,ROUND(AB29*(1+H$5),0))</f>
        <v/>
      </c>
      <c r="I30">
        <f>MIN(I$6,ROUND(AC29*(1+I$5),0))</f>
        <v/>
      </c>
      <c r="J30">
        <f>MIN(J$6,ROUND(AD29*(1+J$5),0))</f>
        <v/>
      </c>
      <c r="K30">
        <f>MIN(K$6,ROUND(AE29*(1+K$5),0))</f>
        <v/>
      </c>
      <c r="L30">
        <f>MIN(L$6,ROUND(AF29*(1+L$5),0))</f>
        <v/>
      </c>
      <c r="M30">
        <f>MAX(0,MIN(ROUND(W29*(1+C$5),0)-C30,$AJ30-0))</f>
        <v/>
      </c>
      <c r="N30">
        <f>MAX(0,MIN(ROUND(X29*(1+D$5),0)-D30,$AJ30-SUM($M30:M30)))</f>
        <v/>
      </c>
      <c r="O30">
        <f>MAX(0,MIN(ROUND(Y29*(1+E$5),0)-E30,$AJ30-SUM($M30:N30)))</f>
        <v/>
      </c>
      <c r="P30">
        <f>MAX(0,MIN(ROUND(Z29*(1+F$5),0)-F30,$AJ30-SUM($M30:O30)))</f>
        <v/>
      </c>
      <c r="Q30">
        <f>MAX(0,MIN(ROUND(AA29*(1+G$5),0)-G30,$AJ30-SUM($M30:P30)))</f>
        <v/>
      </c>
      <c r="R30">
        <f>MAX(0,MIN(ROUND(AB29*(1+H$5),0)-H30,$AJ30-SUM($M30:Q30)))</f>
        <v/>
      </c>
      <c r="S30">
        <f>MAX(0,MIN(ROUND(AC29*(1+I$5),0)-I30,$AJ30-SUM($M30:R30)))</f>
        <v/>
      </c>
      <c r="T30">
        <f>MAX(0,MIN(ROUND(AD29*(1+J$5),0)-J30,$AJ30-SUM($M30:S30)))</f>
        <v/>
      </c>
      <c r="U30">
        <f>MAX(0,MIN(ROUND(AE29*(1+K$5),0)-K30,$AJ30-SUM($M30:T30)))</f>
        <v/>
      </c>
      <c r="V30">
        <f>MAX(0,MIN(ROUND(AF29*(1+L$5),0)-L30,$AJ30-SUM($M30:U30)))</f>
        <v/>
      </c>
      <c r="W30">
        <f>MAX(0,ROUND(W29*(1+C$5),0)-C30-M30)</f>
        <v/>
      </c>
      <c r="X30">
        <f>MAX(0,ROUND(X29*(1+D$5),0)-D30-N30)</f>
        <v/>
      </c>
      <c r="Y30">
        <f>MAX(0,ROUND(Y29*(1+E$5),0)-E30-O30)</f>
        <v/>
      </c>
      <c r="Z30">
        <f>MAX(0,ROUND(Z29*(1+F$5),0)-F30-P30)</f>
        <v/>
      </c>
      <c r="AA30">
        <f>MAX(0,ROUND(AA29*(1+G$5),0)-G30-Q30)</f>
        <v/>
      </c>
      <c r="AB30">
        <f>MAX(0,ROUND(AB29*(1+H$5),0)-H30-R30)</f>
        <v/>
      </c>
      <c r="AC30">
        <f>MAX(0,ROUND(AC29*(1+I$5),0)-I30-S30)</f>
        <v/>
      </c>
      <c r="AD30">
        <f>MAX(0,ROUND(AD29*(1+J$5),0)-J30-T30)</f>
        <v/>
      </c>
      <c r="AE30">
        <f>MAX(0,ROUND(AE29*(1+K$5),0)-K30-U30)</f>
        <v/>
      </c>
      <c r="AF30">
        <f>MAX(0,ROUND(AF29*(1+L$5),0)-L30-V30)</f>
        <v/>
      </c>
      <c r="AG30">
        <f>AH30-(AI29-AI30)</f>
        <v/>
      </c>
      <c r="AH30">
        <f>SUM(C30:V30)</f>
        <v/>
      </c>
      <c r="AI30">
        <f>SUM(W30:AF30)</f>
        <v/>
      </c>
      <c r="AJ30">
        <f>0</f>
        <v/>
      </c>
      <c r="AK30">
        <f>IF(AI29&lt;=0,0,11-SUMPRODUCT(MAX((W29:AF29&gt;0)*(11-(COLUMN(W29:AF29)-COLUMN($V29))))))</f>
        <v/>
      </c>
    </row>
    <row r="31">
      <c r="A31" t="n">
        <v>21</v>
      </c>
      <c r="B31">
        <f>DATE(YEAR(InicioEf),MONTH(InicioEf)+A31-1,1)</f>
        <v/>
      </c>
      <c r="C31">
        <f>MIN(C$6,ROUND(W30*(1+C$5),0))</f>
        <v/>
      </c>
      <c r="D31">
        <f>MIN(D$6,ROUND(X30*(1+D$5),0))</f>
        <v/>
      </c>
      <c r="E31">
        <f>MIN(E$6,ROUND(Y30*(1+E$5),0))</f>
        <v/>
      </c>
      <c r="F31">
        <f>MIN(F$6,ROUND(Z30*(1+F$5),0))</f>
        <v/>
      </c>
      <c r="G31">
        <f>MIN(G$6,ROUND(AA30*(1+G$5),0))</f>
        <v/>
      </c>
      <c r="H31">
        <f>MIN(H$6,ROUND(AB30*(1+H$5),0))</f>
        <v/>
      </c>
      <c r="I31">
        <f>MIN(I$6,ROUND(AC30*(1+I$5),0))</f>
        <v/>
      </c>
      <c r="J31">
        <f>MIN(J$6,ROUND(AD30*(1+J$5),0))</f>
        <v/>
      </c>
      <c r="K31">
        <f>MIN(K$6,ROUND(AE30*(1+K$5),0))</f>
        <v/>
      </c>
      <c r="L31">
        <f>MIN(L$6,ROUND(AF30*(1+L$5),0))</f>
        <v/>
      </c>
      <c r="M31">
        <f>MAX(0,MIN(ROUND(W30*(1+C$5),0)-C31,$AJ31-0))</f>
        <v/>
      </c>
      <c r="N31">
        <f>MAX(0,MIN(ROUND(X30*(1+D$5),0)-D31,$AJ31-SUM($M31:M31)))</f>
        <v/>
      </c>
      <c r="O31">
        <f>MAX(0,MIN(ROUND(Y30*(1+E$5),0)-E31,$AJ31-SUM($M31:N31)))</f>
        <v/>
      </c>
      <c r="P31">
        <f>MAX(0,MIN(ROUND(Z30*(1+F$5),0)-F31,$AJ31-SUM($M31:O31)))</f>
        <v/>
      </c>
      <c r="Q31">
        <f>MAX(0,MIN(ROUND(AA30*(1+G$5),0)-G31,$AJ31-SUM($M31:P31)))</f>
        <v/>
      </c>
      <c r="R31">
        <f>MAX(0,MIN(ROUND(AB30*(1+H$5),0)-H31,$AJ31-SUM($M31:Q31)))</f>
        <v/>
      </c>
      <c r="S31">
        <f>MAX(0,MIN(ROUND(AC30*(1+I$5),0)-I31,$AJ31-SUM($M31:R31)))</f>
        <v/>
      </c>
      <c r="T31">
        <f>MAX(0,MIN(ROUND(AD30*(1+J$5),0)-J31,$AJ31-SUM($M31:S31)))</f>
        <v/>
      </c>
      <c r="U31">
        <f>MAX(0,MIN(ROUND(AE30*(1+K$5),0)-K31,$AJ31-SUM($M31:T31)))</f>
        <v/>
      </c>
      <c r="V31">
        <f>MAX(0,MIN(ROUND(AF30*(1+L$5),0)-L31,$AJ31-SUM($M31:U31)))</f>
        <v/>
      </c>
      <c r="W31">
        <f>MAX(0,ROUND(W30*(1+C$5),0)-C31-M31)</f>
        <v/>
      </c>
      <c r="X31">
        <f>MAX(0,ROUND(X30*(1+D$5),0)-D31-N31)</f>
        <v/>
      </c>
      <c r="Y31">
        <f>MAX(0,ROUND(Y30*(1+E$5),0)-E31-O31)</f>
        <v/>
      </c>
      <c r="Z31">
        <f>MAX(0,ROUND(Z30*(1+F$5),0)-F31-P31)</f>
        <v/>
      </c>
      <c r="AA31">
        <f>MAX(0,ROUND(AA30*(1+G$5),0)-G31-Q31)</f>
        <v/>
      </c>
      <c r="AB31">
        <f>MAX(0,ROUND(AB30*(1+H$5),0)-H31-R31)</f>
        <v/>
      </c>
      <c r="AC31">
        <f>MAX(0,ROUND(AC30*(1+I$5),0)-I31-S31)</f>
        <v/>
      </c>
      <c r="AD31">
        <f>MAX(0,ROUND(AD30*(1+J$5),0)-J31-T31)</f>
        <v/>
      </c>
      <c r="AE31">
        <f>MAX(0,ROUND(AE30*(1+K$5),0)-K31-U31)</f>
        <v/>
      </c>
      <c r="AF31">
        <f>MAX(0,ROUND(AF30*(1+L$5),0)-L31-V31)</f>
        <v/>
      </c>
      <c r="AG31">
        <f>AH31-(AI30-AI31)</f>
        <v/>
      </c>
      <c r="AH31">
        <f>SUM(C31:V31)</f>
        <v/>
      </c>
      <c r="AI31">
        <f>SUM(W31:AF31)</f>
        <v/>
      </c>
      <c r="AJ31">
        <f>0</f>
        <v/>
      </c>
      <c r="AK31">
        <f>IF(AI30&lt;=0,0,11-SUMPRODUCT(MAX((W30:AF30&gt;0)*(11-(COLUMN(W30:AF30)-COLUMN($V30))))))</f>
        <v/>
      </c>
    </row>
    <row r="32">
      <c r="A32" t="n">
        <v>22</v>
      </c>
      <c r="B32">
        <f>DATE(YEAR(InicioEf),MONTH(InicioEf)+A32-1,1)</f>
        <v/>
      </c>
      <c r="C32">
        <f>MIN(C$6,ROUND(W31*(1+C$5),0))</f>
        <v/>
      </c>
      <c r="D32">
        <f>MIN(D$6,ROUND(X31*(1+D$5),0))</f>
        <v/>
      </c>
      <c r="E32">
        <f>MIN(E$6,ROUND(Y31*(1+E$5),0))</f>
        <v/>
      </c>
      <c r="F32">
        <f>MIN(F$6,ROUND(Z31*(1+F$5),0))</f>
        <v/>
      </c>
      <c r="G32">
        <f>MIN(G$6,ROUND(AA31*(1+G$5),0))</f>
        <v/>
      </c>
      <c r="H32">
        <f>MIN(H$6,ROUND(AB31*(1+H$5),0))</f>
        <v/>
      </c>
      <c r="I32">
        <f>MIN(I$6,ROUND(AC31*(1+I$5),0))</f>
        <v/>
      </c>
      <c r="J32">
        <f>MIN(J$6,ROUND(AD31*(1+J$5),0))</f>
        <v/>
      </c>
      <c r="K32">
        <f>MIN(K$6,ROUND(AE31*(1+K$5),0))</f>
        <v/>
      </c>
      <c r="L32">
        <f>MIN(L$6,ROUND(AF31*(1+L$5),0))</f>
        <v/>
      </c>
      <c r="M32">
        <f>MAX(0,MIN(ROUND(W31*(1+C$5),0)-C32,$AJ32-0))</f>
        <v/>
      </c>
      <c r="N32">
        <f>MAX(0,MIN(ROUND(X31*(1+D$5),0)-D32,$AJ32-SUM($M32:M32)))</f>
        <v/>
      </c>
      <c r="O32">
        <f>MAX(0,MIN(ROUND(Y31*(1+E$5),0)-E32,$AJ32-SUM($M32:N32)))</f>
        <v/>
      </c>
      <c r="P32">
        <f>MAX(0,MIN(ROUND(Z31*(1+F$5),0)-F32,$AJ32-SUM($M32:O32)))</f>
        <v/>
      </c>
      <c r="Q32">
        <f>MAX(0,MIN(ROUND(AA31*(1+G$5),0)-G32,$AJ32-SUM($M32:P32)))</f>
        <v/>
      </c>
      <c r="R32">
        <f>MAX(0,MIN(ROUND(AB31*(1+H$5),0)-H32,$AJ32-SUM($M32:Q32)))</f>
        <v/>
      </c>
      <c r="S32">
        <f>MAX(0,MIN(ROUND(AC31*(1+I$5),0)-I32,$AJ32-SUM($M32:R32)))</f>
        <v/>
      </c>
      <c r="T32">
        <f>MAX(0,MIN(ROUND(AD31*(1+J$5),0)-J32,$AJ32-SUM($M32:S32)))</f>
        <v/>
      </c>
      <c r="U32">
        <f>MAX(0,MIN(ROUND(AE31*(1+K$5),0)-K32,$AJ32-SUM($M32:T32)))</f>
        <v/>
      </c>
      <c r="V32">
        <f>MAX(0,MIN(ROUND(AF31*(1+L$5),0)-L32,$AJ32-SUM($M32:U32)))</f>
        <v/>
      </c>
      <c r="W32">
        <f>MAX(0,ROUND(W31*(1+C$5),0)-C32-M32)</f>
        <v/>
      </c>
      <c r="X32">
        <f>MAX(0,ROUND(X31*(1+D$5),0)-D32-N32)</f>
        <v/>
      </c>
      <c r="Y32">
        <f>MAX(0,ROUND(Y31*(1+E$5),0)-E32-O32)</f>
        <v/>
      </c>
      <c r="Z32">
        <f>MAX(0,ROUND(Z31*(1+F$5),0)-F32-P32)</f>
        <v/>
      </c>
      <c r="AA32">
        <f>MAX(0,ROUND(AA31*(1+G$5),0)-G32-Q32)</f>
        <v/>
      </c>
      <c r="AB32">
        <f>MAX(0,ROUND(AB31*(1+H$5),0)-H32-R32)</f>
        <v/>
      </c>
      <c r="AC32">
        <f>MAX(0,ROUND(AC31*(1+I$5),0)-I32-S32)</f>
        <v/>
      </c>
      <c r="AD32">
        <f>MAX(0,ROUND(AD31*(1+J$5),0)-J32-T32)</f>
        <v/>
      </c>
      <c r="AE32">
        <f>MAX(0,ROUND(AE31*(1+K$5),0)-K32-U32)</f>
        <v/>
      </c>
      <c r="AF32">
        <f>MAX(0,ROUND(AF31*(1+L$5),0)-L32-V32)</f>
        <v/>
      </c>
      <c r="AG32">
        <f>AH32-(AI31-AI32)</f>
        <v/>
      </c>
      <c r="AH32">
        <f>SUM(C32:V32)</f>
        <v/>
      </c>
      <c r="AI32">
        <f>SUM(W32:AF32)</f>
        <v/>
      </c>
      <c r="AJ32">
        <f>0</f>
        <v/>
      </c>
      <c r="AK32">
        <f>IF(AI31&lt;=0,0,11-SUMPRODUCT(MAX((W31:AF31&gt;0)*(11-(COLUMN(W31:AF31)-COLUMN($V31))))))</f>
        <v/>
      </c>
    </row>
    <row r="33">
      <c r="A33" t="n">
        <v>23</v>
      </c>
      <c r="B33">
        <f>DATE(YEAR(InicioEf),MONTH(InicioEf)+A33-1,1)</f>
        <v/>
      </c>
      <c r="C33">
        <f>MIN(C$6,ROUND(W32*(1+C$5),0))</f>
        <v/>
      </c>
      <c r="D33">
        <f>MIN(D$6,ROUND(X32*(1+D$5),0))</f>
        <v/>
      </c>
      <c r="E33">
        <f>MIN(E$6,ROUND(Y32*(1+E$5),0))</f>
        <v/>
      </c>
      <c r="F33">
        <f>MIN(F$6,ROUND(Z32*(1+F$5),0))</f>
        <v/>
      </c>
      <c r="G33">
        <f>MIN(G$6,ROUND(AA32*(1+G$5),0))</f>
        <v/>
      </c>
      <c r="H33">
        <f>MIN(H$6,ROUND(AB32*(1+H$5),0))</f>
        <v/>
      </c>
      <c r="I33">
        <f>MIN(I$6,ROUND(AC32*(1+I$5),0))</f>
        <v/>
      </c>
      <c r="J33">
        <f>MIN(J$6,ROUND(AD32*(1+J$5),0))</f>
        <v/>
      </c>
      <c r="K33">
        <f>MIN(K$6,ROUND(AE32*(1+K$5),0))</f>
        <v/>
      </c>
      <c r="L33">
        <f>MIN(L$6,ROUND(AF32*(1+L$5),0))</f>
        <v/>
      </c>
      <c r="M33">
        <f>MAX(0,MIN(ROUND(W32*(1+C$5),0)-C33,$AJ33-0))</f>
        <v/>
      </c>
      <c r="N33">
        <f>MAX(0,MIN(ROUND(X32*(1+D$5),0)-D33,$AJ33-SUM($M33:M33)))</f>
        <v/>
      </c>
      <c r="O33">
        <f>MAX(0,MIN(ROUND(Y32*(1+E$5),0)-E33,$AJ33-SUM($M33:N33)))</f>
        <v/>
      </c>
      <c r="P33">
        <f>MAX(0,MIN(ROUND(Z32*(1+F$5),0)-F33,$AJ33-SUM($M33:O33)))</f>
        <v/>
      </c>
      <c r="Q33">
        <f>MAX(0,MIN(ROUND(AA32*(1+G$5),0)-G33,$AJ33-SUM($M33:P33)))</f>
        <v/>
      </c>
      <c r="R33">
        <f>MAX(0,MIN(ROUND(AB32*(1+H$5),0)-H33,$AJ33-SUM($M33:Q33)))</f>
        <v/>
      </c>
      <c r="S33">
        <f>MAX(0,MIN(ROUND(AC32*(1+I$5),0)-I33,$AJ33-SUM($M33:R33)))</f>
        <v/>
      </c>
      <c r="T33">
        <f>MAX(0,MIN(ROUND(AD32*(1+J$5),0)-J33,$AJ33-SUM($M33:S33)))</f>
        <v/>
      </c>
      <c r="U33">
        <f>MAX(0,MIN(ROUND(AE32*(1+K$5),0)-K33,$AJ33-SUM($M33:T33)))</f>
        <v/>
      </c>
      <c r="V33">
        <f>MAX(0,MIN(ROUND(AF32*(1+L$5),0)-L33,$AJ33-SUM($M33:U33)))</f>
        <v/>
      </c>
      <c r="W33">
        <f>MAX(0,ROUND(W32*(1+C$5),0)-C33-M33)</f>
        <v/>
      </c>
      <c r="X33">
        <f>MAX(0,ROUND(X32*(1+D$5),0)-D33-N33)</f>
        <v/>
      </c>
      <c r="Y33">
        <f>MAX(0,ROUND(Y32*(1+E$5),0)-E33-O33)</f>
        <v/>
      </c>
      <c r="Z33">
        <f>MAX(0,ROUND(Z32*(1+F$5),0)-F33-P33)</f>
        <v/>
      </c>
      <c r="AA33">
        <f>MAX(0,ROUND(AA32*(1+G$5),0)-G33-Q33)</f>
        <v/>
      </c>
      <c r="AB33">
        <f>MAX(0,ROUND(AB32*(1+H$5),0)-H33-R33)</f>
        <v/>
      </c>
      <c r="AC33">
        <f>MAX(0,ROUND(AC32*(1+I$5),0)-I33-S33)</f>
        <v/>
      </c>
      <c r="AD33">
        <f>MAX(0,ROUND(AD32*(1+J$5),0)-J33-T33)</f>
        <v/>
      </c>
      <c r="AE33">
        <f>MAX(0,ROUND(AE32*(1+K$5),0)-K33-U33)</f>
        <v/>
      </c>
      <c r="AF33">
        <f>MAX(0,ROUND(AF32*(1+L$5),0)-L33-V33)</f>
        <v/>
      </c>
      <c r="AG33">
        <f>AH33-(AI32-AI33)</f>
        <v/>
      </c>
      <c r="AH33">
        <f>SUM(C33:V33)</f>
        <v/>
      </c>
      <c r="AI33">
        <f>SUM(W33:AF33)</f>
        <v/>
      </c>
      <c r="AJ33">
        <f>0</f>
        <v/>
      </c>
      <c r="AK33">
        <f>IF(AI32&lt;=0,0,11-SUMPRODUCT(MAX((W32:AF32&gt;0)*(11-(COLUMN(W32:AF32)-COLUMN($V32))))))</f>
        <v/>
      </c>
    </row>
    <row r="34">
      <c r="A34" t="n">
        <v>24</v>
      </c>
      <c r="B34">
        <f>DATE(YEAR(InicioEf),MONTH(InicioEf)+A34-1,1)</f>
        <v/>
      </c>
      <c r="C34">
        <f>MIN(C$6,ROUND(W33*(1+C$5),0))</f>
        <v/>
      </c>
      <c r="D34">
        <f>MIN(D$6,ROUND(X33*(1+D$5),0))</f>
        <v/>
      </c>
      <c r="E34">
        <f>MIN(E$6,ROUND(Y33*(1+E$5),0))</f>
        <v/>
      </c>
      <c r="F34">
        <f>MIN(F$6,ROUND(Z33*(1+F$5),0))</f>
        <v/>
      </c>
      <c r="G34">
        <f>MIN(G$6,ROUND(AA33*(1+G$5),0))</f>
        <v/>
      </c>
      <c r="H34">
        <f>MIN(H$6,ROUND(AB33*(1+H$5),0))</f>
        <v/>
      </c>
      <c r="I34">
        <f>MIN(I$6,ROUND(AC33*(1+I$5),0))</f>
        <v/>
      </c>
      <c r="J34">
        <f>MIN(J$6,ROUND(AD33*(1+J$5),0))</f>
        <v/>
      </c>
      <c r="K34">
        <f>MIN(K$6,ROUND(AE33*(1+K$5),0))</f>
        <v/>
      </c>
      <c r="L34">
        <f>MIN(L$6,ROUND(AF33*(1+L$5),0))</f>
        <v/>
      </c>
      <c r="M34">
        <f>MAX(0,MIN(ROUND(W33*(1+C$5),0)-C34,$AJ34-0))</f>
        <v/>
      </c>
      <c r="N34">
        <f>MAX(0,MIN(ROUND(X33*(1+D$5),0)-D34,$AJ34-SUM($M34:M34)))</f>
        <v/>
      </c>
      <c r="O34">
        <f>MAX(0,MIN(ROUND(Y33*(1+E$5),0)-E34,$AJ34-SUM($M34:N34)))</f>
        <v/>
      </c>
      <c r="P34">
        <f>MAX(0,MIN(ROUND(Z33*(1+F$5),0)-F34,$AJ34-SUM($M34:O34)))</f>
        <v/>
      </c>
      <c r="Q34">
        <f>MAX(0,MIN(ROUND(AA33*(1+G$5),0)-G34,$AJ34-SUM($M34:P34)))</f>
        <v/>
      </c>
      <c r="R34">
        <f>MAX(0,MIN(ROUND(AB33*(1+H$5),0)-H34,$AJ34-SUM($M34:Q34)))</f>
        <v/>
      </c>
      <c r="S34">
        <f>MAX(0,MIN(ROUND(AC33*(1+I$5),0)-I34,$AJ34-SUM($M34:R34)))</f>
        <v/>
      </c>
      <c r="T34">
        <f>MAX(0,MIN(ROUND(AD33*(1+J$5),0)-J34,$AJ34-SUM($M34:S34)))</f>
        <v/>
      </c>
      <c r="U34">
        <f>MAX(0,MIN(ROUND(AE33*(1+K$5),0)-K34,$AJ34-SUM($M34:T34)))</f>
        <v/>
      </c>
      <c r="V34">
        <f>MAX(0,MIN(ROUND(AF33*(1+L$5),0)-L34,$AJ34-SUM($M34:U34)))</f>
        <v/>
      </c>
      <c r="W34">
        <f>MAX(0,ROUND(W33*(1+C$5),0)-C34-M34)</f>
        <v/>
      </c>
      <c r="X34">
        <f>MAX(0,ROUND(X33*(1+D$5),0)-D34-N34)</f>
        <v/>
      </c>
      <c r="Y34">
        <f>MAX(0,ROUND(Y33*(1+E$5),0)-E34-O34)</f>
        <v/>
      </c>
      <c r="Z34">
        <f>MAX(0,ROUND(Z33*(1+F$5),0)-F34-P34)</f>
        <v/>
      </c>
      <c r="AA34">
        <f>MAX(0,ROUND(AA33*(1+G$5),0)-G34-Q34)</f>
        <v/>
      </c>
      <c r="AB34">
        <f>MAX(0,ROUND(AB33*(1+H$5),0)-H34-R34)</f>
        <v/>
      </c>
      <c r="AC34">
        <f>MAX(0,ROUND(AC33*(1+I$5),0)-I34-S34)</f>
        <v/>
      </c>
      <c r="AD34">
        <f>MAX(0,ROUND(AD33*(1+J$5),0)-J34-T34)</f>
        <v/>
      </c>
      <c r="AE34">
        <f>MAX(0,ROUND(AE33*(1+K$5),0)-K34-U34)</f>
        <v/>
      </c>
      <c r="AF34">
        <f>MAX(0,ROUND(AF33*(1+L$5),0)-L34-V34)</f>
        <v/>
      </c>
      <c r="AG34">
        <f>AH34-(AI33-AI34)</f>
        <v/>
      </c>
      <c r="AH34">
        <f>SUM(C34:V34)</f>
        <v/>
      </c>
      <c r="AI34">
        <f>SUM(W34:AF34)</f>
        <v/>
      </c>
      <c r="AJ34">
        <f>0</f>
        <v/>
      </c>
      <c r="AK34">
        <f>IF(AI33&lt;=0,0,11-SUMPRODUCT(MAX((W33:AF33&gt;0)*(11-(COLUMN(W33:AF33)-COLUMN($V33))))))</f>
        <v/>
      </c>
    </row>
    <row r="35">
      <c r="A35" t="n">
        <v>25</v>
      </c>
      <c r="B35">
        <f>DATE(YEAR(InicioEf),MONTH(InicioEf)+A35-1,1)</f>
        <v/>
      </c>
      <c r="C35">
        <f>MIN(C$6,ROUND(W34*(1+C$5),0))</f>
        <v/>
      </c>
      <c r="D35">
        <f>MIN(D$6,ROUND(X34*(1+D$5),0))</f>
        <v/>
      </c>
      <c r="E35">
        <f>MIN(E$6,ROUND(Y34*(1+E$5),0))</f>
        <v/>
      </c>
      <c r="F35">
        <f>MIN(F$6,ROUND(Z34*(1+F$5),0))</f>
        <v/>
      </c>
      <c r="G35">
        <f>MIN(G$6,ROUND(AA34*(1+G$5),0))</f>
        <v/>
      </c>
      <c r="H35">
        <f>MIN(H$6,ROUND(AB34*(1+H$5),0))</f>
        <v/>
      </c>
      <c r="I35">
        <f>MIN(I$6,ROUND(AC34*(1+I$5),0))</f>
        <v/>
      </c>
      <c r="J35">
        <f>MIN(J$6,ROUND(AD34*(1+J$5),0))</f>
        <v/>
      </c>
      <c r="K35">
        <f>MIN(K$6,ROUND(AE34*(1+K$5),0))</f>
        <v/>
      </c>
      <c r="L35">
        <f>MIN(L$6,ROUND(AF34*(1+L$5),0))</f>
        <v/>
      </c>
      <c r="M35">
        <f>MAX(0,MIN(ROUND(W34*(1+C$5),0)-C35,$AJ35-0))</f>
        <v/>
      </c>
      <c r="N35">
        <f>MAX(0,MIN(ROUND(X34*(1+D$5),0)-D35,$AJ35-SUM($M35:M35)))</f>
        <v/>
      </c>
      <c r="O35">
        <f>MAX(0,MIN(ROUND(Y34*(1+E$5),0)-E35,$AJ35-SUM($M35:N35)))</f>
        <v/>
      </c>
      <c r="P35">
        <f>MAX(0,MIN(ROUND(Z34*(1+F$5),0)-F35,$AJ35-SUM($M35:O35)))</f>
        <v/>
      </c>
      <c r="Q35">
        <f>MAX(0,MIN(ROUND(AA34*(1+G$5),0)-G35,$AJ35-SUM($M35:P35)))</f>
        <v/>
      </c>
      <c r="R35">
        <f>MAX(0,MIN(ROUND(AB34*(1+H$5),0)-H35,$AJ35-SUM($M35:Q35)))</f>
        <v/>
      </c>
      <c r="S35">
        <f>MAX(0,MIN(ROUND(AC34*(1+I$5),0)-I35,$AJ35-SUM($M35:R35)))</f>
        <v/>
      </c>
      <c r="T35">
        <f>MAX(0,MIN(ROUND(AD34*(1+J$5),0)-J35,$AJ35-SUM($M35:S35)))</f>
        <v/>
      </c>
      <c r="U35">
        <f>MAX(0,MIN(ROUND(AE34*(1+K$5),0)-K35,$AJ35-SUM($M35:T35)))</f>
        <v/>
      </c>
      <c r="V35">
        <f>MAX(0,MIN(ROUND(AF34*(1+L$5),0)-L35,$AJ35-SUM($M35:U35)))</f>
        <v/>
      </c>
      <c r="W35">
        <f>MAX(0,ROUND(W34*(1+C$5),0)-C35-M35)</f>
        <v/>
      </c>
      <c r="X35">
        <f>MAX(0,ROUND(X34*(1+D$5),0)-D35-N35)</f>
        <v/>
      </c>
      <c r="Y35">
        <f>MAX(0,ROUND(Y34*(1+E$5),0)-E35-O35)</f>
        <v/>
      </c>
      <c r="Z35">
        <f>MAX(0,ROUND(Z34*(1+F$5),0)-F35-P35)</f>
        <v/>
      </c>
      <c r="AA35">
        <f>MAX(0,ROUND(AA34*(1+G$5),0)-G35-Q35)</f>
        <v/>
      </c>
      <c r="AB35">
        <f>MAX(0,ROUND(AB34*(1+H$5),0)-H35-R35)</f>
        <v/>
      </c>
      <c r="AC35">
        <f>MAX(0,ROUND(AC34*(1+I$5),0)-I35-S35)</f>
        <v/>
      </c>
      <c r="AD35">
        <f>MAX(0,ROUND(AD34*(1+J$5),0)-J35-T35)</f>
        <v/>
      </c>
      <c r="AE35">
        <f>MAX(0,ROUND(AE34*(1+K$5),0)-K35-U35)</f>
        <v/>
      </c>
      <c r="AF35">
        <f>MAX(0,ROUND(AF34*(1+L$5),0)-L35-V35)</f>
        <v/>
      </c>
      <c r="AG35">
        <f>AH35-(AI34-AI35)</f>
        <v/>
      </c>
      <c r="AH35">
        <f>SUM(C35:V35)</f>
        <v/>
      </c>
      <c r="AI35">
        <f>SUM(W35:AF35)</f>
        <v/>
      </c>
      <c r="AJ35">
        <f>0</f>
        <v/>
      </c>
      <c r="AK35">
        <f>IF(AI34&lt;=0,0,11-SUMPRODUCT(MAX((W34:AF34&gt;0)*(11-(COLUMN(W34:AF34)-COLUMN($V34))))))</f>
        <v/>
      </c>
    </row>
    <row r="36">
      <c r="A36" t="n">
        <v>26</v>
      </c>
      <c r="B36">
        <f>DATE(YEAR(InicioEf),MONTH(InicioEf)+A36-1,1)</f>
        <v/>
      </c>
      <c r="C36">
        <f>MIN(C$6,ROUND(W35*(1+C$5),0))</f>
        <v/>
      </c>
      <c r="D36">
        <f>MIN(D$6,ROUND(X35*(1+D$5),0))</f>
        <v/>
      </c>
      <c r="E36">
        <f>MIN(E$6,ROUND(Y35*(1+E$5),0))</f>
        <v/>
      </c>
      <c r="F36">
        <f>MIN(F$6,ROUND(Z35*(1+F$5),0))</f>
        <v/>
      </c>
      <c r="G36">
        <f>MIN(G$6,ROUND(AA35*(1+G$5),0))</f>
        <v/>
      </c>
      <c r="H36">
        <f>MIN(H$6,ROUND(AB35*(1+H$5),0))</f>
        <v/>
      </c>
      <c r="I36">
        <f>MIN(I$6,ROUND(AC35*(1+I$5),0))</f>
        <v/>
      </c>
      <c r="J36">
        <f>MIN(J$6,ROUND(AD35*(1+J$5),0))</f>
        <v/>
      </c>
      <c r="K36">
        <f>MIN(K$6,ROUND(AE35*(1+K$5),0))</f>
        <v/>
      </c>
      <c r="L36">
        <f>MIN(L$6,ROUND(AF35*(1+L$5),0))</f>
        <v/>
      </c>
      <c r="M36">
        <f>MAX(0,MIN(ROUND(W35*(1+C$5),0)-C36,$AJ36-0))</f>
        <v/>
      </c>
      <c r="N36">
        <f>MAX(0,MIN(ROUND(X35*(1+D$5),0)-D36,$AJ36-SUM($M36:M36)))</f>
        <v/>
      </c>
      <c r="O36">
        <f>MAX(0,MIN(ROUND(Y35*(1+E$5),0)-E36,$AJ36-SUM($M36:N36)))</f>
        <v/>
      </c>
      <c r="P36">
        <f>MAX(0,MIN(ROUND(Z35*(1+F$5),0)-F36,$AJ36-SUM($M36:O36)))</f>
        <v/>
      </c>
      <c r="Q36">
        <f>MAX(0,MIN(ROUND(AA35*(1+G$5),0)-G36,$AJ36-SUM($M36:P36)))</f>
        <v/>
      </c>
      <c r="R36">
        <f>MAX(0,MIN(ROUND(AB35*(1+H$5),0)-H36,$AJ36-SUM($M36:Q36)))</f>
        <v/>
      </c>
      <c r="S36">
        <f>MAX(0,MIN(ROUND(AC35*(1+I$5),0)-I36,$AJ36-SUM($M36:R36)))</f>
        <v/>
      </c>
      <c r="T36">
        <f>MAX(0,MIN(ROUND(AD35*(1+J$5),0)-J36,$AJ36-SUM($M36:S36)))</f>
        <v/>
      </c>
      <c r="U36">
        <f>MAX(0,MIN(ROUND(AE35*(1+K$5),0)-K36,$AJ36-SUM($M36:T36)))</f>
        <v/>
      </c>
      <c r="V36">
        <f>MAX(0,MIN(ROUND(AF35*(1+L$5),0)-L36,$AJ36-SUM($M36:U36)))</f>
        <v/>
      </c>
      <c r="W36">
        <f>MAX(0,ROUND(W35*(1+C$5),0)-C36-M36)</f>
        <v/>
      </c>
      <c r="X36">
        <f>MAX(0,ROUND(X35*(1+D$5),0)-D36-N36)</f>
        <v/>
      </c>
      <c r="Y36">
        <f>MAX(0,ROUND(Y35*(1+E$5),0)-E36-O36)</f>
        <v/>
      </c>
      <c r="Z36">
        <f>MAX(0,ROUND(Z35*(1+F$5),0)-F36-P36)</f>
        <v/>
      </c>
      <c r="AA36">
        <f>MAX(0,ROUND(AA35*(1+G$5),0)-G36-Q36)</f>
        <v/>
      </c>
      <c r="AB36">
        <f>MAX(0,ROUND(AB35*(1+H$5),0)-H36-R36)</f>
        <v/>
      </c>
      <c r="AC36">
        <f>MAX(0,ROUND(AC35*(1+I$5),0)-I36-S36)</f>
        <v/>
      </c>
      <c r="AD36">
        <f>MAX(0,ROUND(AD35*(1+J$5),0)-J36-T36)</f>
        <v/>
      </c>
      <c r="AE36">
        <f>MAX(0,ROUND(AE35*(1+K$5),0)-K36-U36)</f>
        <v/>
      </c>
      <c r="AF36">
        <f>MAX(0,ROUND(AF35*(1+L$5),0)-L36-V36)</f>
        <v/>
      </c>
      <c r="AG36">
        <f>AH36-(AI35-AI36)</f>
        <v/>
      </c>
      <c r="AH36">
        <f>SUM(C36:V36)</f>
        <v/>
      </c>
      <c r="AI36">
        <f>SUM(W36:AF36)</f>
        <v/>
      </c>
      <c r="AJ36">
        <f>0</f>
        <v/>
      </c>
      <c r="AK36">
        <f>IF(AI35&lt;=0,0,11-SUMPRODUCT(MAX((W35:AF35&gt;0)*(11-(COLUMN(W35:AF35)-COLUMN($V35))))))</f>
        <v/>
      </c>
    </row>
    <row r="37">
      <c r="A37" t="n">
        <v>27</v>
      </c>
      <c r="B37">
        <f>DATE(YEAR(InicioEf),MONTH(InicioEf)+A37-1,1)</f>
        <v/>
      </c>
      <c r="C37">
        <f>MIN(C$6,ROUND(W36*(1+C$5),0))</f>
        <v/>
      </c>
      <c r="D37">
        <f>MIN(D$6,ROUND(X36*(1+D$5),0))</f>
        <v/>
      </c>
      <c r="E37">
        <f>MIN(E$6,ROUND(Y36*(1+E$5),0))</f>
        <v/>
      </c>
      <c r="F37">
        <f>MIN(F$6,ROUND(Z36*(1+F$5),0))</f>
        <v/>
      </c>
      <c r="G37">
        <f>MIN(G$6,ROUND(AA36*(1+G$5),0))</f>
        <v/>
      </c>
      <c r="H37">
        <f>MIN(H$6,ROUND(AB36*(1+H$5),0))</f>
        <v/>
      </c>
      <c r="I37">
        <f>MIN(I$6,ROUND(AC36*(1+I$5),0))</f>
        <v/>
      </c>
      <c r="J37">
        <f>MIN(J$6,ROUND(AD36*(1+J$5),0))</f>
        <v/>
      </c>
      <c r="K37">
        <f>MIN(K$6,ROUND(AE36*(1+K$5),0))</f>
        <v/>
      </c>
      <c r="L37">
        <f>MIN(L$6,ROUND(AF36*(1+L$5),0))</f>
        <v/>
      </c>
      <c r="M37">
        <f>MAX(0,MIN(ROUND(W36*(1+C$5),0)-C37,$AJ37-0))</f>
        <v/>
      </c>
      <c r="N37">
        <f>MAX(0,MIN(ROUND(X36*(1+D$5),0)-D37,$AJ37-SUM($M37:M37)))</f>
        <v/>
      </c>
      <c r="O37">
        <f>MAX(0,MIN(ROUND(Y36*(1+E$5),0)-E37,$AJ37-SUM($M37:N37)))</f>
        <v/>
      </c>
      <c r="P37">
        <f>MAX(0,MIN(ROUND(Z36*(1+F$5),0)-F37,$AJ37-SUM($M37:O37)))</f>
        <v/>
      </c>
      <c r="Q37">
        <f>MAX(0,MIN(ROUND(AA36*(1+G$5),0)-G37,$AJ37-SUM($M37:P37)))</f>
        <v/>
      </c>
      <c r="R37">
        <f>MAX(0,MIN(ROUND(AB36*(1+H$5),0)-H37,$AJ37-SUM($M37:Q37)))</f>
        <v/>
      </c>
      <c r="S37">
        <f>MAX(0,MIN(ROUND(AC36*(1+I$5),0)-I37,$AJ37-SUM($M37:R37)))</f>
        <v/>
      </c>
      <c r="T37">
        <f>MAX(0,MIN(ROUND(AD36*(1+J$5),0)-J37,$AJ37-SUM($M37:S37)))</f>
        <v/>
      </c>
      <c r="U37">
        <f>MAX(0,MIN(ROUND(AE36*(1+K$5),0)-K37,$AJ37-SUM($M37:T37)))</f>
        <v/>
      </c>
      <c r="V37">
        <f>MAX(0,MIN(ROUND(AF36*(1+L$5),0)-L37,$AJ37-SUM($M37:U37)))</f>
        <v/>
      </c>
      <c r="W37">
        <f>MAX(0,ROUND(W36*(1+C$5),0)-C37-M37)</f>
        <v/>
      </c>
      <c r="X37">
        <f>MAX(0,ROUND(X36*(1+D$5),0)-D37-N37)</f>
        <v/>
      </c>
      <c r="Y37">
        <f>MAX(0,ROUND(Y36*(1+E$5),0)-E37-O37)</f>
        <v/>
      </c>
      <c r="Z37">
        <f>MAX(0,ROUND(Z36*(1+F$5),0)-F37-P37)</f>
        <v/>
      </c>
      <c r="AA37">
        <f>MAX(0,ROUND(AA36*(1+G$5),0)-G37-Q37)</f>
        <v/>
      </c>
      <c r="AB37">
        <f>MAX(0,ROUND(AB36*(1+H$5),0)-H37-R37)</f>
        <v/>
      </c>
      <c r="AC37">
        <f>MAX(0,ROUND(AC36*(1+I$5),0)-I37-S37)</f>
        <v/>
      </c>
      <c r="AD37">
        <f>MAX(0,ROUND(AD36*(1+J$5),0)-J37-T37)</f>
        <v/>
      </c>
      <c r="AE37">
        <f>MAX(0,ROUND(AE36*(1+K$5),0)-K37-U37)</f>
        <v/>
      </c>
      <c r="AF37">
        <f>MAX(0,ROUND(AF36*(1+L$5),0)-L37-V37)</f>
        <v/>
      </c>
      <c r="AG37">
        <f>AH37-(AI36-AI37)</f>
        <v/>
      </c>
      <c r="AH37">
        <f>SUM(C37:V37)</f>
        <v/>
      </c>
      <c r="AI37">
        <f>SUM(W37:AF37)</f>
        <v/>
      </c>
      <c r="AJ37">
        <f>0</f>
        <v/>
      </c>
      <c r="AK37">
        <f>IF(AI36&lt;=0,0,11-SUMPRODUCT(MAX((W36:AF36&gt;0)*(11-(COLUMN(W36:AF36)-COLUMN($V36))))))</f>
        <v/>
      </c>
    </row>
    <row r="38">
      <c r="A38" t="n">
        <v>28</v>
      </c>
      <c r="B38">
        <f>DATE(YEAR(InicioEf),MONTH(InicioEf)+A38-1,1)</f>
        <v/>
      </c>
      <c r="C38">
        <f>MIN(C$6,ROUND(W37*(1+C$5),0))</f>
        <v/>
      </c>
      <c r="D38">
        <f>MIN(D$6,ROUND(X37*(1+D$5),0))</f>
        <v/>
      </c>
      <c r="E38">
        <f>MIN(E$6,ROUND(Y37*(1+E$5),0))</f>
        <v/>
      </c>
      <c r="F38">
        <f>MIN(F$6,ROUND(Z37*(1+F$5),0))</f>
        <v/>
      </c>
      <c r="G38">
        <f>MIN(G$6,ROUND(AA37*(1+G$5),0))</f>
        <v/>
      </c>
      <c r="H38">
        <f>MIN(H$6,ROUND(AB37*(1+H$5),0))</f>
        <v/>
      </c>
      <c r="I38">
        <f>MIN(I$6,ROUND(AC37*(1+I$5),0))</f>
        <v/>
      </c>
      <c r="J38">
        <f>MIN(J$6,ROUND(AD37*(1+J$5),0))</f>
        <v/>
      </c>
      <c r="K38">
        <f>MIN(K$6,ROUND(AE37*(1+K$5),0))</f>
        <v/>
      </c>
      <c r="L38">
        <f>MIN(L$6,ROUND(AF37*(1+L$5),0))</f>
        <v/>
      </c>
      <c r="M38">
        <f>MAX(0,MIN(ROUND(W37*(1+C$5),0)-C38,$AJ38-0))</f>
        <v/>
      </c>
      <c r="N38">
        <f>MAX(0,MIN(ROUND(X37*(1+D$5),0)-D38,$AJ38-SUM($M38:M38)))</f>
        <v/>
      </c>
      <c r="O38">
        <f>MAX(0,MIN(ROUND(Y37*(1+E$5),0)-E38,$AJ38-SUM($M38:N38)))</f>
        <v/>
      </c>
      <c r="P38">
        <f>MAX(0,MIN(ROUND(Z37*(1+F$5),0)-F38,$AJ38-SUM($M38:O38)))</f>
        <v/>
      </c>
      <c r="Q38">
        <f>MAX(0,MIN(ROUND(AA37*(1+G$5),0)-G38,$AJ38-SUM($M38:P38)))</f>
        <v/>
      </c>
      <c r="R38">
        <f>MAX(0,MIN(ROUND(AB37*(1+H$5),0)-H38,$AJ38-SUM($M38:Q38)))</f>
        <v/>
      </c>
      <c r="S38">
        <f>MAX(0,MIN(ROUND(AC37*(1+I$5),0)-I38,$AJ38-SUM($M38:R38)))</f>
        <v/>
      </c>
      <c r="T38">
        <f>MAX(0,MIN(ROUND(AD37*(1+J$5),0)-J38,$AJ38-SUM($M38:S38)))</f>
        <v/>
      </c>
      <c r="U38">
        <f>MAX(0,MIN(ROUND(AE37*(1+K$5),0)-K38,$AJ38-SUM($M38:T38)))</f>
        <v/>
      </c>
      <c r="V38">
        <f>MAX(0,MIN(ROUND(AF37*(1+L$5),0)-L38,$AJ38-SUM($M38:U38)))</f>
        <v/>
      </c>
      <c r="W38">
        <f>MAX(0,ROUND(W37*(1+C$5),0)-C38-M38)</f>
        <v/>
      </c>
      <c r="X38">
        <f>MAX(0,ROUND(X37*(1+D$5),0)-D38-N38)</f>
        <v/>
      </c>
      <c r="Y38">
        <f>MAX(0,ROUND(Y37*(1+E$5),0)-E38-O38)</f>
        <v/>
      </c>
      <c r="Z38">
        <f>MAX(0,ROUND(Z37*(1+F$5),0)-F38-P38)</f>
        <v/>
      </c>
      <c r="AA38">
        <f>MAX(0,ROUND(AA37*(1+G$5),0)-G38-Q38)</f>
        <v/>
      </c>
      <c r="AB38">
        <f>MAX(0,ROUND(AB37*(1+H$5),0)-H38-R38)</f>
        <v/>
      </c>
      <c r="AC38">
        <f>MAX(0,ROUND(AC37*(1+I$5),0)-I38-S38)</f>
        <v/>
      </c>
      <c r="AD38">
        <f>MAX(0,ROUND(AD37*(1+J$5),0)-J38-T38)</f>
        <v/>
      </c>
      <c r="AE38">
        <f>MAX(0,ROUND(AE37*(1+K$5),0)-K38-U38)</f>
        <v/>
      </c>
      <c r="AF38">
        <f>MAX(0,ROUND(AF37*(1+L$5),0)-L38-V38)</f>
        <v/>
      </c>
      <c r="AG38">
        <f>AH38-(AI37-AI38)</f>
        <v/>
      </c>
      <c r="AH38">
        <f>SUM(C38:V38)</f>
        <v/>
      </c>
      <c r="AI38">
        <f>SUM(W38:AF38)</f>
        <v/>
      </c>
      <c r="AJ38">
        <f>0</f>
        <v/>
      </c>
      <c r="AK38">
        <f>IF(AI37&lt;=0,0,11-SUMPRODUCT(MAX((W37:AF37&gt;0)*(11-(COLUMN(W37:AF37)-COLUMN($V37))))))</f>
        <v/>
      </c>
    </row>
    <row r="39">
      <c r="A39" t="n">
        <v>29</v>
      </c>
      <c r="B39">
        <f>DATE(YEAR(InicioEf),MONTH(InicioEf)+A39-1,1)</f>
        <v/>
      </c>
      <c r="C39">
        <f>MIN(C$6,ROUND(W38*(1+C$5),0))</f>
        <v/>
      </c>
      <c r="D39">
        <f>MIN(D$6,ROUND(X38*(1+D$5),0))</f>
        <v/>
      </c>
      <c r="E39">
        <f>MIN(E$6,ROUND(Y38*(1+E$5),0))</f>
        <v/>
      </c>
      <c r="F39">
        <f>MIN(F$6,ROUND(Z38*(1+F$5),0))</f>
        <v/>
      </c>
      <c r="G39">
        <f>MIN(G$6,ROUND(AA38*(1+G$5),0))</f>
        <v/>
      </c>
      <c r="H39">
        <f>MIN(H$6,ROUND(AB38*(1+H$5),0))</f>
        <v/>
      </c>
      <c r="I39">
        <f>MIN(I$6,ROUND(AC38*(1+I$5),0))</f>
        <v/>
      </c>
      <c r="J39">
        <f>MIN(J$6,ROUND(AD38*(1+J$5),0))</f>
        <v/>
      </c>
      <c r="K39">
        <f>MIN(K$6,ROUND(AE38*(1+K$5),0))</f>
        <v/>
      </c>
      <c r="L39">
        <f>MIN(L$6,ROUND(AF38*(1+L$5),0))</f>
        <v/>
      </c>
      <c r="M39">
        <f>MAX(0,MIN(ROUND(W38*(1+C$5),0)-C39,$AJ39-0))</f>
        <v/>
      </c>
      <c r="N39">
        <f>MAX(0,MIN(ROUND(X38*(1+D$5),0)-D39,$AJ39-SUM($M39:M39)))</f>
        <v/>
      </c>
      <c r="O39">
        <f>MAX(0,MIN(ROUND(Y38*(1+E$5),0)-E39,$AJ39-SUM($M39:N39)))</f>
        <v/>
      </c>
      <c r="P39">
        <f>MAX(0,MIN(ROUND(Z38*(1+F$5),0)-F39,$AJ39-SUM($M39:O39)))</f>
        <v/>
      </c>
      <c r="Q39">
        <f>MAX(0,MIN(ROUND(AA38*(1+G$5),0)-G39,$AJ39-SUM($M39:P39)))</f>
        <v/>
      </c>
      <c r="R39">
        <f>MAX(0,MIN(ROUND(AB38*(1+H$5),0)-H39,$AJ39-SUM($M39:Q39)))</f>
        <v/>
      </c>
      <c r="S39">
        <f>MAX(0,MIN(ROUND(AC38*(1+I$5),0)-I39,$AJ39-SUM($M39:R39)))</f>
        <v/>
      </c>
      <c r="T39">
        <f>MAX(0,MIN(ROUND(AD38*(1+J$5),0)-J39,$AJ39-SUM($M39:S39)))</f>
        <v/>
      </c>
      <c r="U39">
        <f>MAX(0,MIN(ROUND(AE38*(1+K$5),0)-K39,$AJ39-SUM($M39:T39)))</f>
        <v/>
      </c>
      <c r="V39">
        <f>MAX(0,MIN(ROUND(AF38*(1+L$5),0)-L39,$AJ39-SUM($M39:U39)))</f>
        <v/>
      </c>
      <c r="W39">
        <f>MAX(0,ROUND(W38*(1+C$5),0)-C39-M39)</f>
        <v/>
      </c>
      <c r="X39">
        <f>MAX(0,ROUND(X38*(1+D$5),0)-D39-N39)</f>
        <v/>
      </c>
      <c r="Y39">
        <f>MAX(0,ROUND(Y38*(1+E$5),0)-E39-O39)</f>
        <v/>
      </c>
      <c r="Z39">
        <f>MAX(0,ROUND(Z38*(1+F$5),0)-F39-P39)</f>
        <v/>
      </c>
      <c r="AA39">
        <f>MAX(0,ROUND(AA38*(1+G$5),0)-G39-Q39)</f>
        <v/>
      </c>
      <c r="AB39">
        <f>MAX(0,ROUND(AB38*(1+H$5),0)-H39-R39)</f>
        <v/>
      </c>
      <c r="AC39">
        <f>MAX(0,ROUND(AC38*(1+I$5),0)-I39-S39)</f>
        <v/>
      </c>
      <c r="AD39">
        <f>MAX(0,ROUND(AD38*(1+J$5),0)-J39-T39)</f>
        <v/>
      </c>
      <c r="AE39">
        <f>MAX(0,ROUND(AE38*(1+K$5),0)-K39-U39)</f>
        <v/>
      </c>
      <c r="AF39">
        <f>MAX(0,ROUND(AF38*(1+L$5),0)-L39-V39)</f>
        <v/>
      </c>
      <c r="AG39">
        <f>AH39-(AI38-AI39)</f>
        <v/>
      </c>
      <c r="AH39">
        <f>SUM(C39:V39)</f>
        <v/>
      </c>
      <c r="AI39">
        <f>SUM(W39:AF39)</f>
        <v/>
      </c>
      <c r="AJ39">
        <f>0</f>
        <v/>
      </c>
      <c r="AK39">
        <f>IF(AI38&lt;=0,0,11-SUMPRODUCT(MAX((W38:AF38&gt;0)*(11-(COLUMN(W38:AF38)-COLUMN($V38))))))</f>
        <v/>
      </c>
    </row>
    <row r="40">
      <c r="A40" t="n">
        <v>30</v>
      </c>
      <c r="B40">
        <f>DATE(YEAR(InicioEf),MONTH(InicioEf)+A40-1,1)</f>
        <v/>
      </c>
      <c r="C40">
        <f>MIN(C$6,ROUND(W39*(1+C$5),0))</f>
        <v/>
      </c>
      <c r="D40">
        <f>MIN(D$6,ROUND(X39*(1+D$5),0))</f>
        <v/>
      </c>
      <c r="E40">
        <f>MIN(E$6,ROUND(Y39*(1+E$5),0))</f>
        <v/>
      </c>
      <c r="F40">
        <f>MIN(F$6,ROUND(Z39*(1+F$5),0))</f>
        <v/>
      </c>
      <c r="G40">
        <f>MIN(G$6,ROUND(AA39*(1+G$5),0))</f>
        <v/>
      </c>
      <c r="H40">
        <f>MIN(H$6,ROUND(AB39*(1+H$5),0))</f>
        <v/>
      </c>
      <c r="I40">
        <f>MIN(I$6,ROUND(AC39*(1+I$5),0))</f>
        <v/>
      </c>
      <c r="J40">
        <f>MIN(J$6,ROUND(AD39*(1+J$5),0))</f>
        <v/>
      </c>
      <c r="K40">
        <f>MIN(K$6,ROUND(AE39*(1+K$5),0))</f>
        <v/>
      </c>
      <c r="L40">
        <f>MIN(L$6,ROUND(AF39*(1+L$5),0))</f>
        <v/>
      </c>
      <c r="M40">
        <f>MAX(0,MIN(ROUND(W39*(1+C$5),0)-C40,$AJ40-0))</f>
        <v/>
      </c>
      <c r="N40">
        <f>MAX(0,MIN(ROUND(X39*(1+D$5),0)-D40,$AJ40-SUM($M40:M40)))</f>
        <v/>
      </c>
      <c r="O40">
        <f>MAX(0,MIN(ROUND(Y39*(1+E$5),0)-E40,$AJ40-SUM($M40:N40)))</f>
        <v/>
      </c>
      <c r="P40">
        <f>MAX(0,MIN(ROUND(Z39*(1+F$5),0)-F40,$AJ40-SUM($M40:O40)))</f>
        <v/>
      </c>
      <c r="Q40">
        <f>MAX(0,MIN(ROUND(AA39*(1+G$5),0)-G40,$AJ40-SUM($M40:P40)))</f>
        <v/>
      </c>
      <c r="R40">
        <f>MAX(0,MIN(ROUND(AB39*(1+H$5),0)-H40,$AJ40-SUM($M40:Q40)))</f>
        <v/>
      </c>
      <c r="S40">
        <f>MAX(0,MIN(ROUND(AC39*(1+I$5),0)-I40,$AJ40-SUM($M40:R40)))</f>
        <v/>
      </c>
      <c r="T40">
        <f>MAX(0,MIN(ROUND(AD39*(1+J$5),0)-J40,$AJ40-SUM($M40:S40)))</f>
        <v/>
      </c>
      <c r="U40">
        <f>MAX(0,MIN(ROUND(AE39*(1+K$5),0)-K40,$AJ40-SUM($M40:T40)))</f>
        <v/>
      </c>
      <c r="V40">
        <f>MAX(0,MIN(ROUND(AF39*(1+L$5),0)-L40,$AJ40-SUM($M40:U40)))</f>
        <v/>
      </c>
      <c r="W40">
        <f>MAX(0,ROUND(W39*(1+C$5),0)-C40-M40)</f>
        <v/>
      </c>
      <c r="X40">
        <f>MAX(0,ROUND(X39*(1+D$5),0)-D40-N40)</f>
        <v/>
      </c>
      <c r="Y40">
        <f>MAX(0,ROUND(Y39*(1+E$5),0)-E40-O40)</f>
        <v/>
      </c>
      <c r="Z40">
        <f>MAX(0,ROUND(Z39*(1+F$5),0)-F40-P40)</f>
        <v/>
      </c>
      <c r="AA40">
        <f>MAX(0,ROUND(AA39*(1+G$5),0)-G40-Q40)</f>
        <v/>
      </c>
      <c r="AB40">
        <f>MAX(0,ROUND(AB39*(1+H$5),0)-H40-R40)</f>
        <v/>
      </c>
      <c r="AC40">
        <f>MAX(0,ROUND(AC39*(1+I$5),0)-I40-S40)</f>
        <v/>
      </c>
      <c r="AD40">
        <f>MAX(0,ROUND(AD39*(1+J$5),0)-J40-T40)</f>
        <v/>
      </c>
      <c r="AE40">
        <f>MAX(0,ROUND(AE39*(1+K$5),0)-K40-U40)</f>
        <v/>
      </c>
      <c r="AF40">
        <f>MAX(0,ROUND(AF39*(1+L$5),0)-L40-V40)</f>
        <v/>
      </c>
      <c r="AG40">
        <f>AH40-(AI39-AI40)</f>
        <v/>
      </c>
      <c r="AH40">
        <f>SUM(C40:V40)</f>
        <v/>
      </c>
      <c r="AI40">
        <f>SUM(W40:AF40)</f>
        <v/>
      </c>
      <c r="AJ40">
        <f>0</f>
        <v/>
      </c>
      <c r="AK40">
        <f>IF(AI39&lt;=0,0,11-SUMPRODUCT(MAX((W39:AF39&gt;0)*(11-(COLUMN(W39:AF39)-COLUMN($V39))))))</f>
        <v/>
      </c>
    </row>
    <row r="41">
      <c r="A41" t="n">
        <v>31</v>
      </c>
      <c r="B41">
        <f>DATE(YEAR(InicioEf),MONTH(InicioEf)+A41-1,1)</f>
        <v/>
      </c>
      <c r="C41">
        <f>MIN(C$6,ROUND(W40*(1+C$5),0))</f>
        <v/>
      </c>
      <c r="D41">
        <f>MIN(D$6,ROUND(X40*(1+D$5),0))</f>
        <v/>
      </c>
      <c r="E41">
        <f>MIN(E$6,ROUND(Y40*(1+E$5),0))</f>
        <v/>
      </c>
      <c r="F41">
        <f>MIN(F$6,ROUND(Z40*(1+F$5),0))</f>
        <v/>
      </c>
      <c r="G41">
        <f>MIN(G$6,ROUND(AA40*(1+G$5),0))</f>
        <v/>
      </c>
      <c r="H41">
        <f>MIN(H$6,ROUND(AB40*(1+H$5),0))</f>
        <v/>
      </c>
      <c r="I41">
        <f>MIN(I$6,ROUND(AC40*(1+I$5),0))</f>
        <v/>
      </c>
      <c r="J41">
        <f>MIN(J$6,ROUND(AD40*(1+J$5),0))</f>
        <v/>
      </c>
      <c r="K41">
        <f>MIN(K$6,ROUND(AE40*(1+K$5),0))</f>
        <v/>
      </c>
      <c r="L41">
        <f>MIN(L$6,ROUND(AF40*(1+L$5),0))</f>
        <v/>
      </c>
      <c r="M41">
        <f>MAX(0,MIN(ROUND(W40*(1+C$5),0)-C41,$AJ41-0))</f>
        <v/>
      </c>
      <c r="N41">
        <f>MAX(0,MIN(ROUND(X40*(1+D$5),0)-D41,$AJ41-SUM($M41:M41)))</f>
        <v/>
      </c>
      <c r="O41">
        <f>MAX(0,MIN(ROUND(Y40*(1+E$5),0)-E41,$AJ41-SUM($M41:N41)))</f>
        <v/>
      </c>
      <c r="P41">
        <f>MAX(0,MIN(ROUND(Z40*(1+F$5),0)-F41,$AJ41-SUM($M41:O41)))</f>
        <v/>
      </c>
      <c r="Q41">
        <f>MAX(0,MIN(ROUND(AA40*(1+G$5),0)-G41,$AJ41-SUM($M41:P41)))</f>
        <v/>
      </c>
      <c r="R41">
        <f>MAX(0,MIN(ROUND(AB40*(1+H$5),0)-H41,$AJ41-SUM($M41:Q41)))</f>
        <v/>
      </c>
      <c r="S41">
        <f>MAX(0,MIN(ROUND(AC40*(1+I$5),0)-I41,$AJ41-SUM($M41:R41)))</f>
        <v/>
      </c>
      <c r="T41">
        <f>MAX(0,MIN(ROUND(AD40*(1+J$5),0)-J41,$AJ41-SUM($M41:S41)))</f>
        <v/>
      </c>
      <c r="U41">
        <f>MAX(0,MIN(ROUND(AE40*(1+K$5),0)-K41,$AJ41-SUM($M41:T41)))</f>
        <v/>
      </c>
      <c r="V41">
        <f>MAX(0,MIN(ROUND(AF40*(1+L$5),0)-L41,$AJ41-SUM($M41:U41)))</f>
        <v/>
      </c>
      <c r="W41">
        <f>MAX(0,ROUND(W40*(1+C$5),0)-C41-M41)</f>
        <v/>
      </c>
      <c r="X41">
        <f>MAX(0,ROUND(X40*(1+D$5),0)-D41-N41)</f>
        <v/>
      </c>
      <c r="Y41">
        <f>MAX(0,ROUND(Y40*(1+E$5),0)-E41-O41)</f>
        <v/>
      </c>
      <c r="Z41">
        <f>MAX(0,ROUND(Z40*(1+F$5),0)-F41-P41)</f>
        <v/>
      </c>
      <c r="AA41">
        <f>MAX(0,ROUND(AA40*(1+G$5),0)-G41-Q41)</f>
        <v/>
      </c>
      <c r="AB41">
        <f>MAX(0,ROUND(AB40*(1+H$5),0)-H41-R41)</f>
        <v/>
      </c>
      <c r="AC41">
        <f>MAX(0,ROUND(AC40*(1+I$5),0)-I41-S41)</f>
        <v/>
      </c>
      <c r="AD41">
        <f>MAX(0,ROUND(AD40*(1+J$5),0)-J41-T41)</f>
        <v/>
      </c>
      <c r="AE41">
        <f>MAX(0,ROUND(AE40*(1+K$5),0)-K41-U41)</f>
        <v/>
      </c>
      <c r="AF41">
        <f>MAX(0,ROUND(AF40*(1+L$5),0)-L41-V41)</f>
        <v/>
      </c>
      <c r="AG41">
        <f>AH41-(AI40-AI41)</f>
        <v/>
      </c>
      <c r="AH41">
        <f>SUM(C41:V41)</f>
        <v/>
      </c>
      <c r="AI41">
        <f>SUM(W41:AF41)</f>
        <v/>
      </c>
      <c r="AJ41">
        <f>0</f>
        <v/>
      </c>
      <c r="AK41">
        <f>IF(AI40&lt;=0,0,11-SUMPRODUCT(MAX((W40:AF40&gt;0)*(11-(COLUMN(W40:AF40)-COLUMN($V40))))))</f>
        <v/>
      </c>
    </row>
    <row r="42">
      <c r="A42" t="n">
        <v>32</v>
      </c>
      <c r="B42">
        <f>DATE(YEAR(InicioEf),MONTH(InicioEf)+A42-1,1)</f>
        <v/>
      </c>
      <c r="C42">
        <f>MIN(C$6,ROUND(W41*(1+C$5),0))</f>
        <v/>
      </c>
      <c r="D42">
        <f>MIN(D$6,ROUND(X41*(1+D$5),0))</f>
        <v/>
      </c>
      <c r="E42">
        <f>MIN(E$6,ROUND(Y41*(1+E$5),0))</f>
        <v/>
      </c>
      <c r="F42">
        <f>MIN(F$6,ROUND(Z41*(1+F$5),0))</f>
        <v/>
      </c>
      <c r="G42">
        <f>MIN(G$6,ROUND(AA41*(1+G$5),0))</f>
        <v/>
      </c>
      <c r="H42">
        <f>MIN(H$6,ROUND(AB41*(1+H$5),0))</f>
        <v/>
      </c>
      <c r="I42">
        <f>MIN(I$6,ROUND(AC41*(1+I$5),0))</f>
        <v/>
      </c>
      <c r="J42">
        <f>MIN(J$6,ROUND(AD41*(1+J$5),0))</f>
        <v/>
      </c>
      <c r="K42">
        <f>MIN(K$6,ROUND(AE41*(1+K$5),0))</f>
        <v/>
      </c>
      <c r="L42">
        <f>MIN(L$6,ROUND(AF41*(1+L$5),0))</f>
        <v/>
      </c>
      <c r="M42">
        <f>MAX(0,MIN(ROUND(W41*(1+C$5),0)-C42,$AJ42-0))</f>
        <v/>
      </c>
      <c r="N42">
        <f>MAX(0,MIN(ROUND(X41*(1+D$5),0)-D42,$AJ42-SUM($M42:M42)))</f>
        <v/>
      </c>
      <c r="O42">
        <f>MAX(0,MIN(ROUND(Y41*(1+E$5),0)-E42,$AJ42-SUM($M42:N42)))</f>
        <v/>
      </c>
      <c r="P42">
        <f>MAX(0,MIN(ROUND(Z41*(1+F$5),0)-F42,$AJ42-SUM($M42:O42)))</f>
        <v/>
      </c>
      <c r="Q42">
        <f>MAX(0,MIN(ROUND(AA41*(1+G$5),0)-G42,$AJ42-SUM($M42:P42)))</f>
        <v/>
      </c>
      <c r="R42">
        <f>MAX(0,MIN(ROUND(AB41*(1+H$5),0)-H42,$AJ42-SUM($M42:Q42)))</f>
        <v/>
      </c>
      <c r="S42">
        <f>MAX(0,MIN(ROUND(AC41*(1+I$5),0)-I42,$AJ42-SUM($M42:R42)))</f>
        <v/>
      </c>
      <c r="T42">
        <f>MAX(0,MIN(ROUND(AD41*(1+J$5),0)-J42,$AJ42-SUM($M42:S42)))</f>
        <v/>
      </c>
      <c r="U42">
        <f>MAX(0,MIN(ROUND(AE41*(1+K$5),0)-K42,$AJ42-SUM($M42:T42)))</f>
        <v/>
      </c>
      <c r="V42">
        <f>MAX(0,MIN(ROUND(AF41*(1+L$5),0)-L42,$AJ42-SUM($M42:U42)))</f>
        <v/>
      </c>
      <c r="W42">
        <f>MAX(0,ROUND(W41*(1+C$5),0)-C42-M42)</f>
        <v/>
      </c>
      <c r="X42">
        <f>MAX(0,ROUND(X41*(1+D$5),0)-D42-N42)</f>
        <v/>
      </c>
      <c r="Y42">
        <f>MAX(0,ROUND(Y41*(1+E$5),0)-E42-O42)</f>
        <v/>
      </c>
      <c r="Z42">
        <f>MAX(0,ROUND(Z41*(1+F$5),0)-F42-P42)</f>
        <v/>
      </c>
      <c r="AA42">
        <f>MAX(0,ROUND(AA41*(1+G$5),0)-G42-Q42)</f>
        <v/>
      </c>
      <c r="AB42">
        <f>MAX(0,ROUND(AB41*(1+H$5),0)-H42-R42)</f>
        <v/>
      </c>
      <c r="AC42">
        <f>MAX(0,ROUND(AC41*(1+I$5),0)-I42-S42)</f>
        <v/>
      </c>
      <c r="AD42">
        <f>MAX(0,ROUND(AD41*(1+J$5),0)-J42-T42)</f>
        <v/>
      </c>
      <c r="AE42">
        <f>MAX(0,ROUND(AE41*(1+K$5),0)-K42-U42)</f>
        <v/>
      </c>
      <c r="AF42">
        <f>MAX(0,ROUND(AF41*(1+L$5),0)-L42-V42)</f>
        <v/>
      </c>
      <c r="AG42">
        <f>AH42-(AI41-AI42)</f>
        <v/>
      </c>
      <c r="AH42">
        <f>SUM(C42:V42)</f>
        <v/>
      </c>
      <c r="AI42">
        <f>SUM(W42:AF42)</f>
        <v/>
      </c>
      <c r="AJ42">
        <f>0</f>
        <v/>
      </c>
      <c r="AK42">
        <f>IF(AI41&lt;=0,0,11-SUMPRODUCT(MAX((W41:AF41&gt;0)*(11-(COLUMN(W41:AF41)-COLUMN($V41))))))</f>
        <v/>
      </c>
    </row>
    <row r="43">
      <c r="A43" t="n">
        <v>33</v>
      </c>
      <c r="B43">
        <f>DATE(YEAR(InicioEf),MONTH(InicioEf)+A43-1,1)</f>
        <v/>
      </c>
      <c r="C43">
        <f>MIN(C$6,ROUND(W42*(1+C$5),0))</f>
        <v/>
      </c>
      <c r="D43">
        <f>MIN(D$6,ROUND(X42*(1+D$5),0))</f>
        <v/>
      </c>
      <c r="E43">
        <f>MIN(E$6,ROUND(Y42*(1+E$5),0))</f>
        <v/>
      </c>
      <c r="F43">
        <f>MIN(F$6,ROUND(Z42*(1+F$5),0))</f>
        <v/>
      </c>
      <c r="G43">
        <f>MIN(G$6,ROUND(AA42*(1+G$5),0))</f>
        <v/>
      </c>
      <c r="H43">
        <f>MIN(H$6,ROUND(AB42*(1+H$5),0))</f>
        <v/>
      </c>
      <c r="I43">
        <f>MIN(I$6,ROUND(AC42*(1+I$5),0))</f>
        <v/>
      </c>
      <c r="J43">
        <f>MIN(J$6,ROUND(AD42*(1+J$5),0))</f>
        <v/>
      </c>
      <c r="K43">
        <f>MIN(K$6,ROUND(AE42*(1+K$5),0))</f>
        <v/>
      </c>
      <c r="L43">
        <f>MIN(L$6,ROUND(AF42*(1+L$5),0))</f>
        <v/>
      </c>
      <c r="M43">
        <f>MAX(0,MIN(ROUND(W42*(1+C$5),0)-C43,$AJ43-0))</f>
        <v/>
      </c>
      <c r="N43">
        <f>MAX(0,MIN(ROUND(X42*(1+D$5),0)-D43,$AJ43-SUM($M43:M43)))</f>
        <v/>
      </c>
      <c r="O43">
        <f>MAX(0,MIN(ROUND(Y42*(1+E$5),0)-E43,$AJ43-SUM($M43:N43)))</f>
        <v/>
      </c>
      <c r="P43">
        <f>MAX(0,MIN(ROUND(Z42*(1+F$5),0)-F43,$AJ43-SUM($M43:O43)))</f>
        <v/>
      </c>
      <c r="Q43">
        <f>MAX(0,MIN(ROUND(AA42*(1+G$5),0)-G43,$AJ43-SUM($M43:P43)))</f>
        <v/>
      </c>
      <c r="R43">
        <f>MAX(0,MIN(ROUND(AB42*(1+H$5),0)-H43,$AJ43-SUM($M43:Q43)))</f>
        <v/>
      </c>
      <c r="S43">
        <f>MAX(0,MIN(ROUND(AC42*(1+I$5),0)-I43,$AJ43-SUM($M43:R43)))</f>
        <v/>
      </c>
      <c r="T43">
        <f>MAX(0,MIN(ROUND(AD42*(1+J$5),0)-J43,$AJ43-SUM($M43:S43)))</f>
        <v/>
      </c>
      <c r="U43">
        <f>MAX(0,MIN(ROUND(AE42*(1+K$5),0)-K43,$AJ43-SUM($M43:T43)))</f>
        <v/>
      </c>
      <c r="V43">
        <f>MAX(0,MIN(ROUND(AF42*(1+L$5),0)-L43,$AJ43-SUM($M43:U43)))</f>
        <v/>
      </c>
      <c r="W43">
        <f>MAX(0,ROUND(W42*(1+C$5),0)-C43-M43)</f>
        <v/>
      </c>
      <c r="X43">
        <f>MAX(0,ROUND(X42*(1+D$5),0)-D43-N43)</f>
        <v/>
      </c>
      <c r="Y43">
        <f>MAX(0,ROUND(Y42*(1+E$5),0)-E43-O43)</f>
        <v/>
      </c>
      <c r="Z43">
        <f>MAX(0,ROUND(Z42*(1+F$5),0)-F43-P43)</f>
        <v/>
      </c>
      <c r="AA43">
        <f>MAX(0,ROUND(AA42*(1+G$5),0)-G43-Q43)</f>
        <v/>
      </c>
      <c r="AB43">
        <f>MAX(0,ROUND(AB42*(1+H$5),0)-H43-R43)</f>
        <v/>
      </c>
      <c r="AC43">
        <f>MAX(0,ROUND(AC42*(1+I$5),0)-I43-S43)</f>
        <v/>
      </c>
      <c r="AD43">
        <f>MAX(0,ROUND(AD42*(1+J$5),0)-J43-T43)</f>
        <v/>
      </c>
      <c r="AE43">
        <f>MAX(0,ROUND(AE42*(1+K$5),0)-K43-U43)</f>
        <v/>
      </c>
      <c r="AF43">
        <f>MAX(0,ROUND(AF42*(1+L$5),0)-L43-V43)</f>
        <v/>
      </c>
      <c r="AG43">
        <f>AH43-(AI42-AI43)</f>
        <v/>
      </c>
      <c r="AH43">
        <f>SUM(C43:V43)</f>
        <v/>
      </c>
      <c r="AI43">
        <f>SUM(W43:AF43)</f>
        <v/>
      </c>
      <c r="AJ43">
        <f>0</f>
        <v/>
      </c>
      <c r="AK43">
        <f>IF(AI42&lt;=0,0,11-SUMPRODUCT(MAX((W42:AF42&gt;0)*(11-(COLUMN(W42:AF42)-COLUMN($V42))))))</f>
        <v/>
      </c>
    </row>
    <row r="44">
      <c r="A44" t="n">
        <v>34</v>
      </c>
      <c r="B44">
        <f>DATE(YEAR(InicioEf),MONTH(InicioEf)+A44-1,1)</f>
        <v/>
      </c>
      <c r="C44">
        <f>MIN(C$6,ROUND(W43*(1+C$5),0))</f>
        <v/>
      </c>
      <c r="D44">
        <f>MIN(D$6,ROUND(X43*(1+D$5),0))</f>
        <v/>
      </c>
      <c r="E44">
        <f>MIN(E$6,ROUND(Y43*(1+E$5),0))</f>
        <v/>
      </c>
      <c r="F44">
        <f>MIN(F$6,ROUND(Z43*(1+F$5),0))</f>
        <v/>
      </c>
      <c r="G44">
        <f>MIN(G$6,ROUND(AA43*(1+G$5),0))</f>
        <v/>
      </c>
      <c r="H44">
        <f>MIN(H$6,ROUND(AB43*(1+H$5),0))</f>
        <v/>
      </c>
      <c r="I44">
        <f>MIN(I$6,ROUND(AC43*(1+I$5),0))</f>
        <v/>
      </c>
      <c r="J44">
        <f>MIN(J$6,ROUND(AD43*(1+J$5),0))</f>
        <v/>
      </c>
      <c r="K44">
        <f>MIN(K$6,ROUND(AE43*(1+K$5),0))</f>
        <v/>
      </c>
      <c r="L44">
        <f>MIN(L$6,ROUND(AF43*(1+L$5),0))</f>
        <v/>
      </c>
      <c r="M44">
        <f>MAX(0,MIN(ROUND(W43*(1+C$5),0)-C44,$AJ44-0))</f>
        <v/>
      </c>
      <c r="N44">
        <f>MAX(0,MIN(ROUND(X43*(1+D$5),0)-D44,$AJ44-SUM($M44:M44)))</f>
        <v/>
      </c>
      <c r="O44">
        <f>MAX(0,MIN(ROUND(Y43*(1+E$5),0)-E44,$AJ44-SUM($M44:N44)))</f>
        <v/>
      </c>
      <c r="P44">
        <f>MAX(0,MIN(ROUND(Z43*(1+F$5),0)-F44,$AJ44-SUM($M44:O44)))</f>
        <v/>
      </c>
      <c r="Q44">
        <f>MAX(0,MIN(ROUND(AA43*(1+G$5),0)-G44,$AJ44-SUM($M44:P44)))</f>
        <v/>
      </c>
      <c r="R44">
        <f>MAX(0,MIN(ROUND(AB43*(1+H$5),0)-H44,$AJ44-SUM($M44:Q44)))</f>
        <v/>
      </c>
      <c r="S44">
        <f>MAX(0,MIN(ROUND(AC43*(1+I$5),0)-I44,$AJ44-SUM($M44:R44)))</f>
        <v/>
      </c>
      <c r="T44">
        <f>MAX(0,MIN(ROUND(AD43*(1+J$5),0)-J44,$AJ44-SUM($M44:S44)))</f>
        <v/>
      </c>
      <c r="U44">
        <f>MAX(0,MIN(ROUND(AE43*(1+K$5),0)-K44,$AJ44-SUM($M44:T44)))</f>
        <v/>
      </c>
      <c r="V44">
        <f>MAX(0,MIN(ROUND(AF43*(1+L$5),0)-L44,$AJ44-SUM($M44:U44)))</f>
        <v/>
      </c>
      <c r="W44">
        <f>MAX(0,ROUND(W43*(1+C$5),0)-C44-M44)</f>
        <v/>
      </c>
      <c r="X44">
        <f>MAX(0,ROUND(X43*(1+D$5),0)-D44-N44)</f>
        <v/>
      </c>
      <c r="Y44">
        <f>MAX(0,ROUND(Y43*(1+E$5),0)-E44-O44)</f>
        <v/>
      </c>
      <c r="Z44">
        <f>MAX(0,ROUND(Z43*(1+F$5),0)-F44-P44)</f>
        <v/>
      </c>
      <c r="AA44">
        <f>MAX(0,ROUND(AA43*(1+G$5),0)-G44-Q44)</f>
        <v/>
      </c>
      <c r="AB44">
        <f>MAX(0,ROUND(AB43*(1+H$5),0)-H44-R44)</f>
        <v/>
      </c>
      <c r="AC44">
        <f>MAX(0,ROUND(AC43*(1+I$5),0)-I44-S44)</f>
        <v/>
      </c>
      <c r="AD44">
        <f>MAX(0,ROUND(AD43*(1+J$5),0)-J44-T44)</f>
        <v/>
      </c>
      <c r="AE44">
        <f>MAX(0,ROUND(AE43*(1+K$5),0)-K44-U44)</f>
        <v/>
      </c>
      <c r="AF44">
        <f>MAX(0,ROUND(AF43*(1+L$5),0)-L44-V44)</f>
        <v/>
      </c>
      <c r="AG44">
        <f>AH44-(AI43-AI44)</f>
        <v/>
      </c>
      <c r="AH44">
        <f>SUM(C44:V44)</f>
        <v/>
      </c>
      <c r="AI44">
        <f>SUM(W44:AF44)</f>
        <v/>
      </c>
      <c r="AJ44">
        <f>0</f>
        <v/>
      </c>
      <c r="AK44">
        <f>IF(AI43&lt;=0,0,11-SUMPRODUCT(MAX((W43:AF43&gt;0)*(11-(COLUMN(W43:AF43)-COLUMN($V43))))))</f>
        <v/>
      </c>
    </row>
    <row r="45">
      <c r="A45" t="n">
        <v>35</v>
      </c>
      <c r="B45">
        <f>DATE(YEAR(InicioEf),MONTH(InicioEf)+A45-1,1)</f>
        <v/>
      </c>
      <c r="C45">
        <f>MIN(C$6,ROUND(W44*(1+C$5),0))</f>
        <v/>
      </c>
      <c r="D45">
        <f>MIN(D$6,ROUND(X44*(1+D$5),0))</f>
        <v/>
      </c>
      <c r="E45">
        <f>MIN(E$6,ROUND(Y44*(1+E$5),0))</f>
        <v/>
      </c>
      <c r="F45">
        <f>MIN(F$6,ROUND(Z44*(1+F$5),0))</f>
        <v/>
      </c>
      <c r="G45">
        <f>MIN(G$6,ROUND(AA44*(1+G$5),0))</f>
        <v/>
      </c>
      <c r="H45">
        <f>MIN(H$6,ROUND(AB44*(1+H$5),0))</f>
        <v/>
      </c>
      <c r="I45">
        <f>MIN(I$6,ROUND(AC44*(1+I$5),0))</f>
        <v/>
      </c>
      <c r="J45">
        <f>MIN(J$6,ROUND(AD44*(1+J$5),0))</f>
        <v/>
      </c>
      <c r="K45">
        <f>MIN(K$6,ROUND(AE44*(1+K$5),0))</f>
        <v/>
      </c>
      <c r="L45">
        <f>MIN(L$6,ROUND(AF44*(1+L$5),0))</f>
        <v/>
      </c>
      <c r="M45">
        <f>MAX(0,MIN(ROUND(W44*(1+C$5),0)-C45,$AJ45-0))</f>
        <v/>
      </c>
      <c r="N45">
        <f>MAX(0,MIN(ROUND(X44*(1+D$5),0)-D45,$AJ45-SUM($M45:M45)))</f>
        <v/>
      </c>
      <c r="O45">
        <f>MAX(0,MIN(ROUND(Y44*(1+E$5),0)-E45,$AJ45-SUM($M45:N45)))</f>
        <v/>
      </c>
      <c r="P45">
        <f>MAX(0,MIN(ROUND(Z44*(1+F$5),0)-F45,$AJ45-SUM($M45:O45)))</f>
        <v/>
      </c>
      <c r="Q45">
        <f>MAX(0,MIN(ROUND(AA44*(1+G$5),0)-G45,$AJ45-SUM($M45:P45)))</f>
        <v/>
      </c>
      <c r="R45">
        <f>MAX(0,MIN(ROUND(AB44*(1+H$5),0)-H45,$AJ45-SUM($M45:Q45)))</f>
        <v/>
      </c>
      <c r="S45">
        <f>MAX(0,MIN(ROUND(AC44*(1+I$5),0)-I45,$AJ45-SUM($M45:R45)))</f>
        <v/>
      </c>
      <c r="T45">
        <f>MAX(0,MIN(ROUND(AD44*(1+J$5),0)-J45,$AJ45-SUM($M45:S45)))</f>
        <v/>
      </c>
      <c r="U45">
        <f>MAX(0,MIN(ROUND(AE44*(1+K$5),0)-K45,$AJ45-SUM($M45:T45)))</f>
        <v/>
      </c>
      <c r="V45">
        <f>MAX(0,MIN(ROUND(AF44*(1+L$5),0)-L45,$AJ45-SUM($M45:U45)))</f>
        <v/>
      </c>
      <c r="W45">
        <f>MAX(0,ROUND(W44*(1+C$5),0)-C45-M45)</f>
        <v/>
      </c>
      <c r="X45">
        <f>MAX(0,ROUND(X44*(1+D$5),0)-D45-N45)</f>
        <v/>
      </c>
      <c r="Y45">
        <f>MAX(0,ROUND(Y44*(1+E$5),0)-E45-O45)</f>
        <v/>
      </c>
      <c r="Z45">
        <f>MAX(0,ROUND(Z44*(1+F$5),0)-F45-P45)</f>
        <v/>
      </c>
      <c r="AA45">
        <f>MAX(0,ROUND(AA44*(1+G$5),0)-G45-Q45)</f>
        <v/>
      </c>
      <c r="AB45">
        <f>MAX(0,ROUND(AB44*(1+H$5),0)-H45-R45)</f>
        <v/>
      </c>
      <c r="AC45">
        <f>MAX(0,ROUND(AC44*(1+I$5),0)-I45-S45)</f>
        <v/>
      </c>
      <c r="AD45">
        <f>MAX(0,ROUND(AD44*(1+J$5),0)-J45-T45)</f>
        <v/>
      </c>
      <c r="AE45">
        <f>MAX(0,ROUND(AE44*(1+K$5),0)-K45-U45)</f>
        <v/>
      </c>
      <c r="AF45">
        <f>MAX(0,ROUND(AF44*(1+L$5),0)-L45-V45)</f>
        <v/>
      </c>
      <c r="AG45">
        <f>AH45-(AI44-AI45)</f>
        <v/>
      </c>
      <c r="AH45">
        <f>SUM(C45:V45)</f>
        <v/>
      </c>
      <c r="AI45">
        <f>SUM(W45:AF45)</f>
        <v/>
      </c>
      <c r="AJ45">
        <f>0</f>
        <v/>
      </c>
      <c r="AK45">
        <f>IF(AI44&lt;=0,0,11-SUMPRODUCT(MAX((W44:AF44&gt;0)*(11-(COLUMN(W44:AF44)-COLUMN($V44))))))</f>
        <v/>
      </c>
    </row>
    <row r="46">
      <c r="A46" t="n">
        <v>36</v>
      </c>
      <c r="B46">
        <f>DATE(YEAR(InicioEf),MONTH(InicioEf)+A46-1,1)</f>
        <v/>
      </c>
      <c r="C46">
        <f>MIN(C$6,ROUND(W45*(1+C$5),0))</f>
        <v/>
      </c>
      <c r="D46">
        <f>MIN(D$6,ROUND(X45*(1+D$5),0))</f>
        <v/>
      </c>
      <c r="E46">
        <f>MIN(E$6,ROUND(Y45*(1+E$5),0))</f>
        <v/>
      </c>
      <c r="F46">
        <f>MIN(F$6,ROUND(Z45*(1+F$5),0))</f>
        <v/>
      </c>
      <c r="G46">
        <f>MIN(G$6,ROUND(AA45*(1+G$5),0))</f>
        <v/>
      </c>
      <c r="H46">
        <f>MIN(H$6,ROUND(AB45*(1+H$5),0))</f>
        <v/>
      </c>
      <c r="I46">
        <f>MIN(I$6,ROUND(AC45*(1+I$5),0))</f>
        <v/>
      </c>
      <c r="J46">
        <f>MIN(J$6,ROUND(AD45*(1+J$5),0))</f>
        <v/>
      </c>
      <c r="K46">
        <f>MIN(K$6,ROUND(AE45*(1+K$5),0))</f>
        <v/>
      </c>
      <c r="L46">
        <f>MIN(L$6,ROUND(AF45*(1+L$5),0))</f>
        <v/>
      </c>
      <c r="M46">
        <f>MAX(0,MIN(ROUND(W45*(1+C$5),0)-C46,$AJ46-0))</f>
        <v/>
      </c>
      <c r="N46">
        <f>MAX(0,MIN(ROUND(X45*(1+D$5),0)-D46,$AJ46-SUM($M46:M46)))</f>
        <v/>
      </c>
      <c r="O46">
        <f>MAX(0,MIN(ROUND(Y45*(1+E$5),0)-E46,$AJ46-SUM($M46:N46)))</f>
        <v/>
      </c>
      <c r="P46">
        <f>MAX(0,MIN(ROUND(Z45*(1+F$5),0)-F46,$AJ46-SUM($M46:O46)))</f>
        <v/>
      </c>
      <c r="Q46">
        <f>MAX(0,MIN(ROUND(AA45*(1+G$5),0)-G46,$AJ46-SUM($M46:P46)))</f>
        <v/>
      </c>
      <c r="R46">
        <f>MAX(0,MIN(ROUND(AB45*(1+H$5),0)-H46,$AJ46-SUM($M46:Q46)))</f>
        <v/>
      </c>
      <c r="S46">
        <f>MAX(0,MIN(ROUND(AC45*(1+I$5),0)-I46,$AJ46-SUM($M46:R46)))</f>
        <v/>
      </c>
      <c r="T46">
        <f>MAX(0,MIN(ROUND(AD45*(1+J$5),0)-J46,$AJ46-SUM($M46:S46)))</f>
        <v/>
      </c>
      <c r="U46">
        <f>MAX(0,MIN(ROUND(AE45*(1+K$5),0)-K46,$AJ46-SUM($M46:T46)))</f>
        <v/>
      </c>
      <c r="V46">
        <f>MAX(0,MIN(ROUND(AF45*(1+L$5),0)-L46,$AJ46-SUM($M46:U46)))</f>
        <v/>
      </c>
      <c r="W46">
        <f>MAX(0,ROUND(W45*(1+C$5),0)-C46-M46)</f>
        <v/>
      </c>
      <c r="X46">
        <f>MAX(0,ROUND(X45*(1+D$5),0)-D46-N46)</f>
        <v/>
      </c>
      <c r="Y46">
        <f>MAX(0,ROUND(Y45*(1+E$5),0)-E46-O46)</f>
        <v/>
      </c>
      <c r="Z46">
        <f>MAX(0,ROUND(Z45*(1+F$5),0)-F46-P46)</f>
        <v/>
      </c>
      <c r="AA46">
        <f>MAX(0,ROUND(AA45*(1+G$5),0)-G46-Q46)</f>
        <v/>
      </c>
      <c r="AB46">
        <f>MAX(0,ROUND(AB45*(1+H$5),0)-H46-R46)</f>
        <v/>
      </c>
      <c r="AC46">
        <f>MAX(0,ROUND(AC45*(1+I$5),0)-I46-S46)</f>
        <v/>
      </c>
      <c r="AD46">
        <f>MAX(0,ROUND(AD45*(1+J$5),0)-J46-T46)</f>
        <v/>
      </c>
      <c r="AE46">
        <f>MAX(0,ROUND(AE45*(1+K$5),0)-K46-U46)</f>
        <v/>
      </c>
      <c r="AF46">
        <f>MAX(0,ROUND(AF45*(1+L$5),0)-L46-V46)</f>
        <v/>
      </c>
      <c r="AG46">
        <f>AH46-(AI45-AI46)</f>
        <v/>
      </c>
      <c r="AH46">
        <f>SUM(C46:V46)</f>
        <v/>
      </c>
      <c r="AI46">
        <f>SUM(W46:AF46)</f>
        <v/>
      </c>
      <c r="AJ46">
        <f>0</f>
        <v/>
      </c>
      <c r="AK46">
        <f>IF(AI45&lt;=0,0,11-SUMPRODUCT(MAX((W45:AF45&gt;0)*(11-(COLUMN(W45:AF45)-COLUMN($V45))))))</f>
        <v/>
      </c>
    </row>
    <row r="47">
      <c r="A47" t="n">
        <v>37</v>
      </c>
      <c r="B47">
        <f>DATE(YEAR(InicioEf),MONTH(InicioEf)+A47-1,1)</f>
        <v/>
      </c>
      <c r="C47">
        <f>MIN(C$6,ROUND(W46*(1+C$5),0))</f>
        <v/>
      </c>
      <c r="D47">
        <f>MIN(D$6,ROUND(X46*(1+D$5),0))</f>
        <v/>
      </c>
      <c r="E47">
        <f>MIN(E$6,ROUND(Y46*(1+E$5),0))</f>
        <v/>
      </c>
      <c r="F47">
        <f>MIN(F$6,ROUND(Z46*(1+F$5),0))</f>
        <v/>
      </c>
      <c r="G47">
        <f>MIN(G$6,ROUND(AA46*(1+G$5),0))</f>
        <v/>
      </c>
      <c r="H47">
        <f>MIN(H$6,ROUND(AB46*(1+H$5),0))</f>
        <v/>
      </c>
      <c r="I47">
        <f>MIN(I$6,ROUND(AC46*(1+I$5),0))</f>
        <v/>
      </c>
      <c r="J47">
        <f>MIN(J$6,ROUND(AD46*(1+J$5),0))</f>
        <v/>
      </c>
      <c r="K47">
        <f>MIN(K$6,ROUND(AE46*(1+K$5),0))</f>
        <v/>
      </c>
      <c r="L47">
        <f>MIN(L$6,ROUND(AF46*(1+L$5),0))</f>
        <v/>
      </c>
      <c r="M47">
        <f>MAX(0,MIN(ROUND(W46*(1+C$5),0)-C47,$AJ47-0))</f>
        <v/>
      </c>
      <c r="N47">
        <f>MAX(0,MIN(ROUND(X46*(1+D$5),0)-D47,$AJ47-SUM($M47:M47)))</f>
        <v/>
      </c>
      <c r="O47">
        <f>MAX(0,MIN(ROUND(Y46*(1+E$5),0)-E47,$AJ47-SUM($M47:N47)))</f>
        <v/>
      </c>
      <c r="P47">
        <f>MAX(0,MIN(ROUND(Z46*(1+F$5),0)-F47,$AJ47-SUM($M47:O47)))</f>
        <v/>
      </c>
      <c r="Q47">
        <f>MAX(0,MIN(ROUND(AA46*(1+G$5),0)-G47,$AJ47-SUM($M47:P47)))</f>
        <v/>
      </c>
      <c r="R47">
        <f>MAX(0,MIN(ROUND(AB46*(1+H$5),0)-H47,$AJ47-SUM($M47:Q47)))</f>
        <v/>
      </c>
      <c r="S47">
        <f>MAX(0,MIN(ROUND(AC46*(1+I$5),0)-I47,$AJ47-SUM($M47:R47)))</f>
        <v/>
      </c>
      <c r="T47">
        <f>MAX(0,MIN(ROUND(AD46*(1+J$5),0)-J47,$AJ47-SUM($M47:S47)))</f>
        <v/>
      </c>
      <c r="U47">
        <f>MAX(0,MIN(ROUND(AE46*(1+K$5),0)-K47,$AJ47-SUM($M47:T47)))</f>
        <v/>
      </c>
      <c r="V47">
        <f>MAX(0,MIN(ROUND(AF46*(1+L$5),0)-L47,$AJ47-SUM($M47:U47)))</f>
        <v/>
      </c>
      <c r="W47">
        <f>MAX(0,ROUND(W46*(1+C$5),0)-C47-M47)</f>
        <v/>
      </c>
      <c r="X47">
        <f>MAX(0,ROUND(X46*(1+D$5),0)-D47-N47)</f>
        <v/>
      </c>
      <c r="Y47">
        <f>MAX(0,ROUND(Y46*(1+E$5),0)-E47-O47)</f>
        <v/>
      </c>
      <c r="Z47">
        <f>MAX(0,ROUND(Z46*(1+F$5),0)-F47-P47)</f>
        <v/>
      </c>
      <c r="AA47">
        <f>MAX(0,ROUND(AA46*(1+G$5),0)-G47-Q47)</f>
        <v/>
      </c>
      <c r="AB47">
        <f>MAX(0,ROUND(AB46*(1+H$5),0)-H47-R47)</f>
        <v/>
      </c>
      <c r="AC47">
        <f>MAX(0,ROUND(AC46*(1+I$5),0)-I47-S47)</f>
        <v/>
      </c>
      <c r="AD47">
        <f>MAX(0,ROUND(AD46*(1+J$5),0)-J47-T47)</f>
        <v/>
      </c>
      <c r="AE47">
        <f>MAX(0,ROUND(AE46*(1+K$5),0)-K47-U47)</f>
        <v/>
      </c>
      <c r="AF47">
        <f>MAX(0,ROUND(AF46*(1+L$5),0)-L47-V47)</f>
        <v/>
      </c>
      <c r="AG47">
        <f>AH47-(AI46-AI47)</f>
        <v/>
      </c>
      <c r="AH47">
        <f>SUM(C47:V47)</f>
        <v/>
      </c>
      <c r="AI47">
        <f>SUM(W47:AF47)</f>
        <v/>
      </c>
      <c r="AJ47">
        <f>0</f>
        <v/>
      </c>
      <c r="AK47">
        <f>IF(AI46&lt;=0,0,11-SUMPRODUCT(MAX((W46:AF46&gt;0)*(11-(COLUMN(W46:AF46)-COLUMN($V46))))))</f>
        <v/>
      </c>
    </row>
    <row r="48">
      <c r="A48" t="n">
        <v>38</v>
      </c>
      <c r="B48">
        <f>DATE(YEAR(InicioEf),MONTH(InicioEf)+A48-1,1)</f>
        <v/>
      </c>
      <c r="C48">
        <f>MIN(C$6,ROUND(W47*(1+C$5),0))</f>
        <v/>
      </c>
      <c r="D48">
        <f>MIN(D$6,ROUND(X47*(1+D$5),0))</f>
        <v/>
      </c>
      <c r="E48">
        <f>MIN(E$6,ROUND(Y47*(1+E$5),0))</f>
        <v/>
      </c>
      <c r="F48">
        <f>MIN(F$6,ROUND(Z47*(1+F$5),0))</f>
        <v/>
      </c>
      <c r="G48">
        <f>MIN(G$6,ROUND(AA47*(1+G$5),0))</f>
        <v/>
      </c>
      <c r="H48">
        <f>MIN(H$6,ROUND(AB47*(1+H$5),0))</f>
        <v/>
      </c>
      <c r="I48">
        <f>MIN(I$6,ROUND(AC47*(1+I$5),0))</f>
        <v/>
      </c>
      <c r="J48">
        <f>MIN(J$6,ROUND(AD47*(1+J$5),0))</f>
        <v/>
      </c>
      <c r="K48">
        <f>MIN(K$6,ROUND(AE47*(1+K$5),0))</f>
        <v/>
      </c>
      <c r="L48">
        <f>MIN(L$6,ROUND(AF47*(1+L$5),0))</f>
        <v/>
      </c>
      <c r="M48">
        <f>MAX(0,MIN(ROUND(W47*(1+C$5),0)-C48,$AJ48-0))</f>
        <v/>
      </c>
      <c r="N48">
        <f>MAX(0,MIN(ROUND(X47*(1+D$5),0)-D48,$AJ48-SUM($M48:M48)))</f>
        <v/>
      </c>
      <c r="O48">
        <f>MAX(0,MIN(ROUND(Y47*(1+E$5),0)-E48,$AJ48-SUM($M48:N48)))</f>
        <v/>
      </c>
      <c r="P48">
        <f>MAX(0,MIN(ROUND(Z47*(1+F$5),0)-F48,$AJ48-SUM($M48:O48)))</f>
        <v/>
      </c>
      <c r="Q48">
        <f>MAX(0,MIN(ROUND(AA47*(1+G$5),0)-G48,$AJ48-SUM($M48:P48)))</f>
        <v/>
      </c>
      <c r="R48">
        <f>MAX(0,MIN(ROUND(AB47*(1+H$5),0)-H48,$AJ48-SUM($M48:Q48)))</f>
        <v/>
      </c>
      <c r="S48">
        <f>MAX(0,MIN(ROUND(AC47*(1+I$5),0)-I48,$AJ48-SUM($M48:R48)))</f>
        <v/>
      </c>
      <c r="T48">
        <f>MAX(0,MIN(ROUND(AD47*(1+J$5),0)-J48,$AJ48-SUM($M48:S48)))</f>
        <v/>
      </c>
      <c r="U48">
        <f>MAX(0,MIN(ROUND(AE47*(1+K$5),0)-K48,$AJ48-SUM($M48:T48)))</f>
        <v/>
      </c>
      <c r="V48">
        <f>MAX(0,MIN(ROUND(AF47*(1+L$5),0)-L48,$AJ48-SUM($M48:U48)))</f>
        <v/>
      </c>
      <c r="W48">
        <f>MAX(0,ROUND(W47*(1+C$5),0)-C48-M48)</f>
        <v/>
      </c>
      <c r="X48">
        <f>MAX(0,ROUND(X47*(1+D$5),0)-D48-N48)</f>
        <v/>
      </c>
      <c r="Y48">
        <f>MAX(0,ROUND(Y47*(1+E$5),0)-E48-O48)</f>
        <v/>
      </c>
      <c r="Z48">
        <f>MAX(0,ROUND(Z47*(1+F$5),0)-F48-P48)</f>
        <v/>
      </c>
      <c r="AA48">
        <f>MAX(0,ROUND(AA47*(1+G$5),0)-G48-Q48)</f>
        <v/>
      </c>
      <c r="AB48">
        <f>MAX(0,ROUND(AB47*(1+H$5),0)-H48-R48)</f>
        <v/>
      </c>
      <c r="AC48">
        <f>MAX(0,ROUND(AC47*(1+I$5),0)-I48-S48)</f>
        <v/>
      </c>
      <c r="AD48">
        <f>MAX(0,ROUND(AD47*(1+J$5),0)-J48-T48)</f>
        <v/>
      </c>
      <c r="AE48">
        <f>MAX(0,ROUND(AE47*(1+K$5),0)-K48-U48)</f>
        <v/>
      </c>
      <c r="AF48">
        <f>MAX(0,ROUND(AF47*(1+L$5),0)-L48-V48)</f>
        <v/>
      </c>
      <c r="AG48">
        <f>AH48-(AI47-AI48)</f>
        <v/>
      </c>
      <c r="AH48">
        <f>SUM(C48:V48)</f>
        <v/>
      </c>
      <c r="AI48">
        <f>SUM(W48:AF48)</f>
        <v/>
      </c>
      <c r="AJ48">
        <f>0</f>
        <v/>
      </c>
      <c r="AK48">
        <f>IF(AI47&lt;=0,0,11-SUMPRODUCT(MAX((W47:AF47&gt;0)*(11-(COLUMN(W47:AF47)-COLUMN($V47))))))</f>
        <v/>
      </c>
    </row>
    <row r="49">
      <c r="A49" t="n">
        <v>39</v>
      </c>
      <c r="B49">
        <f>DATE(YEAR(InicioEf),MONTH(InicioEf)+A49-1,1)</f>
        <v/>
      </c>
      <c r="C49">
        <f>MIN(C$6,ROUND(W48*(1+C$5),0))</f>
        <v/>
      </c>
      <c r="D49">
        <f>MIN(D$6,ROUND(X48*(1+D$5),0))</f>
        <v/>
      </c>
      <c r="E49">
        <f>MIN(E$6,ROUND(Y48*(1+E$5),0))</f>
        <v/>
      </c>
      <c r="F49">
        <f>MIN(F$6,ROUND(Z48*(1+F$5),0))</f>
        <v/>
      </c>
      <c r="G49">
        <f>MIN(G$6,ROUND(AA48*(1+G$5),0))</f>
        <v/>
      </c>
      <c r="H49">
        <f>MIN(H$6,ROUND(AB48*(1+H$5),0))</f>
        <v/>
      </c>
      <c r="I49">
        <f>MIN(I$6,ROUND(AC48*(1+I$5),0))</f>
        <v/>
      </c>
      <c r="J49">
        <f>MIN(J$6,ROUND(AD48*(1+J$5),0))</f>
        <v/>
      </c>
      <c r="K49">
        <f>MIN(K$6,ROUND(AE48*(1+K$5),0))</f>
        <v/>
      </c>
      <c r="L49">
        <f>MIN(L$6,ROUND(AF48*(1+L$5),0))</f>
        <v/>
      </c>
      <c r="M49">
        <f>MAX(0,MIN(ROUND(W48*(1+C$5),0)-C49,$AJ49-0))</f>
        <v/>
      </c>
      <c r="N49">
        <f>MAX(0,MIN(ROUND(X48*(1+D$5),0)-D49,$AJ49-SUM($M49:M49)))</f>
        <v/>
      </c>
      <c r="O49">
        <f>MAX(0,MIN(ROUND(Y48*(1+E$5),0)-E49,$AJ49-SUM($M49:N49)))</f>
        <v/>
      </c>
      <c r="P49">
        <f>MAX(0,MIN(ROUND(Z48*(1+F$5),0)-F49,$AJ49-SUM($M49:O49)))</f>
        <v/>
      </c>
      <c r="Q49">
        <f>MAX(0,MIN(ROUND(AA48*(1+G$5),0)-G49,$AJ49-SUM($M49:P49)))</f>
        <v/>
      </c>
      <c r="R49">
        <f>MAX(0,MIN(ROUND(AB48*(1+H$5),0)-H49,$AJ49-SUM($M49:Q49)))</f>
        <v/>
      </c>
      <c r="S49">
        <f>MAX(0,MIN(ROUND(AC48*(1+I$5),0)-I49,$AJ49-SUM($M49:R49)))</f>
        <v/>
      </c>
      <c r="T49">
        <f>MAX(0,MIN(ROUND(AD48*(1+J$5),0)-J49,$AJ49-SUM($M49:S49)))</f>
        <v/>
      </c>
      <c r="U49">
        <f>MAX(0,MIN(ROUND(AE48*(1+K$5),0)-K49,$AJ49-SUM($M49:T49)))</f>
        <v/>
      </c>
      <c r="V49">
        <f>MAX(0,MIN(ROUND(AF48*(1+L$5),0)-L49,$AJ49-SUM($M49:U49)))</f>
        <v/>
      </c>
      <c r="W49">
        <f>MAX(0,ROUND(W48*(1+C$5),0)-C49-M49)</f>
        <v/>
      </c>
      <c r="X49">
        <f>MAX(0,ROUND(X48*(1+D$5),0)-D49-N49)</f>
        <v/>
      </c>
      <c r="Y49">
        <f>MAX(0,ROUND(Y48*(1+E$5),0)-E49-O49)</f>
        <v/>
      </c>
      <c r="Z49">
        <f>MAX(0,ROUND(Z48*(1+F$5),0)-F49-P49)</f>
        <v/>
      </c>
      <c r="AA49">
        <f>MAX(0,ROUND(AA48*(1+G$5),0)-G49-Q49)</f>
        <v/>
      </c>
      <c r="AB49">
        <f>MAX(0,ROUND(AB48*(1+H$5),0)-H49-R49)</f>
        <v/>
      </c>
      <c r="AC49">
        <f>MAX(0,ROUND(AC48*(1+I$5),0)-I49-S49)</f>
        <v/>
      </c>
      <c r="AD49">
        <f>MAX(0,ROUND(AD48*(1+J$5),0)-J49-T49)</f>
        <v/>
      </c>
      <c r="AE49">
        <f>MAX(0,ROUND(AE48*(1+K$5),0)-K49-U49)</f>
        <v/>
      </c>
      <c r="AF49">
        <f>MAX(0,ROUND(AF48*(1+L$5),0)-L49-V49)</f>
        <v/>
      </c>
      <c r="AG49">
        <f>AH49-(AI48-AI49)</f>
        <v/>
      </c>
      <c r="AH49">
        <f>SUM(C49:V49)</f>
        <v/>
      </c>
      <c r="AI49">
        <f>SUM(W49:AF49)</f>
        <v/>
      </c>
      <c r="AJ49">
        <f>0</f>
        <v/>
      </c>
      <c r="AK49">
        <f>IF(AI48&lt;=0,0,11-SUMPRODUCT(MAX((W48:AF48&gt;0)*(11-(COLUMN(W48:AF48)-COLUMN($V48))))))</f>
        <v/>
      </c>
    </row>
    <row r="50">
      <c r="A50" t="n">
        <v>40</v>
      </c>
      <c r="B50">
        <f>DATE(YEAR(InicioEf),MONTH(InicioEf)+A50-1,1)</f>
        <v/>
      </c>
      <c r="C50">
        <f>MIN(C$6,ROUND(W49*(1+C$5),0))</f>
        <v/>
      </c>
      <c r="D50">
        <f>MIN(D$6,ROUND(X49*(1+D$5),0))</f>
        <v/>
      </c>
      <c r="E50">
        <f>MIN(E$6,ROUND(Y49*(1+E$5),0))</f>
        <v/>
      </c>
      <c r="F50">
        <f>MIN(F$6,ROUND(Z49*(1+F$5),0))</f>
        <v/>
      </c>
      <c r="G50">
        <f>MIN(G$6,ROUND(AA49*(1+G$5),0))</f>
        <v/>
      </c>
      <c r="H50">
        <f>MIN(H$6,ROUND(AB49*(1+H$5),0))</f>
        <v/>
      </c>
      <c r="I50">
        <f>MIN(I$6,ROUND(AC49*(1+I$5),0))</f>
        <v/>
      </c>
      <c r="J50">
        <f>MIN(J$6,ROUND(AD49*(1+J$5),0))</f>
        <v/>
      </c>
      <c r="K50">
        <f>MIN(K$6,ROUND(AE49*(1+K$5),0))</f>
        <v/>
      </c>
      <c r="L50">
        <f>MIN(L$6,ROUND(AF49*(1+L$5),0))</f>
        <v/>
      </c>
      <c r="M50">
        <f>MAX(0,MIN(ROUND(W49*(1+C$5),0)-C50,$AJ50-0))</f>
        <v/>
      </c>
      <c r="N50">
        <f>MAX(0,MIN(ROUND(X49*(1+D$5),0)-D50,$AJ50-SUM($M50:M50)))</f>
        <v/>
      </c>
      <c r="O50">
        <f>MAX(0,MIN(ROUND(Y49*(1+E$5),0)-E50,$AJ50-SUM($M50:N50)))</f>
        <v/>
      </c>
      <c r="P50">
        <f>MAX(0,MIN(ROUND(Z49*(1+F$5),0)-F50,$AJ50-SUM($M50:O50)))</f>
        <v/>
      </c>
      <c r="Q50">
        <f>MAX(0,MIN(ROUND(AA49*(1+G$5),0)-G50,$AJ50-SUM($M50:P50)))</f>
        <v/>
      </c>
      <c r="R50">
        <f>MAX(0,MIN(ROUND(AB49*(1+H$5),0)-H50,$AJ50-SUM($M50:Q50)))</f>
        <v/>
      </c>
      <c r="S50">
        <f>MAX(0,MIN(ROUND(AC49*(1+I$5),0)-I50,$AJ50-SUM($M50:R50)))</f>
        <v/>
      </c>
      <c r="T50">
        <f>MAX(0,MIN(ROUND(AD49*(1+J$5),0)-J50,$AJ50-SUM($M50:S50)))</f>
        <v/>
      </c>
      <c r="U50">
        <f>MAX(0,MIN(ROUND(AE49*(1+K$5),0)-K50,$AJ50-SUM($M50:T50)))</f>
        <v/>
      </c>
      <c r="V50">
        <f>MAX(0,MIN(ROUND(AF49*(1+L$5),0)-L50,$AJ50-SUM($M50:U50)))</f>
        <v/>
      </c>
      <c r="W50">
        <f>MAX(0,ROUND(W49*(1+C$5),0)-C50-M50)</f>
        <v/>
      </c>
      <c r="X50">
        <f>MAX(0,ROUND(X49*(1+D$5),0)-D50-N50)</f>
        <v/>
      </c>
      <c r="Y50">
        <f>MAX(0,ROUND(Y49*(1+E$5),0)-E50-O50)</f>
        <v/>
      </c>
      <c r="Z50">
        <f>MAX(0,ROUND(Z49*(1+F$5),0)-F50-P50)</f>
        <v/>
      </c>
      <c r="AA50">
        <f>MAX(0,ROUND(AA49*(1+G$5),0)-G50-Q50)</f>
        <v/>
      </c>
      <c r="AB50">
        <f>MAX(0,ROUND(AB49*(1+H$5),0)-H50-R50)</f>
        <v/>
      </c>
      <c r="AC50">
        <f>MAX(0,ROUND(AC49*(1+I$5),0)-I50-S50)</f>
        <v/>
      </c>
      <c r="AD50">
        <f>MAX(0,ROUND(AD49*(1+J$5),0)-J50-T50)</f>
        <v/>
      </c>
      <c r="AE50">
        <f>MAX(0,ROUND(AE49*(1+K$5),0)-K50-U50)</f>
        <v/>
      </c>
      <c r="AF50">
        <f>MAX(0,ROUND(AF49*(1+L$5),0)-L50-V50)</f>
        <v/>
      </c>
      <c r="AG50">
        <f>AH50-(AI49-AI50)</f>
        <v/>
      </c>
      <c r="AH50">
        <f>SUM(C50:V50)</f>
        <v/>
      </c>
      <c r="AI50">
        <f>SUM(W50:AF50)</f>
        <v/>
      </c>
      <c r="AJ50">
        <f>0</f>
        <v/>
      </c>
      <c r="AK50">
        <f>IF(AI49&lt;=0,0,11-SUMPRODUCT(MAX((W49:AF49&gt;0)*(11-(COLUMN(W49:AF49)-COLUMN($V49))))))</f>
        <v/>
      </c>
    </row>
    <row r="51">
      <c r="A51" t="n">
        <v>41</v>
      </c>
      <c r="B51">
        <f>DATE(YEAR(InicioEf),MONTH(InicioEf)+A51-1,1)</f>
        <v/>
      </c>
      <c r="C51">
        <f>MIN(C$6,ROUND(W50*(1+C$5),0))</f>
        <v/>
      </c>
      <c r="D51">
        <f>MIN(D$6,ROUND(X50*(1+D$5),0))</f>
        <v/>
      </c>
      <c r="E51">
        <f>MIN(E$6,ROUND(Y50*(1+E$5),0))</f>
        <v/>
      </c>
      <c r="F51">
        <f>MIN(F$6,ROUND(Z50*(1+F$5),0))</f>
        <v/>
      </c>
      <c r="G51">
        <f>MIN(G$6,ROUND(AA50*(1+G$5),0))</f>
        <v/>
      </c>
      <c r="H51">
        <f>MIN(H$6,ROUND(AB50*(1+H$5),0))</f>
        <v/>
      </c>
      <c r="I51">
        <f>MIN(I$6,ROUND(AC50*(1+I$5),0))</f>
        <v/>
      </c>
      <c r="J51">
        <f>MIN(J$6,ROUND(AD50*(1+J$5),0))</f>
        <v/>
      </c>
      <c r="K51">
        <f>MIN(K$6,ROUND(AE50*(1+K$5),0))</f>
        <v/>
      </c>
      <c r="L51">
        <f>MIN(L$6,ROUND(AF50*(1+L$5),0))</f>
        <v/>
      </c>
      <c r="M51">
        <f>MAX(0,MIN(ROUND(W50*(1+C$5),0)-C51,$AJ51-0))</f>
        <v/>
      </c>
      <c r="N51">
        <f>MAX(0,MIN(ROUND(X50*(1+D$5),0)-D51,$AJ51-SUM($M51:M51)))</f>
        <v/>
      </c>
      <c r="O51">
        <f>MAX(0,MIN(ROUND(Y50*(1+E$5),0)-E51,$AJ51-SUM($M51:N51)))</f>
        <v/>
      </c>
      <c r="P51">
        <f>MAX(0,MIN(ROUND(Z50*(1+F$5),0)-F51,$AJ51-SUM($M51:O51)))</f>
        <v/>
      </c>
      <c r="Q51">
        <f>MAX(0,MIN(ROUND(AA50*(1+G$5),0)-G51,$AJ51-SUM($M51:P51)))</f>
        <v/>
      </c>
      <c r="R51">
        <f>MAX(0,MIN(ROUND(AB50*(1+H$5),0)-H51,$AJ51-SUM($M51:Q51)))</f>
        <v/>
      </c>
      <c r="S51">
        <f>MAX(0,MIN(ROUND(AC50*(1+I$5),0)-I51,$AJ51-SUM($M51:R51)))</f>
        <v/>
      </c>
      <c r="T51">
        <f>MAX(0,MIN(ROUND(AD50*(1+J$5),0)-J51,$AJ51-SUM($M51:S51)))</f>
        <v/>
      </c>
      <c r="U51">
        <f>MAX(0,MIN(ROUND(AE50*(1+K$5),0)-K51,$AJ51-SUM($M51:T51)))</f>
        <v/>
      </c>
      <c r="V51">
        <f>MAX(0,MIN(ROUND(AF50*(1+L$5),0)-L51,$AJ51-SUM($M51:U51)))</f>
        <v/>
      </c>
      <c r="W51">
        <f>MAX(0,ROUND(W50*(1+C$5),0)-C51-M51)</f>
        <v/>
      </c>
      <c r="X51">
        <f>MAX(0,ROUND(X50*(1+D$5),0)-D51-N51)</f>
        <v/>
      </c>
      <c r="Y51">
        <f>MAX(0,ROUND(Y50*(1+E$5),0)-E51-O51)</f>
        <v/>
      </c>
      <c r="Z51">
        <f>MAX(0,ROUND(Z50*(1+F$5),0)-F51-P51)</f>
        <v/>
      </c>
      <c r="AA51">
        <f>MAX(0,ROUND(AA50*(1+G$5),0)-G51-Q51)</f>
        <v/>
      </c>
      <c r="AB51">
        <f>MAX(0,ROUND(AB50*(1+H$5),0)-H51-R51)</f>
        <v/>
      </c>
      <c r="AC51">
        <f>MAX(0,ROUND(AC50*(1+I$5),0)-I51-S51)</f>
        <v/>
      </c>
      <c r="AD51">
        <f>MAX(0,ROUND(AD50*(1+J$5),0)-J51-T51)</f>
        <v/>
      </c>
      <c r="AE51">
        <f>MAX(0,ROUND(AE50*(1+K$5),0)-K51-U51)</f>
        <v/>
      </c>
      <c r="AF51">
        <f>MAX(0,ROUND(AF50*(1+L$5),0)-L51-V51)</f>
        <v/>
      </c>
      <c r="AG51">
        <f>AH51-(AI50-AI51)</f>
        <v/>
      </c>
      <c r="AH51">
        <f>SUM(C51:V51)</f>
        <v/>
      </c>
      <c r="AI51">
        <f>SUM(W51:AF51)</f>
        <v/>
      </c>
      <c r="AJ51">
        <f>0</f>
        <v/>
      </c>
      <c r="AK51">
        <f>IF(AI50&lt;=0,0,11-SUMPRODUCT(MAX((W50:AF50&gt;0)*(11-(COLUMN(W50:AF50)-COLUMN($V50))))))</f>
        <v/>
      </c>
    </row>
    <row r="52">
      <c r="A52" t="n">
        <v>42</v>
      </c>
      <c r="B52">
        <f>DATE(YEAR(InicioEf),MONTH(InicioEf)+A52-1,1)</f>
        <v/>
      </c>
      <c r="C52">
        <f>MIN(C$6,ROUND(W51*(1+C$5),0))</f>
        <v/>
      </c>
      <c r="D52">
        <f>MIN(D$6,ROUND(X51*(1+D$5),0))</f>
        <v/>
      </c>
      <c r="E52">
        <f>MIN(E$6,ROUND(Y51*(1+E$5),0))</f>
        <v/>
      </c>
      <c r="F52">
        <f>MIN(F$6,ROUND(Z51*(1+F$5),0))</f>
        <v/>
      </c>
      <c r="G52">
        <f>MIN(G$6,ROUND(AA51*(1+G$5),0))</f>
        <v/>
      </c>
      <c r="H52">
        <f>MIN(H$6,ROUND(AB51*(1+H$5),0))</f>
        <v/>
      </c>
      <c r="I52">
        <f>MIN(I$6,ROUND(AC51*(1+I$5),0))</f>
        <v/>
      </c>
      <c r="J52">
        <f>MIN(J$6,ROUND(AD51*(1+J$5),0))</f>
        <v/>
      </c>
      <c r="K52">
        <f>MIN(K$6,ROUND(AE51*(1+K$5),0))</f>
        <v/>
      </c>
      <c r="L52">
        <f>MIN(L$6,ROUND(AF51*(1+L$5),0))</f>
        <v/>
      </c>
      <c r="M52">
        <f>MAX(0,MIN(ROUND(W51*(1+C$5),0)-C52,$AJ52-0))</f>
        <v/>
      </c>
      <c r="N52">
        <f>MAX(0,MIN(ROUND(X51*(1+D$5),0)-D52,$AJ52-SUM($M52:M52)))</f>
        <v/>
      </c>
      <c r="O52">
        <f>MAX(0,MIN(ROUND(Y51*(1+E$5),0)-E52,$AJ52-SUM($M52:N52)))</f>
        <v/>
      </c>
      <c r="P52">
        <f>MAX(0,MIN(ROUND(Z51*(1+F$5),0)-F52,$AJ52-SUM($M52:O52)))</f>
        <v/>
      </c>
      <c r="Q52">
        <f>MAX(0,MIN(ROUND(AA51*(1+G$5),0)-G52,$AJ52-SUM($M52:P52)))</f>
        <v/>
      </c>
      <c r="R52">
        <f>MAX(0,MIN(ROUND(AB51*(1+H$5),0)-H52,$AJ52-SUM($M52:Q52)))</f>
        <v/>
      </c>
      <c r="S52">
        <f>MAX(0,MIN(ROUND(AC51*(1+I$5),0)-I52,$AJ52-SUM($M52:R52)))</f>
        <v/>
      </c>
      <c r="T52">
        <f>MAX(0,MIN(ROUND(AD51*(1+J$5),0)-J52,$AJ52-SUM($M52:S52)))</f>
        <v/>
      </c>
      <c r="U52">
        <f>MAX(0,MIN(ROUND(AE51*(1+K$5),0)-K52,$AJ52-SUM($M52:T52)))</f>
        <v/>
      </c>
      <c r="V52">
        <f>MAX(0,MIN(ROUND(AF51*(1+L$5),0)-L52,$AJ52-SUM($M52:U52)))</f>
        <v/>
      </c>
      <c r="W52">
        <f>MAX(0,ROUND(W51*(1+C$5),0)-C52-M52)</f>
        <v/>
      </c>
      <c r="X52">
        <f>MAX(0,ROUND(X51*(1+D$5),0)-D52-N52)</f>
        <v/>
      </c>
      <c r="Y52">
        <f>MAX(0,ROUND(Y51*(1+E$5),0)-E52-O52)</f>
        <v/>
      </c>
      <c r="Z52">
        <f>MAX(0,ROUND(Z51*(1+F$5),0)-F52-P52)</f>
        <v/>
      </c>
      <c r="AA52">
        <f>MAX(0,ROUND(AA51*(1+G$5),0)-G52-Q52)</f>
        <v/>
      </c>
      <c r="AB52">
        <f>MAX(0,ROUND(AB51*(1+H$5),0)-H52-R52)</f>
        <v/>
      </c>
      <c r="AC52">
        <f>MAX(0,ROUND(AC51*(1+I$5),0)-I52-S52)</f>
        <v/>
      </c>
      <c r="AD52">
        <f>MAX(0,ROUND(AD51*(1+J$5),0)-J52-T52)</f>
        <v/>
      </c>
      <c r="AE52">
        <f>MAX(0,ROUND(AE51*(1+K$5),0)-K52-U52)</f>
        <v/>
      </c>
      <c r="AF52">
        <f>MAX(0,ROUND(AF51*(1+L$5),0)-L52-V52)</f>
        <v/>
      </c>
      <c r="AG52">
        <f>AH52-(AI51-AI52)</f>
        <v/>
      </c>
      <c r="AH52">
        <f>SUM(C52:V52)</f>
        <v/>
      </c>
      <c r="AI52">
        <f>SUM(W52:AF52)</f>
        <v/>
      </c>
      <c r="AJ52">
        <f>0</f>
        <v/>
      </c>
      <c r="AK52">
        <f>IF(AI51&lt;=0,0,11-SUMPRODUCT(MAX((W51:AF51&gt;0)*(11-(COLUMN(W51:AF51)-COLUMN($V51))))))</f>
        <v/>
      </c>
    </row>
    <row r="53">
      <c r="A53" t="n">
        <v>43</v>
      </c>
      <c r="B53">
        <f>DATE(YEAR(InicioEf),MONTH(InicioEf)+A53-1,1)</f>
        <v/>
      </c>
      <c r="C53">
        <f>MIN(C$6,ROUND(W52*(1+C$5),0))</f>
        <v/>
      </c>
      <c r="D53">
        <f>MIN(D$6,ROUND(X52*(1+D$5),0))</f>
        <v/>
      </c>
      <c r="E53">
        <f>MIN(E$6,ROUND(Y52*(1+E$5),0))</f>
        <v/>
      </c>
      <c r="F53">
        <f>MIN(F$6,ROUND(Z52*(1+F$5),0))</f>
        <v/>
      </c>
      <c r="G53">
        <f>MIN(G$6,ROUND(AA52*(1+G$5),0))</f>
        <v/>
      </c>
      <c r="H53">
        <f>MIN(H$6,ROUND(AB52*(1+H$5),0))</f>
        <v/>
      </c>
      <c r="I53">
        <f>MIN(I$6,ROUND(AC52*(1+I$5),0))</f>
        <v/>
      </c>
      <c r="J53">
        <f>MIN(J$6,ROUND(AD52*(1+J$5),0))</f>
        <v/>
      </c>
      <c r="K53">
        <f>MIN(K$6,ROUND(AE52*(1+K$5),0))</f>
        <v/>
      </c>
      <c r="L53">
        <f>MIN(L$6,ROUND(AF52*(1+L$5),0))</f>
        <v/>
      </c>
      <c r="M53">
        <f>MAX(0,MIN(ROUND(W52*(1+C$5),0)-C53,$AJ53-0))</f>
        <v/>
      </c>
      <c r="N53">
        <f>MAX(0,MIN(ROUND(X52*(1+D$5),0)-D53,$AJ53-SUM($M53:M53)))</f>
        <v/>
      </c>
      <c r="O53">
        <f>MAX(0,MIN(ROUND(Y52*(1+E$5),0)-E53,$AJ53-SUM($M53:N53)))</f>
        <v/>
      </c>
      <c r="P53">
        <f>MAX(0,MIN(ROUND(Z52*(1+F$5),0)-F53,$AJ53-SUM($M53:O53)))</f>
        <v/>
      </c>
      <c r="Q53">
        <f>MAX(0,MIN(ROUND(AA52*(1+G$5),0)-G53,$AJ53-SUM($M53:P53)))</f>
        <v/>
      </c>
      <c r="R53">
        <f>MAX(0,MIN(ROUND(AB52*(1+H$5),0)-H53,$AJ53-SUM($M53:Q53)))</f>
        <v/>
      </c>
      <c r="S53">
        <f>MAX(0,MIN(ROUND(AC52*(1+I$5),0)-I53,$AJ53-SUM($M53:R53)))</f>
        <v/>
      </c>
      <c r="T53">
        <f>MAX(0,MIN(ROUND(AD52*(1+J$5),0)-J53,$AJ53-SUM($M53:S53)))</f>
        <v/>
      </c>
      <c r="U53">
        <f>MAX(0,MIN(ROUND(AE52*(1+K$5),0)-K53,$AJ53-SUM($M53:T53)))</f>
        <v/>
      </c>
      <c r="V53">
        <f>MAX(0,MIN(ROUND(AF52*(1+L$5),0)-L53,$AJ53-SUM($M53:U53)))</f>
        <v/>
      </c>
      <c r="W53">
        <f>MAX(0,ROUND(W52*(1+C$5),0)-C53-M53)</f>
        <v/>
      </c>
      <c r="X53">
        <f>MAX(0,ROUND(X52*(1+D$5),0)-D53-N53)</f>
        <v/>
      </c>
      <c r="Y53">
        <f>MAX(0,ROUND(Y52*(1+E$5),0)-E53-O53)</f>
        <v/>
      </c>
      <c r="Z53">
        <f>MAX(0,ROUND(Z52*(1+F$5),0)-F53-P53)</f>
        <v/>
      </c>
      <c r="AA53">
        <f>MAX(0,ROUND(AA52*(1+G$5),0)-G53-Q53)</f>
        <v/>
      </c>
      <c r="AB53">
        <f>MAX(0,ROUND(AB52*(1+H$5),0)-H53-R53)</f>
        <v/>
      </c>
      <c r="AC53">
        <f>MAX(0,ROUND(AC52*(1+I$5),0)-I53-S53)</f>
        <v/>
      </c>
      <c r="AD53">
        <f>MAX(0,ROUND(AD52*(1+J$5),0)-J53-T53)</f>
        <v/>
      </c>
      <c r="AE53">
        <f>MAX(0,ROUND(AE52*(1+K$5),0)-K53-U53)</f>
        <v/>
      </c>
      <c r="AF53">
        <f>MAX(0,ROUND(AF52*(1+L$5),0)-L53-V53)</f>
        <v/>
      </c>
      <c r="AG53">
        <f>AH53-(AI52-AI53)</f>
        <v/>
      </c>
      <c r="AH53">
        <f>SUM(C53:V53)</f>
        <v/>
      </c>
      <c r="AI53">
        <f>SUM(W53:AF53)</f>
        <v/>
      </c>
      <c r="AJ53">
        <f>0</f>
        <v/>
      </c>
      <c r="AK53">
        <f>IF(AI52&lt;=0,0,11-SUMPRODUCT(MAX((W52:AF52&gt;0)*(11-(COLUMN(W52:AF52)-COLUMN($V52))))))</f>
        <v/>
      </c>
    </row>
    <row r="54">
      <c r="A54" t="n">
        <v>44</v>
      </c>
      <c r="B54">
        <f>DATE(YEAR(InicioEf),MONTH(InicioEf)+A54-1,1)</f>
        <v/>
      </c>
      <c r="C54">
        <f>MIN(C$6,ROUND(W53*(1+C$5),0))</f>
        <v/>
      </c>
      <c r="D54">
        <f>MIN(D$6,ROUND(X53*(1+D$5),0))</f>
        <v/>
      </c>
      <c r="E54">
        <f>MIN(E$6,ROUND(Y53*(1+E$5),0))</f>
        <v/>
      </c>
      <c r="F54">
        <f>MIN(F$6,ROUND(Z53*(1+F$5),0))</f>
        <v/>
      </c>
      <c r="G54">
        <f>MIN(G$6,ROUND(AA53*(1+G$5),0))</f>
        <v/>
      </c>
      <c r="H54">
        <f>MIN(H$6,ROUND(AB53*(1+H$5),0))</f>
        <v/>
      </c>
      <c r="I54">
        <f>MIN(I$6,ROUND(AC53*(1+I$5),0))</f>
        <v/>
      </c>
      <c r="J54">
        <f>MIN(J$6,ROUND(AD53*(1+J$5),0))</f>
        <v/>
      </c>
      <c r="K54">
        <f>MIN(K$6,ROUND(AE53*(1+K$5),0))</f>
        <v/>
      </c>
      <c r="L54">
        <f>MIN(L$6,ROUND(AF53*(1+L$5),0))</f>
        <v/>
      </c>
      <c r="M54">
        <f>MAX(0,MIN(ROUND(W53*(1+C$5),0)-C54,$AJ54-0))</f>
        <v/>
      </c>
      <c r="N54">
        <f>MAX(0,MIN(ROUND(X53*(1+D$5),0)-D54,$AJ54-SUM($M54:M54)))</f>
        <v/>
      </c>
      <c r="O54">
        <f>MAX(0,MIN(ROUND(Y53*(1+E$5),0)-E54,$AJ54-SUM($M54:N54)))</f>
        <v/>
      </c>
      <c r="P54">
        <f>MAX(0,MIN(ROUND(Z53*(1+F$5),0)-F54,$AJ54-SUM($M54:O54)))</f>
        <v/>
      </c>
      <c r="Q54">
        <f>MAX(0,MIN(ROUND(AA53*(1+G$5),0)-G54,$AJ54-SUM($M54:P54)))</f>
        <v/>
      </c>
      <c r="R54">
        <f>MAX(0,MIN(ROUND(AB53*(1+H$5),0)-H54,$AJ54-SUM($M54:Q54)))</f>
        <v/>
      </c>
      <c r="S54">
        <f>MAX(0,MIN(ROUND(AC53*(1+I$5),0)-I54,$AJ54-SUM($M54:R54)))</f>
        <v/>
      </c>
      <c r="T54">
        <f>MAX(0,MIN(ROUND(AD53*(1+J$5),0)-J54,$AJ54-SUM($M54:S54)))</f>
        <v/>
      </c>
      <c r="U54">
        <f>MAX(0,MIN(ROUND(AE53*(1+K$5),0)-K54,$AJ54-SUM($M54:T54)))</f>
        <v/>
      </c>
      <c r="V54">
        <f>MAX(0,MIN(ROUND(AF53*(1+L$5),0)-L54,$AJ54-SUM($M54:U54)))</f>
        <v/>
      </c>
      <c r="W54">
        <f>MAX(0,ROUND(W53*(1+C$5),0)-C54-M54)</f>
        <v/>
      </c>
      <c r="X54">
        <f>MAX(0,ROUND(X53*(1+D$5),0)-D54-N54)</f>
        <v/>
      </c>
      <c r="Y54">
        <f>MAX(0,ROUND(Y53*(1+E$5),0)-E54-O54)</f>
        <v/>
      </c>
      <c r="Z54">
        <f>MAX(0,ROUND(Z53*(1+F$5),0)-F54-P54)</f>
        <v/>
      </c>
      <c r="AA54">
        <f>MAX(0,ROUND(AA53*(1+G$5),0)-G54-Q54)</f>
        <v/>
      </c>
      <c r="AB54">
        <f>MAX(0,ROUND(AB53*(1+H$5),0)-H54-R54)</f>
        <v/>
      </c>
      <c r="AC54">
        <f>MAX(0,ROUND(AC53*(1+I$5),0)-I54-S54)</f>
        <v/>
      </c>
      <c r="AD54">
        <f>MAX(0,ROUND(AD53*(1+J$5),0)-J54-T54)</f>
        <v/>
      </c>
      <c r="AE54">
        <f>MAX(0,ROUND(AE53*(1+K$5),0)-K54-U54)</f>
        <v/>
      </c>
      <c r="AF54">
        <f>MAX(0,ROUND(AF53*(1+L$5),0)-L54-V54)</f>
        <v/>
      </c>
      <c r="AG54">
        <f>AH54-(AI53-AI54)</f>
        <v/>
      </c>
      <c r="AH54">
        <f>SUM(C54:V54)</f>
        <v/>
      </c>
      <c r="AI54">
        <f>SUM(W54:AF54)</f>
        <v/>
      </c>
      <c r="AJ54">
        <f>0</f>
        <v/>
      </c>
      <c r="AK54">
        <f>IF(AI53&lt;=0,0,11-SUMPRODUCT(MAX((W53:AF53&gt;0)*(11-(COLUMN(W53:AF53)-COLUMN($V53))))))</f>
        <v/>
      </c>
    </row>
    <row r="55">
      <c r="A55" t="n">
        <v>45</v>
      </c>
      <c r="B55">
        <f>DATE(YEAR(InicioEf),MONTH(InicioEf)+A55-1,1)</f>
        <v/>
      </c>
      <c r="C55">
        <f>MIN(C$6,ROUND(W54*(1+C$5),0))</f>
        <v/>
      </c>
      <c r="D55">
        <f>MIN(D$6,ROUND(X54*(1+D$5),0))</f>
        <v/>
      </c>
      <c r="E55">
        <f>MIN(E$6,ROUND(Y54*(1+E$5),0))</f>
        <v/>
      </c>
      <c r="F55">
        <f>MIN(F$6,ROUND(Z54*(1+F$5),0))</f>
        <v/>
      </c>
      <c r="G55">
        <f>MIN(G$6,ROUND(AA54*(1+G$5),0))</f>
        <v/>
      </c>
      <c r="H55">
        <f>MIN(H$6,ROUND(AB54*(1+H$5),0))</f>
        <v/>
      </c>
      <c r="I55">
        <f>MIN(I$6,ROUND(AC54*(1+I$5),0))</f>
        <v/>
      </c>
      <c r="J55">
        <f>MIN(J$6,ROUND(AD54*(1+J$5),0))</f>
        <v/>
      </c>
      <c r="K55">
        <f>MIN(K$6,ROUND(AE54*(1+K$5),0))</f>
        <v/>
      </c>
      <c r="L55">
        <f>MIN(L$6,ROUND(AF54*(1+L$5),0))</f>
        <v/>
      </c>
      <c r="M55">
        <f>MAX(0,MIN(ROUND(W54*(1+C$5),0)-C55,$AJ55-0))</f>
        <v/>
      </c>
      <c r="N55">
        <f>MAX(0,MIN(ROUND(X54*(1+D$5),0)-D55,$AJ55-SUM($M55:M55)))</f>
        <v/>
      </c>
      <c r="O55">
        <f>MAX(0,MIN(ROUND(Y54*(1+E$5),0)-E55,$AJ55-SUM($M55:N55)))</f>
        <v/>
      </c>
      <c r="P55">
        <f>MAX(0,MIN(ROUND(Z54*(1+F$5),0)-F55,$AJ55-SUM($M55:O55)))</f>
        <v/>
      </c>
      <c r="Q55">
        <f>MAX(0,MIN(ROUND(AA54*(1+G$5),0)-G55,$AJ55-SUM($M55:P55)))</f>
        <v/>
      </c>
      <c r="R55">
        <f>MAX(0,MIN(ROUND(AB54*(1+H$5),0)-H55,$AJ55-SUM($M55:Q55)))</f>
        <v/>
      </c>
      <c r="S55">
        <f>MAX(0,MIN(ROUND(AC54*(1+I$5),0)-I55,$AJ55-SUM($M55:R55)))</f>
        <v/>
      </c>
      <c r="T55">
        <f>MAX(0,MIN(ROUND(AD54*(1+J$5),0)-J55,$AJ55-SUM($M55:S55)))</f>
        <v/>
      </c>
      <c r="U55">
        <f>MAX(0,MIN(ROUND(AE54*(1+K$5),0)-K55,$AJ55-SUM($M55:T55)))</f>
        <v/>
      </c>
      <c r="V55">
        <f>MAX(0,MIN(ROUND(AF54*(1+L$5),0)-L55,$AJ55-SUM($M55:U55)))</f>
        <v/>
      </c>
      <c r="W55">
        <f>MAX(0,ROUND(W54*(1+C$5),0)-C55-M55)</f>
        <v/>
      </c>
      <c r="X55">
        <f>MAX(0,ROUND(X54*(1+D$5),0)-D55-N55)</f>
        <v/>
      </c>
      <c r="Y55">
        <f>MAX(0,ROUND(Y54*(1+E$5),0)-E55-O55)</f>
        <v/>
      </c>
      <c r="Z55">
        <f>MAX(0,ROUND(Z54*(1+F$5),0)-F55-P55)</f>
        <v/>
      </c>
      <c r="AA55">
        <f>MAX(0,ROUND(AA54*(1+G$5),0)-G55-Q55)</f>
        <v/>
      </c>
      <c r="AB55">
        <f>MAX(0,ROUND(AB54*(1+H$5),0)-H55-R55)</f>
        <v/>
      </c>
      <c r="AC55">
        <f>MAX(0,ROUND(AC54*(1+I$5),0)-I55-S55)</f>
        <v/>
      </c>
      <c r="AD55">
        <f>MAX(0,ROUND(AD54*(1+J$5),0)-J55-T55)</f>
        <v/>
      </c>
      <c r="AE55">
        <f>MAX(0,ROUND(AE54*(1+K$5),0)-K55-U55)</f>
        <v/>
      </c>
      <c r="AF55">
        <f>MAX(0,ROUND(AF54*(1+L$5),0)-L55-V55)</f>
        <v/>
      </c>
      <c r="AG55">
        <f>AH55-(AI54-AI55)</f>
        <v/>
      </c>
      <c r="AH55">
        <f>SUM(C55:V55)</f>
        <v/>
      </c>
      <c r="AI55">
        <f>SUM(W55:AF55)</f>
        <v/>
      </c>
      <c r="AJ55">
        <f>0</f>
        <v/>
      </c>
      <c r="AK55">
        <f>IF(AI54&lt;=0,0,11-SUMPRODUCT(MAX((W54:AF54&gt;0)*(11-(COLUMN(W54:AF54)-COLUMN($V54))))))</f>
        <v/>
      </c>
    </row>
    <row r="56">
      <c r="A56" t="n">
        <v>46</v>
      </c>
      <c r="B56">
        <f>DATE(YEAR(InicioEf),MONTH(InicioEf)+A56-1,1)</f>
        <v/>
      </c>
      <c r="C56">
        <f>MIN(C$6,ROUND(W55*(1+C$5),0))</f>
        <v/>
      </c>
      <c r="D56">
        <f>MIN(D$6,ROUND(X55*(1+D$5),0))</f>
        <v/>
      </c>
      <c r="E56">
        <f>MIN(E$6,ROUND(Y55*(1+E$5),0))</f>
        <v/>
      </c>
      <c r="F56">
        <f>MIN(F$6,ROUND(Z55*(1+F$5),0))</f>
        <v/>
      </c>
      <c r="G56">
        <f>MIN(G$6,ROUND(AA55*(1+G$5),0))</f>
        <v/>
      </c>
      <c r="H56">
        <f>MIN(H$6,ROUND(AB55*(1+H$5),0))</f>
        <v/>
      </c>
      <c r="I56">
        <f>MIN(I$6,ROUND(AC55*(1+I$5),0))</f>
        <v/>
      </c>
      <c r="J56">
        <f>MIN(J$6,ROUND(AD55*(1+J$5),0))</f>
        <v/>
      </c>
      <c r="K56">
        <f>MIN(K$6,ROUND(AE55*(1+K$5),0))</f>
        <v/>
      </c>
      <c r="L56">
        <f>MIN(L$6,ROUND(AF55*(1+L$5),0))</f>
        <v/>
      </c>
      <c r="M56">
        <f>MAX(0,MIN(ROUND(W55*(1+C$5),0)-C56,$AJ56-0))</f>
        <v/>
      </c>
      <c r="N56">
        <f>MAX(0,MIN(ROUND(X55*(1+D$5),0)-D56,$AJ56-SUM($M56:M56)))</f>
        <v/>
      </c>
      <c r="O56">
        <f>MAX(0,MIN(ROUND(Y55*(1+E$5),0)-E56,$AJ56-SUM($M56:N56)))</f>
        <v/>
      </c>
      <c r="P56">
        <f>MAX(0,MIN(ROUND(Z55*(1+F$5),0)-F56,$AJ56-SUM($M56:O56)))</f>
        <v/>
      </c>
      <c r="Q56">
        <f>MAX(0,MIN(ROUND(AA55*(1+G$5),0)-G56,$AJ56-SUM($M56:P56)))</f>
        <v/>
      </c>
      <c r="R56">
        <f>MAX(0,MIN(ROUND(AB55*(1+H$5),0)-H56,$AJ56-SUM($M56:Q56)))</f>
        <v/>
      </c>
      <c r="S56">
        <f>MAX(0,MIN(ROUND(AC55*(1+I$5),0)-I56,$AJ56-SUM($M56:R56)))</f>
        <v/>
      </c>
      <c r="T56">
        <f>MAX(0,MIN(ROUND(AD55*(1+J$5),0)-J56,$AJ56-SUM($M56:S56)))</f>
        <v/>
      </c>
      <c r="U56">
        <f>MAX(0,MIN(ROUND(AE55*(1+K$5),0)-K56,$AJ56-SUM($M56:T56)))</f>
        <v/>
      </c>
      <c r="V56">
        <f>MAX(0,MIN(ROUND(AF55*(1+L$5),0)-L56,$AJ56-SUM($M56:U56)))</f>
        <v/>
      </c>
      <c r="W56">
        <f>MAX(0,ROUND(W55*(1+C$5),0)-C56-M56)</f>
        <v/>
      </c>
      <c r="X56">
        <f>MAX(0,ROUND(X55*(1+D$5),0)-D56-N56)</f>
        <v/>
      </c>
      <c r="Y56">
        <f>MAX(0,ROUND(Y55*(1+E$5),0)-E56-O56)</f>
        <v/>
      </c>
      <c r="Z56">
        <f>MAX(0,ROUND(Z55*(1+F$5),0)-F56-P56)</f>
        <v/>
      </c>
      <c r="AA56">
        <f>MAX(0,ROUND(AA55*(1+G$5),0)-G56-Q56)</f>
        <v/>
      </c>
      <c r="AB56">
        <f>MAX(0,ROUND(AB55*(1+H$5),0)-H56-R56)</f>
        <v/>
      </c>
      <c r="AC56">
        <f>MAX(0,ROUND(AC55*(1+I$5),0)-I56-S56)</f>
        <v/>
      </c>
      <c r="AD56">
        <f>MAX(0,ROUND(AD55*(1+J$5),0)-J56-T56)</f>
        <v/>
      </c>
      <c r="AE56">
        <f>MAX(0,ROUND(AE55*(1+K$5),0)-K56-U56)</f>
        <v/>
      </c>
      <c r="AF56">
        <f>MAX(0,ROUND(AF55*(1+L$5),0)-L56-V56)</f>
        <v/>
      </c>
      <c r="AG56">
        <f>AH56-(AI55-AI56)</f>
        <v/>
      </c>
      <c r="AH56">
        <f>SUM(C56:V56)</f>
        <v/>
      </c>
      <c r="AI56">
        <f>SUM(W56:AF56)</f>
        <v/>
      </c>
      <c r="AJ56">
        <f>0</f>
        <v/>
      </c>
      <c r="AK56">
        <f>IF(AI55&lt;=0,0,11-SUMPRODUCT(MAX((W55:AF55&gt;0)*(11-(COLUMN(W55:AF55)-COLUMN($V55))))))</f>
        <v/>
      </c>
    </row>
    <row r="57">
      <c r="A57" t="n">
        <v>47</v>
      </c>
      <c r="B57">
        <f>DATE(YEAR(InicioEf),MONTH(InicioEf)+A57-1,1)</f>
        <v/>
      </c>
      <c r="C57">
        <f>MIN(C$6,ROUND(W56*(1+C$5),0))</f>
        <v/>
      </c>
      <c r="D57">
        <f>MIN(D$6,ROUND(X56*(1+D$5),0))</f>
        <v/>
      </c>
      <c r="E57">
        <f>MIN(E$6,ROUND(Y56*(1+E$5),0))</f>
        <v/>
      </c>
      <c r="F57">
        <f>MIN(F$6,ROUND(Z56*(1+F$5),0))</f>
        <v/>
      </c>
      <c r="G57">
        <f>MIN(G$6,ROUND(AA56*(1+G$5),0))</f>
        <v/>
      </c>
      <c r="H57">
        <f>MIN(H$6,ROUND(AB56*(1+H$5),0))</f>
        <v/>
      </c>
      <c r="I57">
        <f>MIN(I$6,ROUND(AC56*(1+I$5),0))</f>
        <v/>
      </c>
      <c r="J57">
        <f>MIN(J$6,ROUND(AD56*(1+J$5),0))</f>
        <v/>
      </c>
      <c r="K57">
        <f>MIN(K$6,ROUND(AE56*(1+K$5),0))</f>
        <v/>
      </c>
      <c r="L57">
        <f>MIN(L$6,ROUND(AF56*(1+L$5),0))</f>
        <v/>
      </c>
      <c r="M57">
        <f>MAX(0,MIN(ROUND(W56*(1+C$5),0)-C57,$AJ57-0))</f>
        <v/>
      </c>
      <c r="N57">
        <f>MAX(0,MIN(ROUND(X56*(1+D$5),0)-D57,$AJ57-SUM($M57:M57)))</f>
        <v/>
      </c>
      <c r="O57">
        <f>MAX(0,MIN(ROUND(Y56*(1+E$5),0)-E57,$AJ57-SUM($M57:N57)))</f>
        <v/>
      </c>
      <c r="P57">
        <f>MAX(0,MIN(ROUND(Z56*(1+F$5),0)-F57,$AJ57-SUM($M57:O57)))</f>
        <v/>
      </c>
      <c r="Q57">
        <f>MAX(0,MIN(ROUND(AA56*(1+G$5),0)-G57,$AJ57-SUM($M57:P57)))</f>
        <v/>
      </c>
      <c r="R57">
        <f>MAX(0,MIN(ROUND(AB56*(1+H$5),0)-H57,$AJ57-SUM($M57:Q57)))</f>
        <v/>
      </c>
      <c r="S57">
        <f>MAX(0,MIN(ROUND(AC56*(1+I$5),0)-I57,$AJ57-SUM($M57:R57)))</f>
        <v/>
      </c>
      <c r="T57">
        <f>MAX(0,MIN(ROUND(AD56*(1+J$5),0)-J57,$AJ57-SUM($M57:S57)))</f>
        <v/>
      </c>
      <c r="U57">
        <f>MAX(0,MIN(ROUND(AE56*(1+K$5),0)-K57,$AJ57-SUM($M57:T57)))</f>
        <v/>
      </c>
      <c r="V57">
        <f>MAX(0,MIN(ROUND(AF56*(1+L$5),0)-L57,$AJ57-SUM($M57:U57)))</f>
        <v/>
      </c>
      <c r="W57">
        <f>MAX(0,ROUND(W56*(1+C$5),0)-C57-M57)</f>
        <v/>
      </c>
      <c r="X57">
        <f>MAX(0,ROUND(X56*(1+D$5),0)-D57-N57)</f>
        <v/>
      </c>
      <c r="Y57">
        <f>MAX(0,ROUND(Y56*(1+E$5),0)-E57-O57)</f>
        <v/>
      </c>
      <c r="Z57">
        <f>MAX(0,ROUND(Z56*(1+F$5),0)-F57-P57)</f>
        <v/>
      </c>
      <c r="AA57">
        <f>MAX(0,ROUND(AA56*(1+G$5),0)-G57-Q57)</f>
        <v/>
      </c>
      <c r="AB57">
        <f>MAX(0,ROUND(AB56*(1+H$5),0)-H57-R57)</f>
        <v/>
      </c>
      <c r="AC57">
        <f>MAX(0,ROUND(AC56*(1+I$5),0)-I57-S57)</f>
        <v/>
      </c>
      <c r="AD57">
        <f>MAX(0,ROUND(AD56*(1+J$5),0)-J57-T57)</f>
        <v/>
      </c>
      <c r="AE57">
        <f>MAX(0,ROUND(AE56*(1+K$5),0)-K57-U57)</f>
        <v/>
      </c>
      <c r="AF57">
        <f>MAX(0,ROUND(AF56*(1+L$5),0)-L57-V57)</f>
        <v/>
      </c>
      <c r="AG57">
        <f>AH57-(AI56-AI57)</f>
        <v/>
      </c>
      <c r="AH57">
        <f>SUM(C57:V57)</f>
        <v/>
      </c>
      <c r="AI57">
        <f>SUM(W57:AF57)</f>
        <v/>
      </c>
      <c r="AJ57">
        <f>0</f>
        <v/>
      </c>
      <c r="AK57">
        <f>IF(AI56&lt;=0,0,11-SUMPRODUCT(MAX((W56:AF56&gt;0)*(11-(COLUMN(W56:AF56)-COLUMN($V56))))))</f>
        <v/>
      </c>
    </row>
    <row r="58">
      <c r="A58" t="n">
        <v>48</v>
      </c>
      <c r="B58">
        <f>DATE(YEAR(InicioEf),MONTH(InicioEf)+A58-1,1)</f>
        <v/>
      </c>
      <c r="C58">
        <f>MIN(C$6,ROUND(W57*(1+C$5),0))</f>
        <v/>
      </c>
      <c r="D58">
        <f>MIN(D$6,ROUND(X57*(1+D$5),0))</f>
        <v/>
      </c>
      <c r="E58">
        <f>MIN(E$6,ROUND(Y57*(1+E$5),0))</f>
        <v/>
      </c>
      <c r="F58">
        <f>MIN(F$6,ROUND(Z57*(1+F$5),0))</f>
        <v/>
      </c>
      <c r="G58">
        <f>MIN(G$6,ROUND(AA57*(1+G$5),0))</f>
        <v/>
      </c>
      <c r="H58">
        <f>MIN(H$6,ROUND(AB57*(1+H$5),0))</f>
        <v/>
      </c>
      <c r="I58">
        <f>MIN(I$6,ROUND(AC57*(1+I$5),0))</f>
        <v/>
      </c>
      <c r="J58">
        <f>MIN(J$6,ROUND(AD57*(1+J$5),0))</f>
        <v/>
      </c>
      <c r="K58">
        <f>MIN(K$6,ROUND(AE57*(1+K$5),0))</f>
        <v/>
      </c>
      <c r="L58">
        <f>MIN(L$6,ROUND(AF57*(1+L$5),0))</f>
        <v/>
      </c>
      <c r="M58">
        <f>MAX(0,MIN(ROUND(W57*(1+C$5),0)-C58,$AJ58-0))</f>
        <v/>
      </c>
      <c r="N58">
        <f>MAX(0,MIN(ROUND(X57*(1+D$5),0)-D58,$AJ58-SUM($M58:M58)))</f>
        <v/>
      </c>
      <c r="O58">
        <f>MAX(0,MIN(ROUND(Y57*(1+E$5),0)-E58,$AJ58-SUM($M58:N58)))</f>
        <v/>
      </c>
      <c r="P58">
        <f>MAX(0,MIN(ROUND(Z57*(1+F$5),0)-F58,$AJ58-SUM($M58:O58)))</f>
        <v/>
      </c>
      <c r="Q58">
        <f>MAX(0,MIN(ROUND(AA57*(1+G$5),0)-G58,$AJ58-SUM($M58:P58)))</f>
        <v/>
      </c>
      <c r="R58">
        <f>MAX(0,MIN(ROUND(AB57*(1+H$5),0)-H58,$AJ58-SUM($M58:Q58)))</f>
        <v/>
      </c>
      <c r="S58">
        <f>MAX(0,MIN(ROUND(AC57*(1+I$5),0)-I58,$AJ58-SUM($M58:R58)))</f>
        <v/>
      </c>
      <c r="T58">
        <f>MAX(0,MIN(ROUND(AD57*(1+J$5),0)-J58,$AJ58-SUM($M58:S58)))</f>
        <v/>
      </c>
      <c r="U58">
        <f>MAX(0,MIN(ROUND(AE57*(1+K$5),0)-K58,$AJ58-SUM($M58:T58)))</f>
        <v/>
      </c>
      <c r="V58">
        <f>MAX(0,MIN(ROUND(AF57*(1+L$5),0)-L58,$AJ58-SUM($M58:U58)))</f>
        <v/>
      </c>
      <c r="W58">
        <f>MAX(0,ROUND(W57*(1+C$5),0)-C58-M58)</f>
        <v/>
      </c>
      <c r="X58">
        <f>MAX(0,ROUND(X57*(1+D$5),0)-D58-N58)</f>
        <v/>
      </c>
      <c r="Y58">
        <f>MAX(0,ROUND(Y57*(1+E$5),0)-E58-O58)</f>
        <v/>
      </c>
      <c r="Z58">
        <f>MAX(0,ROUND(Z57*(1+F$5),0)-F58-P58)</f>
        <v/>
      </c>
      <c r="AA58">
        <f>MAX(0,ROUND(AA57*(1+G$5),0)-G58-Q58)</f>
        <v/>
      </c>
      <c r="AB58">
        <f>MAX(0,ROUND(AB57*(1+H$5),0)-H58-R58)</f>
        <v/>
      </c>
      <c r="AC58">
        <f>MAX(0,ROUND(AC57*(1+I$5),0)-I58-S58)</f>
        <v/>
      </c>
      <c r="AD58">
        <f>MAX(0,ROUND(AD57*(1+J$5),0)-J58-T58)</f>
        <v/>
      </c>
      <c r="AE58">
        <f>MAX(0,ROUND(AE57*(1+K$5),0)-K58-U58)</f>
        <v/>
      </c>
      <c r="AF58">
        <f>MAX(0,ROUND(AF57*(1+L$5),0)-L58-V58)</f>
        <v/>
      </c>
      <c r="AG58">
        <f>AH58-(AI57-AI58)</f>
        <v/>
      </c>
      <c r="AH58">
        <f>SUM(C58:V58)</f>
        <v/>
      </c>
      <c r="AI58">
        <f>SUM(W58:AF58)</f>
        <v/>
      </c>
      <c r="AJ58">
        <f>0</f>
        <v/>
      </c>
      <c r="AK58">
        <f>IF(AI57&lt;=0,0,11-SUMPRODUCT(MAX((W57:AF57&gt;0)*(11-(COLUMN(W57:AF57)-COLUMN($V57))))))</f>
        <v/>
      </c>
    </row>
    <row r="59">
      <c r="A59" t="n">
        <v>49</v>
      </c>
      <c r="B59">
        <f>DATE(YEAR(InicioEf),MONTH(InicioEf)+A59-1,1)</f>
        <v/>
      </c>
      <c r="C59">
        <f>MIN(C$6,ROUND(W58*(1+C$5),0))</f>
        <v/>
      </c>
      <c r="D59">
        <f>MIN(D$6,ROUND(X58*(1+D$5),0))</f>
        <v/>
      </c>
      <c r="E59">
        <f>MIN(E$6,ROUND(Y58*(1+E$5),0))</f>
        <v/>
      </c>
      <c r="F59">
        <f>MIN(F$6,ROUND(Z58*(1+F$5),0))</f>
        <v/>
      </c>
      <c r="G59">
        <f>MIN(G$6,ROUND(AA58*(1+G$5),0))</f>
        <v/>
      </c>
      <c r="H59">
        <f>MIN(H$6,ROUND(AB58*(1+H$5),0))</f>
        <v/>
      </c>
      <c r="I59">
        <f>MIN(I$6,ROUND(AC58*(1+I$5),0))</f>
        <v/>
      </c>
      <c r="J59">
        <f>MIN(J$6,ROUND(AD58*(1+J$5),0))</f>
        <v/>
      </c>
      <c r="K59">
        <f>MIN(K$6,ROUND(AE58*(1+K$5),0))</f>
        <v/>
      </c>
      <c r="L59">
        <f>MIN(L$6,ROUND(AF58*(1+L$5),0))</f>
        <v/>
      </c>
      <c r="M59">
        <f>MAX(0,MIN(ROUND(W58*(1+C$5),0)-C59,$AJ59-0))</f>
        <v/>
      </c>
      <c r="N59">
        <f>MAX(0,MIN(ROUND(X58*(1+D$5),0)-D59,$AJ59-SUM($M59:M59)))</f>
        <v/>
      </c>
      <c r="O59">
        <f>MAX(0,MIN(ROUND(Y58*(1+E$5),0)-E59,$AJ59-SUM($M59:N59)))</f>
        <v/>
      </c>
      <c r="P59">
        <f>MAX(0,MIN(ROUND(Z58*(1+F$5),0)-F59,$AJ59-SUM($M59:O59)))</f>
        <v/>
      </c>
      <c r="Q59">
        <f>MAX(0,MIN(ROUND(AA58*(1+G$5),0)-G59,$AJ59-SUM($M59:P59)))</f>
        <v/>
      </c>
      <c r="R59">
        <f>MAX(0,MIN(ROUND(AB58*(1+H$5),0)-H59,$AJ59-SUM($M59:Q59)))</f>
        <v/>
      </c>
      <c r="S59">
        <f>MAX(0,MIN(ROUND(AC58*(1+I$5),0)-I59,$AJ59-SUM($M59:R59)))</f>
        <v/>
      </c>
      <c r="T59">
        <f>MAX(0,MIN(ROUND(AD58*(1+J$5),0)-J59,$AJ59-SUM($M59:S59)))</f>
        <v/>
      </c>
      <c r="U59">
        <f>MAX(0,MIN(ROUND(AE58*(1+K$5),0)-K59,$AJ59-SUM($M59:T59)))</f>
        <v/>
      </c>
      <c r="V59">
        <f>MAX(0,MIN(ROUND(AF58*(1+L$5),0)-L59,$AJ59-SUM($M59:U59)))</f>
        <v/>
      </c>
      <c r="W59">
        <f>MAX(0,ROUND(W58*(1+C$5),0)-C59-M59)</f>
        <v/>
      </c>
      <c r="X59">
        <f>MAX(0,ROUND(X58*(1+D$5),0)-D59-N59)</f>
        <v/>
      </c>
      <c r="Y59">
        <f>MAX(0,ROUND(Y58*(1+E$5),0)-E59-O59)</f>
        <v/>
      </c>
      <c r="Z59">
        <f>MAX(0,ROUND(Z58*(1+F$5),0)-F59-P59)</f>
        <v/>
      </c>
      <c r="AA59">
        <f>MAX(0,ROUND(AA58*(1+G$5),0)-G59-Q59)</f>
        <v/>
      </c>
      <c r="AB59">
        <f>MAX(0,ROUND(AB58*(1+H$5),0)-H59-R59)</f>
        <v/>
      </c>
      <c r="AC59">
        <f>MAX(0,ROUND(AC58*(1+I$5),0)-I59-S59)</f>
        <v/>
      </c>
      <c r="AD59">
        <f>MAX(0,ROUND(AD58*(1+J$5),0)-J59-T59)</f>
        <v/>
      </c>
      <c r="AE59">
        <f>MAX(0,ROUND(AE58*(1+K$5),0)-K59-U59)</f>
        <v/>
      </c>
      <c r="AF59">
        <f>MAX(0,ROUND(AF58*(1+L$5),0)-L59-V59)</f>
        <v/>
      </c>
      <c r="AG59">
        <f>AH59-(AI58-AI59)</f>
        <v/>
      </c>
      <c r="AH59">
        <f>SUM(C59:V59)</f>
        <v/>
      </c>
      <c r="AI59">
        <f>SUM(W59:AF59)</f>
        <v/>
      </c>
      <c r="AJ59">
        <f>0</f>
        <v/>
      </c>
      <c r="AK59">
        <f>IF(AI58&lt;=0,0,11-SUMPRODUCT(MAX((W58:AF58&gt;0)*(11-(COLUMN(W58:AF58)-COLUMN($V58))))))</f>
        <v/>
      </c>
    </row>
    <row r="60">
      <c r="A60" t="n">
        <v>50</v>
      </c>
      <c r="B60">
        <f>DATE(YEAR(InicioEf),MONTH(InicioEf)+A60-1,1)</f>
        <v/>
      </c>
      <c r="C60">
        <f>MIN(C$6,ROUND(W59*(1+C$5),0))</f>
        <v/>
      </c>
      <c r="D60">
        <f>MIN(D$6,ROUND(X59*(1+D$5),0))</f>
        <v/>
      </c>
      <c r="E60">
        <f>MIN(E$6,ROUND(Y59*(1+E$5),0))</f>
        <v/>
      </c>
      <c r="F60">
        <f>MIN(F$6,ROUND(Z59*(1+F$5),0))</f>
        <v/>
      </c>
      <c r="G60">
        <f>MIN(G$6,ROUND(AA59*(1+G$5),0))</f>
        <v/>
      </c>
      <c r="H60">
        <f>MIN(H$6,ROUND(AB59*(1+H$5),0))</f>
        <v/>
      </c>
      <c r="I60">
        <f>MIN(I$6,ROUND(AC59*(1+I$5),0))</f>
        <v/>
      </c>
      <c r="J60">
        <f>MIN(J$6,ROUND(AD59*(1+J$5),0))</f>
        <v/>
      </c>
      <c r="K60">
        <f>MIN(K$6,ROUND(AE59*(1+K$5),0))</f>
        <v/>
      </c>
      <c r="L60">
        <f>MIN(L$6,ROUND(AF59*(1+L$5),0))</f>
        <v/>
      </c>
      <c r="M60">
        <f>MAX(0,MIN(ROUND(W59*(1+C$5),0)-C60,$AJ60-0))</f>
        <v/>
      </c>
      <c r="N60">
        <f>MAX(0,MIN(ROUND(X59*(1+D$5),0)-D60,$AJ60-SUM($M60:M60)))</f>
        <v/>
      </c>
      <c r="O60">
        <f>MAX(0,MIN(ROUND(Y59*(1+E$5),0)-E60,$AJ60-SUM($M60:N60)))</f>
        <v/>
      </c>
      <c r="P60">
        <f>MAX(0,MIN(ROUND(Z59*(1+F$5),0)-F60,$AJ60-SUM($M60:O60)))</f>
        <v/>
      </c>
      <c r="Q60">
        <f>MAX(0,MIN(ROUND(AA59*(1+G$5),0)-G60,$AJ60-SUM($M60:P60)))</f>
        <v/>
      </c>
      <c r="R60">
        <f>MAX(0,MIN(ROUND(AB59*(1+H$5),0)-H60,$AJ60-SUM($M60:Q60)))</f>
        <v/>
      </c>
      <c r="S60">
        <f>MAX(0,MIN(ROUND(AC59*(1+I$5),0)-I60,$AJ60-SUM($M60:R60)))</f>
        <v/>
      </c>
      <c r="T60">
        <f>MAX(0,MIN(ROUND(AD59*(1+J$5),0)-J60,$AJ60-SUM($M60:S60)))</f>
        <v/>
      </c>
      <c r="U60">
        <f>MAX(0,MIN(ROUND(AE59*(1+K$5),0)-K60,$AJ60-SUM($M60:T60)))</f>
        <v/>
      </c>
      <c r="V60">
        <f>MAX(0,MIN(ROUND(AF59*(1+L$5),0)-L60,$AJ60-SUM($M60:U60)))</f>
        <v/>
      </c>
      <c r="W60">
        <f>MAX(0,ROUND(W59*(1+C$5),0)-C60-M60)</f>
        <v/>
      </c>
      <c r="X60">
        <f>MAX(0,ROUND(X59*(1+D$5),0)-D60-N60)</f>
        <v/>
      </c>
      <c r="Y60">
        <f>MAX(0,ROUND(Y59*(1+E$5),0)-E60-O60)</f>
        <v/>
      </c>
      <c r="Z60">
        <f>MAX(0,ROUND(Z59*(1+F$5),0)-F60-P60)</f>
        <v/>
      </c>
      <c r="AA60">
        <f>MAX(0,ROUND(AA59*(1+G$5),0)-G60-Q60)</f>
        <v/>
      </c>
      <c r="AB60">
        <f>MAX(0,ROUND(AB59*(1+H$5),0)-H60-R60)</f>
        <v/>
      </c>
      <c r="AC60">
        <f>MAX(0,ROUND(AC59*(1+I$5),0)-I60-S60)</f>
        <v/>
      </c>
      <c r="AD60">
        <f>MAX(0,ROUND(AD59*(1+J$5),0)-J60-T60)</f>
        <v/>
      </c>
      <c r="AE60">
        <f>MAX(0,ROUND(AE59*(1+K$5),0)-K60-U60)</f>
        <v/>
      </c>
      <c r="AF60">
        <f>MAX(0,ROUND(AF59*(1+L$5),0)-L60-V60)</f>
        <v/>
      </c>
      <c r="AG60">
        <f>AH60-(AI59-AI60)</f>
        <v/>
      </c>
      <c r="AH60">
        <f>SUM(C60:V60)</f>
        <v/>
      </c>
      <c r="AI60">
        <f>SUM(W60:AF60)</f>
        <v/>
      </c>
      <c r="AJ60">
        <f>0</f>
        <v/>
      </c>
      <c r="AK60">
        <f>IF(AI59&lt;=0,0,11-SUMPRODUCT(MAX((W59:AF59&gt;0)*(11-(COLUMN(W59:AF59)-COLUMN($V59))))))</f>
        <v/>
      </c>
    </row>
    <row r="61">
      <c r="A61" t="n">
        <v>51</v>
      </c>
      <c r="B61">
        <f>DATE(YEAR(InicioEf),MONTH(InicioEf)+A61-1,1)</f>
        <v/>
      </c>
      <c r="C61">
        <f>MIN(C$6,ROUND(W60*(1+C$5),0))</f>
        <v/>
      </c>
      <c r="D61">
        <f>MIN(D$6,ROUND(X60*(1+D$5),0))</f>
        <v/>
      </c>
      <c r="E61">
        <f>MIN(E$6,ROUND(Y60*(1+E$5),0))</f>
        <v/>
      </c>
      <c r="F61">
        <f>MIN(F$6,ROUND(Z60*(1+F$5),0))</f>
        <v/>
      </c>
      <c r="G61">
        <f>MIN(G$6,ROUND(AA60*(1+G$5),0))</f>
        <v/>
      </c>
      <c r="H61">
        <f>MIN(H$6,ROUND(AB60*(1+H$5),0))</f>
        <v/>
      </c>
      <c r="I61">
        <f>MIN(I$6,ROUND(AC60*(1+I$5),0))</f>
        <v/>
      </c>
      <c r="J61">
        <f>MIN(J$6,ROUND(AD60*(1+J$5),0))</f>
        <v/>
      </c>
      <c r="K61">
        <f>MIN(K$6,ROUND(AE60*(1+K$5),0))</f>
        <v/>
      </c>
      <c r="L61">
        <f>MIN(L$6,ROUND(AF60*(1+L$5),0))</f>
        <v/>
      </c>
      <c r="M61">
        <f>MAX(0,MIN(ROUND(W60*(1+C$5),0)-C61,$AJ61-0))</f>
        <v/>
      </c>
      <c r="N61">
        <f>MAX(0,MIN(ROUND(X60*(1+D$5),0)-D61,$AJ61-SUM($M61:M61)))</f>
        <v/>
      </c>
      <c r="O61">
        <f>MAX(0,MIN(ROUND(Y60*(1+E$5),0)-E61,$AJ61-SUM($M61:N61)))</f>
        <v/>
      </c>
      <c r="P61">
        <f>MAX(0,MIN(ROUND(Z60*(1+F$5),0)-F61,$AJ61-SUM($M61:O61)))</f>
        <v/>
      </c>
      <c r="Q61">
        <f>MAX(0,MIN(ROUND(AA60*(1+G$5),0)-G61,$AJ61-SUM($M61:P61)))</f>
        <v/>
      </c>
      <c r="R61">
        <f>MAX(0,MIN(ROUND(AB60*(1+H$5),0)-H61,$AJ61-SUM($M61:Q61)))</f>
        <v/>
      </c>
      <c r="S61">
        <f>MAX(0,MIN(ROUND(AC60*(1+I$5),0)-I61,$AJ61-SUM($M61:R61)))</f>
        <v/>
      </c>
      <c r="T61">
        <f>MAX(0,MIN(ROUND(AD60*(1+J$5),0)-J61,$AJ61-SUM($M61:S61)))</f>
        <v/>
      </c>
      <c r="U61">
        <f>MAX(0,MIN(ROUND(AE60*(1+K$5),0)-K61,$AJ61-SUM($M61:T61)))</f>
        <v/>
      </c>
      <c r="V61">
        <f>MAX(0,MIN(ROUND(AF60*(1+L$5),0)-L61,$AJ61-SUM($M61:U61)))</f>
        <v/>
      </c>
      <c r="W61">
        <f>MAX(0,ROUND(W60*(1+C$5),0)-C61-M61)</f>
        <v/>
      </c>
      <c r="X61">
        <f>MAX(0,ROUND(X60*(1+D$5),0)-D61-N61)</f>
        <v/>
      </c>
      <c r="Y61">
        <f>MAX(0,ROUND(Y60*(1+E$5),0)-E61-O61)</f>
        <v/>
      </c>
      <c r="Z61">
        <f>MAX(0,ROUND(Z60*(1+F$5),0)-F61-P61)</f>
        <v/>
      </c>
      <c r="AA61">
        <f>MAX(0,ROUND(AA60*(1+G$5),0)-G61-Q61)</f>
        <v/>
      </c>
      <c r="AB61">
        <f>MAX(0,ROUND(AB60*(1+H$5),0)-H61-R61)</f>
        <v/>
      </c>
      <c r="AC61">
        <f>MAX(0,ROUND(AC60*(1+I$5),0)-I61-S61)</f>
        <v/>
      </c>
      <c r="AD61">
        <f>MAX(0,ROUND(AD60*(1+J$5),0)-J61-T61)</f>
        <v/>
      </c>
      <c r="AE61">
        <f>MAX(0,ROUND(AE60*(1+K$5),0)-K61-U61)</f>
        <v/>
      </c>
      <c r="AF61">
        <f>MAX(0,ROUND(AF60*(1+L$5),0)-L61-V61)</f>
        <v/>
      </c>
      <c r="AG61">
        <f>AH61-(AI60-AI61)</f>
        <v/>
      </c>
      <c r="AH61">
        <f>SUM(C61:V61)</f>
        <v/>
      </c>
      <c r="AI61">
        <f>SUM(W61:AF61)</f>
        <v/>
      </c>
      <c r="AJ61">
        <f>0</f>
        <v/>
      </c>
      <c r="AK61">
        <f>IF(AI60&lt;=0,0,11-SUMPRODUCT(MAX((W60:AF60&gt;0)*(11-(COLUMN(W60:AF60)-COLUMN($V60))))))</f>
        <v/>
      </c>
    </row>
    <row r="62">
      <c r="A62" t="n">
        <v>52</v>
      </c>
      <c r="B62">
        <f>DATE(YEAR(InicioEf),MONTH(InicioEf)+A62-1,1)</f>
        <v/>
      </c>
      <c r="C62">
        <f>MIN(C$6,ROUND(W61*(1+C$5),0))</f>
        <v/>
      </c>
      <c r="D62">
        <f>MIN(D$6,ROUND(X61*(1+D$5),0))</f>
        <v/>
      </c>
      <c r="E62">
        <f>MIN(E$6,ROUND(Y61*(1+E$5),0))</f>
        <v/>
      </c>
      <c r="F62">
        <f>MIN(F$6,ROUND(Z61*(1+F$5),0))</f>
        <v/>
      </c>
      <c r="G62">
        <f>MIN(G$6,ROUND(AA61*(1+G$5),0))</f>
        <v/>
      </c>
      <c r="H62">
        <f>MIN(H$6,ROUND(AB61*(1+H$5),0))</f>
        <v/>
      </c>
      <c r="I62">
        <f>MIN(I$6,ROUND(AC61*(1+I$5),0))</f>
        <v/>
      </c>
      <c r="J62">
        <f>MIN(J$6,ROUND(AD61*(1+J$5),0))</f>
        <v/>
      </c>
      <c r="K62">
        <f>MIN(K$6,ROUND(AE61*(1+K$5),0))</f>
        <v/>
      </c>
      <c r="L62">
        <f>MIN(L$6,ROUND(AF61*(1+L$5),0))</f>
        <v/>
      </c>
      <c r="M62">
        <f>MAX(0,MIN(ROUND(W61*(1+C$5),0)-C62,$AJ62-0))</f>
        <v/>
      </c>
      <c r="N62">
        <f>MAX(0,MIN(ROUND(X61*(1+D$5),0)-D62,$AJ62-SUM($M62:M62)))</f>
        <v/>
      </c>
      <c r="O62">
        <f>MAX(0,MIN(ROUND(Y61*(1+E$5),0)-E62,$AJ62-SUM($M62:N62)))</f>
        <v/>
      </c>
      <c r="P62">
        <f>MAX(0,MIN(ROUND(Z61*(1+F$5),0)-F62,$AJ62-SUM($M62:O62)))</f>
        <v/>
      </c>
      <c r="Q62">
        <f>MAX(0,MIN(ROUND(AA61*(1+G$5),0)-G62,$AJ62-SUM($M62:P62)))</f>
        <v/>
      </c>
      <c r="R62">
        <f>MAX(0,MIN(ROUND(AB61*(1+H$5),0)-H62,$AJ62-SUM($M62:Q62)))</f>
        <v/>
      </c>
      <c r="S62">
        <f>MAX(0,MIN(ROUND(AC61*(1+I$5),0)-I62,$AJ62-SUM($M62:R62)))</f>
        <v/>
      </c>
      <c r="T62">
        <f>MAX(0,MIN(ROUND(AD61*(1+J$5),0)-J62,$AJ62-SUM($M62:S62)))</f>
        <v/>
      </c>
      <c r="U62">
        <f>MAX(0,MIN(ROUND(AE61*(1+K$5),0)-K62,$AJ62-SUM($M62:T62)))</f>
        <v/>
      </c>
      <c r="V62">
        <f>MAX(0,MIN(ROUND(AF61*(1+L$5),0)-L62,$AJ62-SUM($M62:U62)))</f>
        <v/>
      </c>
      <c r="W62">
        <f>MAX(0,ROUND(W61*(1+C$5),0)-C62-M62)</f>
        <v/>
      </c>
      <c r="X62">
        <f>MAX(0,ROUND(X61*(1+D$5),0)-D62-N62)</f>
        <v/>
      </c>
      <c r="Y62">
        <f>MAX(0,ROUND(Y61*(1+E$5),0)-E62-O62)</f>
        <v/>
      </c>
      <c r="Z62">
        <f>MAX(0,ROUND(Z61*(1+F$5),0)-F62-P62)</f>
        <v/>
      </c>
      <c r="AA62">
        <f>MAX(0,ROUND(AA61*(1+G$5),0)-G62-Q62)</f>
        <v/>
      </c>
      <c r="AB62">
        <f>MAX(0,ROUND(AB61*(1+H$5),0)-H62-R62)</f>
        <v/>
      </c>
      <c r="AC62">
        <f>MAX(0,ROUND(AC61*(1+I$5),0)-I62-S62)</f>
        <v/>
      </c>
      <c r="AD62">
        <f>MAX(0,ROUND(AD61*(1+J$5),0)-J62-T62)</f>
        <v/>
      </c>
      <c r="AE62">
        <f>MAX(0,ROUND(AE61*(1+K$5),0)-K62-U62)</f>
        <v/>
      </c>
      <c r="AF62">
        <f>MAX(0,ROUND(AF61*(1+L$5),0)-L62-V62)</f>
        <v/>
      </c>
      <c r="AG62">
        <f>AH62-(AI61-AI62)</f>
        <v/>
      </c>
      <c r="AH62">
        <f>SUM(C62:V62)</f>
        <v/>
      </c>
      <c r="AI62">
        <f>SUM(W62:AF62)</f>
        <v/>
      </c>
      <c r="AJ62">
        <f>0</f>
        <v/>
      </c>
      <c r="AK62">
        <f>IF(AI61&lt;=0,0,11-SUMPRODUCT(MAX((W61:AF61&gt;0)*(11-(COLUMN(W61:AF61)-COLUMN($V61))))))</f>
        <v/>
      </c>
    </row>
    <row r="63">
      <c r="A63" t="n">
        <v>53</v>
      </c>
      <c r="B63">
        <f>DATE(YEAR(InicioEf),MONTH(InicioEf)+A63-1,1)</f>
        <v/>
      </c>
      <c r="C63">
        <f>MIN(C$6,ROUND(W62*(1+C$5),0))</f>
        <v/>
      </c>
      <c r="D63">
        <f>MIN(D$6,ROUND(X62*(1+D$5),0))</f>
        <v/>
      </c>
      <c r="E63">
        <f>MIN(E$6,ROUND(Y62*(1+E$5),0))</f>
        <v/>
      </c>
      <c r="F63">
        <f>MIN(F$6,ROUND(Z62*(1+F$5),0))</f>
        <v/>
      </c>
      <c r="G63">
        <f>MIN(G$6,ROUND(AA62*(1+G$5),0))</f>
        <v/>
      </c>
      <c r="H63">
        <f>MIN(H$6,ROUND(AB62*(1+H$5),0))</f>
        <v/>
      </c>
      <c r="I63">
        <f>MIN(I$6,ROUND(AC62*(1+I$5),0))</f>
        <v/>
      </c>
      <c r="J63">
        <f>MIN(J$6,ROUND(AD62*(1+J$5),0))</f>
        <v/>
      </c>
      <c r="K63">
        <f>MIN(K$6,ROUND(AE62*(1+K$5),0))</f>
        <v/>
      </c>
      <c r="L63">
        <f>MIN(L$6,ROUND(AF62*(1+L$5),0))</f>
        <v/>
      </c>
      <c r="M63">
        <f>MAX(0,MIN(ROUND(W62*(1+C$5),0)-C63,$AJ63-0))</f>
        <v/>
      </c>
      <c r="N63">
        <f>MAX(0,MIN(ROUND(X62*(1+D$5),0)-D63,$AJ63-SUM($M63:M63)))</f>
        <v/>
      </c>
      <c r="O63">
        <f>MAX(0,MIN(ROUND(Y62*(1+E$5),0)-E63,$AJ63-SUM($M63:N63)))</f>
        <v/>
      </c>
      <c r="P63">
        <f>MAX(0,MIN(ROUND(Z62*(1+F$5),0)-F63,$AJ63-SUM($M63:O63)))</f>
        <v/>
      </c>
      <c r="Q63">
        <f>MAX(0,MIN(ROUND(AA62*(1+G$5),0)-G63,$AJ63-SUM($M63:P63)))</f>
        <v/>
      </c>
      <c r="R63">
        <f>MAX(0,MIN(ROUND(AB62*(1+H$5),0)-H63,$AJ63-SUM($M63:Q63)))</f>
        <v/>
      </c>
      <c r="S63">
        <f>MAX(0,MIN(ROUND(AC62*(1+I$5),0)-I63,$AJ63-SUM($M63:R63)))</f>
        <v/>
      </c>
      <c r="T63">
        <f>MAX(0,MIN(ROUND(AD62*(1+J$5),0)-J63,$AJ63-SUM($M63:S63)))</f>
        <v/>
      </c>
      <c r="U63">
        <f>MAX(0,MIN(ROUND(AE62*(1+K$5),0)-K63,$AJ63-SUM($M63:T63)))</f>
        <v/>
      </c>
      <c r="V63">
        <f>MAX(0,MIN(ROUND(AF62*(1+L$5),0)-L63,$AJ63-SUM($M63:U63)))</f>
        <v/>
      </c>
      <c r="W63">
        <f>MAX(0,ROUND(W62*(1+C$5),0)-C63-M63)</f>
        <v/>
      </c>
      <c r="X63">
        <f>MAX(0,ROUND(X62*(1+D$5),0)-D63-N63)</f>
        <v/>
      </c>
      <c r="Y63">
        <f>MAX(0,ROUND(Y62*(1+E$5),0)-E63-O63)</f>
        <v/>
      </c>
      <c r="Z63">
        <f>MAX(0,ROUND(Z62*(1+F$5),0)-F63-P63)</f>
        <v/>
      </c>
      <c r="AA63">
        <f>MAX(0,ROUND(AA62*(1+G$5),0)-G63-Q63)</f>
        <v/>
      </c>
      <c r="AB63">
        <f>MAX(0,ROUND(AB62*(1+H$5),0)-H63-R63)</f>
        <v/>
      </c>
      <c r="AC63">
        <f>MAX(0,ROUND(AC62*(1+I$5),0)-I63-S63)</f>
        <v/>
      </c>
      <c r="AD63">
        <f>MAX(0,ROUND(AD62*(1+J$5),0)-J63-T63)</f>
        <v/>
      </c>
      <c r="AE63">
        <f>MAX(0,ROUND(AE62*(1+K$5),0)-K63-U63)</f>
        <v/>
      </c>
      <c r="AF63">
        <f>MAX(0,ROUND(AF62*(1+L$5),0)-L63-V63)</f>
        <v/>
      </c>
      <c r="AG63">
        <f>AH63-(AI62-AI63)</f>
        <v/>
      </c>
      <c r="AH63">
        <f>SUM(C63:V63)</f>
        <v/>
      </c>
      <c r="AI63">
        <f>SUM(W63:AF63)</f>
        <v/>
      </c>
      <c r="AJ63">
        <f>0</f>
        <v/>
      </c>
      <c r="AK63">
        <f>IF(AI62&lt;=0,0,11-SUMPRODUCT(MAX((W62:AF62&gt;0)*(11-(COLUMN(W62:AF62)-COLUMN($V62))))))</f>
        <v/>
      </c>
    </row>
    <row r="64">
      <c r="A64" t="n">
        <v>54</v>
      </c>
      <c r="B64">
        <f>DATE(YEAR(InicioEf),MONTH(InicioEf)+A64-1,1)</f>
        <v/>
      </c>
      <c r="C64">
        <f>MIN(C$6,ROUND(W63*(1+C$5),0))</f>
        <v/>
      </c>
      <c r="D64">
        <f>MIN(D$6,ROUND(X63*(1+D$5),0))</f>
        <v/>
      </c>
      <c r="E64">
        <f>MIN(E$6,ROUND(Y63*(1+E$5),0))</f>
        <v/>
      </c>
      <c r="F64">
        <f>MIN(F$6,ROUND(Z63*(1+F$5),0))</f>
        <v/>
      </c>
      <c r="G64">
        <f>MIN(G$6,ROUND(AA63*(1+G$5),0))</f>
        <v/>
      </c>
      <c r="H64">
        <f>MIN(H$6,ROUND(AB63*(1+H$5),0))</f>
        <v/>
      </c>
      <c r="I64">
        <f>MIN(I$6,ROUND(AC63*(1+I$5),0))</f>
        <v/>
      </c>
      <c r="J64">
        <f>MIN(J$6,ROUND(AD63*(1+J$5),0))</f>
        <v/>
      </c>
      <c r="K64">
        <f>MIN(K$6,ROUND(AE63*(1+K$5),0))</f>
        <v/>
      </c>
      <c r="L64">
        <f>MIN(L$6,ROUND(AF63*(1+L$5),0))</f>
        <v/>
      </c>
      <c r="M64">
        <f>MAX(0,MIN(ROUND(W63*(1+C$5),0)-C64,$AJ64-0))</f>
        <v/>
      </c>
      <c r="N64">
        <f>MAX(0,MIN(ROUND(X63*(1+D$5),0)-D64,$AJ64-SUM($M64:M64)))</f>
        <v/>
      </c>
      <c r="O64">
        <f>MAX(0,MIN(ROUND(Y63*(1+E$5),0)-E64,$AJ64-SUM($M64:N64)))</f>
        <v/>
      </c>
      <c r="P64">
        <f>MAX(0,MIN(ROUND(Z63*(1+F$5),0)-F64,$AJ64-SUM($M64:O64)))</f>
        <v/>
      </c>
      <c r="Q64">
        <f>MAX(0,MIN(ROUND(AA63*(1+G$5),0)-G64,$AJ64-SUM($M64:P64)))</f>
        <v/>
      </c>
      <c r="R64">
        <f>MAX(0,MIN(ROUND(AB63*(1+H$5),0)-H64,$AJ64-SUM($M64:Q64)))</f>
        <v/>
      </c>
      <c r="S64">
        <f>MAX(0,MIN(ROUND(AC63*(1+I$5),0)-I64,$AJ64-SUM($M64:R64)))</f>
        <v/>
      </c>
      <c r="T64">
        <f>MAX(0,MIN(ROUND(AD63*(1+J$5),0)-J64,$AJ64-SUM($M64:S64)))</f>
        <v/>
      </c>
      <c r="U64">
        <f>MAX(0,MIN(ROUND(AE63*(1+K$5),0)-K64,$AJ64-SUM($M64:T64)))</f>
        <v/>
      </c>
      <c r="V64">
        <f>MAX(0,MIN(ROUND(AF63*(1+L$5),0)-L64,$AJ64-SUM($M64:U64)))</f>
        <v/>
      </c>
      <c r="W64">
        <f>MAX(0,ROUND(W63*(1+C$5),0)-C64-M64)</f>
        <v/>
      </c>
      <c r="X64">
        <f>MAX(0,ROUND(X63*(1+D$5),0)-D64-N64)</f>
        <v/>
      </c>
      <c r="Y64">
        <f>MAX(0,ROUND(Y63*(1+E$5),0)-E64-O64)</f>
        <v/>
      </c>
      <c r="Z64">
        <f>MAX(0,ROUND(Z63*(1+F$5),0)-F64-P64)</f>
        <v/>
      </c>
      <c r="AA64">
        <f>MAX(0,ROUND(AA63*(1+G$5),0)-G64-Q64)</f>
        <v/>
      </c>
      <c r="AB64">
        <f>MAX(0,ROUND(AB63*(1+H$5),0)-H64-R64)</f>
        <v/>
      </c>
      <c r="AC64">
        <f>MAX(0,ROUND(AC63*(1+I$5),0)-I64-S64)</f>
        <v/>
      </c>
      <c r="AD64">
        <f>MAX(0,ROUND(AD63*(1+J$5),0)-J64-T64)</f>
        <v/>
      </c>
      <c r="AE64">
        <f>MAX(0,ROUND(AE63*(1+K$5),0)-K64-U64)</f>
        <v/>
      </c>
      <c r="AF64">
        <f>MAX(0,ROUND(AF63*(1+L$5),0)-L64-V64)</f>
        <v/>
      </c>
      <c r="AG64">
        <f>AH64-(AI63-AI64)</f>
        <v/>
      </c>
      <c r="AH64">
        <f>SUM(C64:V64)</f>
        <v/>
      </c>
      <c r="AI64">
        <f>SUM(W64:AF64)</f>
        <v/>
      </c>
      <c r="AJ64">
        <f>0</f>
        <v/>
      </c>
      <c r="AK64">
        <f>IF(AI63&lt;=0,0,11-SUMPRODUCT(MAX((W63:AF63&gt;0)*(11-(COLUMN(W63:AF63)-COLUMN($V63))))))</f>
        <v/>
      </c>
    </row>
    <row r="65">
      <c r="A65" t="n">
        <v>55</v>
      </c>
      <c r="B65">
        <f>DATE(YEAR(InicioEf),MONTH(InicioEf)+A65-1,1)</f>
        <v/>
      </c>
      <c r="C65">
        <f>MIN(C$6,ROUND(W64*(1+C$5),0))</f>
        <v/>
      </c>
      <c r="D65">
        <f>MIN(D$6,ROUND(X64*(1+D$5),0))</f>
        <v/>
      </c>
      <c r="E65">
        <f>MIN(E$6,ROUND(Y64*(1+E$5),0))</f>
        <v/>
      </c>
      <c r="F65">
        <f>MIN(F$6,ROUND(Z64*(1+F$5),0))</f>
        <v/>
      </c>
      <c r="G65">
        <f>MIN(G$6,ROUND(AA64*(1+G$5),0))</f>
        <v/>
      </c>
      <c r="H65">
        <f>MIN(H$6,ROUND(AB64*(1+H$5),0))</f>
        <v/>
      </c>
      <c r="I65">
        <f>MIN(I$6,ROUND(AC64*(1+I$5),0))</f>
        <v/>
      </c>
      <c r="J65">
        <f>MIN(J$6,ROUND(AD64*(1+J$5),0))</f>
        <v/>
      </c>
      <c r="K65">
        <f>MIN(K$6,ROUND(AE64*(1+K$5),0))</f>
        <v/>
      </c>
      <c r="L65">
        <f>MIN(L$6,ROUND(AF64*(1+L$5),0))</f>
        <v/>
      </c>
      <c r="M65">
        <f>MAX(0,MIN(ROUND(W64*(1+C$5),0)-C65,$AJ65-0))</f>
        <v/>
      </c>
      <c r="N65">
        <f>MAX(0,MIN(ROUND(X64*(1+D$5),0)-D65,$AJ65-SUM($M65:M65)))</f>
        <v/>
      </c>
      <c r="O65">
        <f>MAX(0,MIN(ROUND(Y64*(1+E$5),0)-E65,$AJ65-SUM($M65:N65)))</f>
        <v/>
      </c>
      <c r="P65">
        <f>MAX(0,MIN(ROUND(Z64*(1+F$5),0)-F65,$AJ65-SUM($M65:O65)))</f>
        <v/>
      </c>
      <c r="Q65">
        <f>MAX(0,MIN(ROUND(AA64*(1+G$5),0)-G65,$AJ65-SUM($M65:P65)))</f>
        <v/>
      </c>
      <c r="R65">
        <f>MAX(0,MIN(ROUND(AB64*(1+H$5),0)-H65,$AJ65-SUM($M65:Q65)))</f>
        <v/>
      </c>
      <c r="S65">
        <f>MAX(0,MIN(ROUND(AC64*(1+I$5),0)-I65,$AJ65-SUM($M65:R65)))</f>
        <v/>
      </c>
      <c r="T65">
        <f>MAX(0,MIN(ROUND(AD64*(1+J$5),0)-J65,$AJ65-SUM($M65:S65)))</f>
        <v/>
      </c>
      <c r="U65">
        <f>MAX(0,MIN(ROUND(AE64*(1+K$5),0)-K65,$AJ65-SUM($M65:T65)))</f>
        <v/>
      </c>
      <c r="V65">
        <f>MAX(0,MIN(ROUND(AF64*(1+L$5),0)-L65,$AJ65-SUM($M65:U65)))</f>
        <v/>
      </c>
      <c r="W65">
        <f>MAX(0,ROUND(W64*(1+C$5),0)-C65-M65)</f>
        <v/>
      </c>
      <c r="X65">
        <f>MAX(0,ROUND(X64*(1+D$5),0)-D65-N65)</f>
        <v/>
      </c>
      <c r="Y65">
        <f>MAX(0,ROUND(Y64*(1+E$5),0)-E65-O65)</f>
        <v/>
      </c>
      <c r="Z65">
        <f>MAX(0,ROUND(Z64*(1+F$5),0)-F65-P65)</f>
        <v/>
      </c>
      <c r="AA65">
        <f>MAX(0,ROUND(AA64*(1+G$5),0)-G65-Q65)</f>
        <v/>
      </c>
      <c r="AB65">
        <f>MAX(0,ROUND(AB64*(1+H$5),0)-H65-R65)</f>
        <v/>
      </c>
      <c r="AC65">
        <f>MAX(0,ROUND(AC64*(1+I$5),0)-I65-S65)</f>
        <v/>
      </c>
      <c r="AD65">
        <f>MAX(0,ROUND(AD64*(1+J$5),0)-J65-T65)</f>
        <v/>
      </c>
      <c r="AE65">
        <f>MAX(0,ROUND(AE64*(1+K$5),0)-K65-U65)</f>
        <v/>
      </c>
      <c r="AF65">
        <f>MAX(0,ROUND(AF64*(1+L$5),0)-L65-V65)</f>
        <v/>
      </c>
      <c r="AG65">
        <f>AH65-(AI64-AI65)</f>
        <v/>
      </c>
      <c r="AH65">
        <f>SUM(C65:V65)</f>
        <v/>
      </c>
      <c r="AI65">
        <f>SUM(W65:AF65)</f>
        <v/>
      </c>
      <c r="AJ65">
        <f>0</f>
        <v/>
      </c>
      <c r="AK65">
        <f>IF(AI64&lt;=0,0,11-SUMPRODUCT(MAX((W64:AF64&gt;0)*(11-(COLUMN(W64:AF64)-COLUMN($V64))))))</f>
        <v/>
      </c>
    </row>
    <row r="66">
      <c r="A66" t="n">
        <v>56</v>
      </c>
      <c r="B66">
        <f>DATE(YEAR(InicioEf),MONTH(InicioEf)+A66-1,1)</f>
        <v/>
      </c>
      <c r="C66">
        <f>MIN(C$6,ROUND(W65*(1+C$5),0))</f>
        <v/>
      </c>
      <c r="D66">
        <f>MIN(D$6,ROUND(X65*(1+D$5),0))</f>
        <v/>
      </c>
      <c r="E66">
        <f>MIN(E$6,ROUND(Y65*(1+E$5),0))</f>
        <v/>
      </c>
      <c r="F66">
        <f>MIN(F$6,ROUND(Z65*(1+F$5),0))</f>
        <v/>
      </c>
      <c r="G66">
        <f>MIN(G$6,ROUND(AA65*(1+G$5),0))</f>
        <v/>
      </c>
      <c r="H66">
        <f>MIN(H$6,ROUND(AB65*(1+H$5),0))</f>
        <v/>
      </c>
      <c r="I66">
        <f>MIN(I$6,ROUND(AC65*(1+I$5),0))</f>
        <v/>
      </c>
      <c r="J66">
        <f>MIN(J$6,ROUND(AD65*(1+J$5),0))</f>
        <v/>
      </c>
      <c r="K66">
        <f>MIN(K$6,ROUND(AE65*(1+K$5),0))</f>
        <v/>
      </c>
      <c r="L66">
        <f>MIN(L$6,ROUND(AF65*(1+L$5),0))</f>
        <v/>
      </c>
      <c r="M66">
        <f>MAX(0,MIN(ROUND(W65*(1+C$5),0)-C66,$AJ66-0))</f>
        <v/>
      </c>
      <c r="N66">
        <f>MAX(0,MIN(ROUND(X65*(1+D$5),0)-D66,$AJ66-SUM($M66:M66)))</f>
        <v/>
      </c>
      <c r="O66">
        <f>MAX(0,MIN(ROUND(Y65*(1+E$5),0)-E66,$AJ66-SUM($M66:N66)))</f>
        <v/>
      </c>
      <c r="P66">
        <f>MAX(0,MIN(ROUND(Z65*(1+F$5),0)-F66,$AJ66-SUM($M66:O66)))</f>
        <v/>
      </c>
      <c r="Q66">
        <f>MAX(0,MIN(ROUND(AA65*(1+G$5),0)-G66,$AJ66-SUM($M66:P66)))</f>
        <v/>
      </c>
      <c r="R66">
        <f>MAX(0,MIN(ROUND(AB65*(1+H$5),0)-H66,$AJ66-SUM($M66:Q66)))</f>
        <v/>
      </c>
      <c r="S66">
        <f>MAX(0,MIN(ROUND(AC65*(1+I$5),0)-I66,$AJ66-SUM($M66:R66)))</f>
        <v/>
      </c>
      <c r="T66">
        <f>MAX(0,MIN(ROUND(AD65*(1+J$5),0)-J66,$AJ66-SUM($M66:S66)))</f>
        <v/>
      </c>
      <c r="U66">
        <f>MAX(0,MIN(ROUND(AE65*(1+K$5),0)-K66,$AJ66-SUM($M66:T66)))</f>
        <v/>
      </c>
      <c r="V66">
        <f>MAX(0,MIN(ROUND(AF65*(1+L$5),0)-L66,$AJ66-SUM($M66:U66)))</f>
        <v/>
      </c>
      <c r="W66">
        <f>MAX(0,ROUND(W65*(1+C$5),0)-C66-M66)</f>
        <v/>
      </c>
      <c r="X66">
        <f>MAX(0,ROUND(X65*(1+D$5),0)-D66-N66)</f>
        <v/>
      </c>
      <c r="Y66">
        <f>MAX(0,ROUND(Y65*(1+E$5),0)-E66-O66)</f>
        <v/>
      </c>
      <c r="Z66">
        <f>MAX(0,ROUND(Z65*(1+F$5),0)-F66-P66)</f>
        <v/>
      </c>
      <c r="AA66">
        <f>MAX(0,ROUND(AA65*(1+G$5),0)-G66-Q66)</f>
        <v/>
      </c>
      <c r="AB66">
        <f>MAX(0,ROUND(AB65*(1+H$5),0)-H66-R66)</f>
        <v/>
      </c>
      <c r="AC66">
        <f>MAX(0,ROUND(AC65*(1+I$5),0)-I66-S66)</f>
        <v/>
      </c>
      <c r="AD66">
        <f>MAX(0,ROUND(AD65*(1+J$5),0)-J66-T66)</f>
        <v/>
      </c>
      <c r="AE66">
        <f>MAX(0,ROUND(AE65*(1+K$5),0)-K66-U66)</f>
        <v/>
      </c>
      <c r="AF66">
        <f>MAX(0,ROUND(AF65*(1+L$5),0)-L66-V66)</f>
        <v/>
      </c>
      <c r="AG66">
        <f>AH66-(AI65-AI66)</f>
        <v/>
      </c>
      <c r="AH66">
        <f>SUM(C66:V66)</f>
        <v/>
      </c>
      <c r="AI66">
        <f>SUM(W66:AF66)</f>
        <v/>
      </c>
      <c r="AJ66">
        <f>0</f>
        <v/>
      </c>
      <c r="AK66">
        <f>IF(AI65&lt;=0,0,11-SUMPRODUCT(MAX((W65:AF65&gt;0)*(11-(COLUMN(W65:AF65)-COLUMN($V65))))))</f>
        <v/>
      </c>
    </row>
    <row r="67">
      <c r="A67" t="n">
        <v>57</v>
      </c>
      <c r="B67">
        <f>DATE(YEAR(InicioEf),MONTH(InicioEf)+A67-1,1)</f>
        <v/>
      </c>
      <c r="C67">
        <f>MIN(C$6,ROUND(W66*(1+C$5),0))</f>
        <v/>
      </c>
      <c r="D67">
        <f>MIN(D$6,ROUND(X66*(1+D$5),0))</f>
        <v/>
      </c>
      <c r="E67">
        <f>MIN(E$6,ROUND(Y66*(1+E$5),0))</f>
        <v/>
      </c>
      <c r="F67">
        <f>MIN(F$6,ROUND(Z66*(1+F$5),0))</f>
        <v/>
      </c>
      <c r="G67">
        <f>MIN(G$6,ROUND(AA66*(1+G$5),0))</f>
        <v/>
      </c>
      <c r="H67">
        <f>MIN(H$6,ROUND(AB66*(1+H$5),0))</f>
        <v/>
      </c>
      <c r="I67">
        <f>MIN(I$6,ROUND(AC66*(1+I$5),0))</f>
        <v/>
      </c>
      <c r="J67">
        <f>MIN(J$6,ROUND(AD66*(1+J$5),0))</f>
        <v/>
      </c>
      <c r="K67">
        <f>MIN(K$6,ROUND(AE66*(1+K$5),0))</f>
        <v/>
      </c>
      <c r="L67">
        <f>MIN(L$6,ROUND(AF66*(1+L$5),0))</f>
        <v/>
      </c>
      <c r="M67">
        <f>MAX(0,MIN(ROUND(W66*(1+C$5),0)-C67,$AJ67-0))</f>
        <v/>
      </c>
      <c r="N67">
        <f>MAX(0,MIN(ROUND(X66*(1+D$5),0)-D67,$AJ67-SUM($M67:M67)))</f>
        <v/>
      </c>
      <c r="O67">
        <f>MAX(0,MIN(ROUND(Y66*(1+E$5),0)-E67,$AJ67-SUM($M67:N67)))</f>
        <v/>
      </c>
      <c r="P67">
        <f>MAX(0,MIN(ROUND(Z66*(1+F$5),0)-F67,$AJ67-SUM($M67:O67)))</f>
        <v/>
      </c>
      <c r="Q67">
        <f>MAX(0,MIN(ROUND(AA66*(1+G$5),0)-G67,$AJ67-SUM($M67:P67)))</f>
        <v/>
      </c>
      <c r="R67">
        <f>MAX(0,MIN(ROUND(AB66*(1+H$5),0)-H67,$AJ67-SUM($M67:Q67)))</f>
        <v/>
      </c>
      <c r="S67">
        <f>MAX(0,MIN(ROUND(AC66*(1+I$5),0)-I67,$AJ67-SUM($M67:R67)))</f>
        <v/>
      </c>
      <c r="T67">
        <f>MAX(0,MIN(ROUND(AD66*(1+J$5),0)-J67,$AJ67-SUM($M67:S67)))</f>
        <v/>
      </c>
      <c r="U67">
        <f>MAX(0,MIN(ROUND(AE66*(1+K$5),0)-K67,$AJ67-SUM($M67:T67)))</f>
        <v/>
      </c>
      <c r="V67">
        <f>MAX(0,MIN(ROUND(AF66*(1+L$5),0)-L67,$AJ67-SUM($M67:U67)))</f>
        <v/>
      </c>
      <c r="W67">
        <f>MAX(0,ROUND(W66*(1+C$5),0)-C67-M67)</f>
        <v/>
      </c>
      <c r="X67">
        <f>MAX(0,ROUND(X66*(1+D$5),0)-D67-N67)</f>
        <v/>
      </c>
      <c r="Y67">
        <f>MAX(0,ROUND(Y66*(1+E$5),0)-E67-O67)</f>
        <v/>
      </c>
      <c r="Z67">
        <f>MAX(0,ROUND(Z66*(1+F$5),0)-F67-P67)</f>
        <v/>
      </c>
      <c r="AA67">
        <f>MAX(0,ROUND(AA66*(1+G$5),0)-G67-Q67)</f>
        <v/>
      </c>
      <c r="AB67">
        <f>MAX(0,ROUND(AB66*(1+H$5),0)-H67-R67)</f>
        <v/>
      </c>
      <c r="AC67">
        <f>MAX(0,ROUND(AC66*(1+I$5),0)-I67-S67)</f>
        <v/>
      </c>
      <c r="AD67">
        <f>MAX(0,ROUND(AD66*(1+J$5),0)-J67-T67)</f>
        <v/>
      </c>
      <c r="AE67">
        <f>MAX(0,ROUND(AE66*(1+K$5),0)-K67-U67)</f>
        <v/>
      </c>
      <c r="AF67">
        <f>MAX(0,ROUND(AF66*(1+L$5),0)-L67-V67)</f>
        <v/>
      </c>
      <c r="AG67">
        <f>AH67-(AI66-AI67)</f>
        <v/>
      </c>
      <c r="AH67">
        <f>SUM(C67:V67)</f>
        <v/>
      </c>
      <c r="AI67">
        <f>SUM(W67:AF67)</f>
        <v/>
      </c>
      <c r="AJ67">
        <f>0</f>
        <v/>
      </c>
      <c r="AK67">
        <f>IF(AI66&lt;=0,0,11-SUMPRODUCT(MAX((W66:AF66&gt;0)*(11-(COLUMN(W66:AF66)-COLUMN($V66))))))</f>
        <v/>
      </c>
    </row>
    <row r="68">
      <c r="A68" t="n">
        <v>58</v>
      </c>
      <c r="B68">
        <f>DATE(YEAR(InicioEf),MONTH(InicioEf)+A68-1,1)</f>
        <v/>
      </c>
      <c r="C68">
        <f>MIN(C$6,ROUND(W67*(1+C$5),0))</f>
        <v/>
      </c>
      <c r="D68">
        <f>MIN(D$6,ROUND(X67*(1+D$5),0))</f>
        <v/>
      </c>
      <c r="E68">
        <f>MIN(E$6,ROUND(Y67*(1+E$5),0))</f>
        <v/>
      </c>
      <c r="F68">
        <f>MIN(F$6,ROUND(Z67*(1+F$5),0))</f>
        <v/>
      </c>
      <c r="G68">
        <f>MIN(G$6,ROUND(AA67*(1+G$5),0))</f>
        <v/>
      </c>
      <c r="H68">
        <f>MIN(H$6,ROUND(AB67*(1+H$5),0))</f>
        <v/>
      </c>
      <c r="I68">
        <f>MIN(I$6,ROUND(AC67*(1+I$5),0))</f>
        <v/>
      </c>
      <c r="J68">
        <f>MIN(J$6,ROUND(AD67*(1+J$5),0))</f>
        <v/>
      </c>
      <c r="K68">
        <f>MIN(K$6,ROUND(AE67*(1+K$5),0))</f>
        <v/>
      </c>
      <c r="L68">
        <f>MIN(L$6,ROUND(AF67*(1+L$5),0))</f>
        <v/>
      </c>
      <c r="M68">
        <f>MAX(0,MIN(ROUND(W67*(1+C$5),0)-C68,$AJ68-0))</f>
        <v/>
      </c>
      <c r="N68">
        <f>MAX(0,MIN(ROUND(X67*(1+D$5),0)-D68,$AJ68-SUM($M68:M68)))</f>
        <v/>
      </c>
      <c r="O68">
        <f>MAX(0,MIN(ROUND(Y67*(1+E$5),0)-E68,$AJ68-SUM($M68:N68)))</f>
        <v/>
      </c>
      <c r="P68">
        <f>MAX(0,MIN(ROUND(Z67*(1+F$5),0)-F68,$AJ68-SUM($M68:O68)))</f>
        <v/>
      </c>
      <c r="Q68">
        <f>MAX(0,MIN(ROUND(AA67*(1+G$5),0)-G68,$AJ68-SUM($M68:P68)))</f>
        <v/>
      </c>
      <c r="R68">
        <f>MAX(0,MIN(ROUND(AB67*(1+H$5),0)-H68,$AJ68-SUM($M68:Q68)))</f>
        <v/>
      </c>
      <c r="S68">
        <f>MAX(0,MIN(ROUND(AC67*(1+I$5),0)-I68,$AJ68-SUM($M68:R68)))</f>
        <v/>
      </c>
      <c r="T68">
        <f>MAX(0,MIN(ROUND(AD67*(1+J$5),0)-J68,$AJ68-SUM($M68:S68)))</f>
        <v/>
      </c>
      <c r="U68">
        <f>MAX(0,MIN(ROUND(AE67*(1+K$5),0)-K68,$AJ68-SUM($M68:T68)))</f>
        <v/>
      </c>
      <c r="V68">
        <f>MAX(0,MIN(ROUND(AF67*(1+L$5),0)-L68,$AJ68-SUM($M68:U68)))</f>
        <v/>
      </c>
      <c r="W68">
        <f>MAX(0,ROUND(W67*(1+C$5),0)-C68-M68)</f>
        <v/>
      </c>
      <c r="X68">
        <f>MAX(0,ROUND(X67*(1+D$5),0)-D68-N68)</f>
        <v/>
      </c>
      <c r="Y68">
        <f>MAX(0,ROUND(Y67*(1+E$5),0)-E68-O68)</f>
        <v/>
      </c>
      <c r="Z68">
        <f>MAX(0,ROUND(Z67*(1+F$5),0)-F68-P68)</f>
        <v/>
      </c>
      <c r="AA68">
        <f>MAX(0,ROUND(AA67*(1+G$5),0)-G68-Q68)</f>
        <v/>
      </c>
      <c r="AB68">
        <f>MAX(0,ROUND(AB67*(1+H$5),0)-H68-R68)</f>
        <v/>
      </c>
      <c r="AC68">
        <f>MAX(0,ROUND(AC67*(1+I$5),0)-I68-S68)</f>
        <v/>
      </c>
      <c r="AD68">
        <f>MAX(0,ROUND(AD67*(1+J$5),0)-J68-T68)</f>
        <v/>
      </c>
      <c r="AE68">
        <f>MAX(0,ROUND(AE67*(1+K$5),0)-K68-U68)</f>
        <v/>
      </c>
      <c r="AF68">
        <f>MAX(0,ROUND(AF67*(1+L$5),0)-L68-V68)</f>
        <v/>
      </c>
      <c r="AG68">
        <f>AH68-(AI67-AI68)</f>
        <v/>
      </c>
      <c r="AH68">
        <f>SUM(C68:V68)</f>
        <v/>
      </c>
      <c r="AI68">
        <f>SUM(W68:AF68)</f>
        <v/>
      </c>
      <c r="AJ68">
        <f>0</f>
        <v/>
      </c>
      <c r="AK68">
        <f>IF(AI67&lt;=0,0,11-SUMPRODUCT(MAX((W67:AF67&gt;0)*(11-(COLUMN(W67:AF67)-COLUMN($V67))))))</f>
        <v/>
      </c>
    </row>
    <row r="69">
      <c r="A69" t="n">
        <v>59</v>
      </c>
      <c r="B69">
        <f>DATE(YEAR(InicioEf),MONTH(InicioEf)+A69-1,1)</f>
        <v/>
      </c>
      <c r="C69">
        <f>MIN(C$6,ROUND(W68*(1+C$5),0))</f>
        <v/>
      </c>
      <c r="D69">
        <f>MIN(D$6,ROUND(X68*(1+D$5),0))</f>
        <v/>
      </c>
      <c r="E69">
        <f>MIN(E$6,ROUND(Y68*(1+E$5),0))</f>
        <v/>
      </c>
      <c r="F69">
        <f>MIN(F$6,ROUND(Z68*(1+F$5),0))</f>
        <v/>
      </c>
      <c r="G69">
        <f>MIN(G$6,ROUND(AA68*(1+G$5),0))</f>
        <v/>
      </c>
      <c r="H69">
        <f>MIN(H$6,ROUND(AB68*(1+H$5),0))</f>
        <v/>
      </c>
      <c r="I69">
        <f>MIN(I$6,ROUND(AC68*(1+I$5),0))</f>
        <v/>
      </c>
      <c r="J69">
        <f>MIN(J$6,ROUND(AD68*(1+J$5),0))</f>
        <v/>
      </c>
      <c r="K69">
        <f>MIN(K$6,ROUND(AE68*(1+K$5),0))</f>
        <v/>
      </c>
      <c r="L69">
        <f>MIN(L$6,ROUND(AF68*(1+L$5),0))</f>
        <v/>
      </c>
      <c r="M69">
        <f>MAX(0,MIN(ROUND(W68*(1+C$5),0)-C69,$AJ69-0))</f>
        <v/>
      </c>
      <c r="N69">
        <f>MAX(0,MIN(ROUND(X68*(1+D$5),0)-D69,$AJ69-SUM($M69:M69)))</f>
        <v/>
      </c>
      <c r="O69">
        <f>MAX(0,MIN(ROUND(Y68*(1+E$5),0)-E69,$AJ69-SUM($M69:N69)))</f>
        <v/>
      </c>
      <c r="P69">
        <f>MAX(0,MIN(ROUND(Z68*(1+F$5),0)-F69,$AJ69-SUM($M69:O69)))</f>
        <v/>
      </c>
      <c r="Q69">
        <f>MAX(0,MIN(ROUND(AA68*(1+G$5),0)-G69,$AJ69-SUM($M69:P69)))</f>
        <v/>
      </c>
      <c r="R69">
        <f>MAX(0,MIN(ROUND(AB68*(1+H$5),0)-H69,$AJ69-SUM($M69:Q69)))</f>
        <v/>
      </c>
      <c r="S69">
        <f>MAX(0,MIN(ROUND(AC68*(1+I$5),0)-I69,$AJ69-SUM($M69:R69)))</f>
        <v/>
      </c>
      <c r="T69">
        <f>MAX(0,MIN(ROUND(AD68*(1+J$5),0)-J69,$AJ69-SUM($M69:S69)))</f>
        <v/>
      </c>
      <c r="U69">
        <f>MAX(0,MIN(ROUND(AE68*(1+K$5),0)-K69,$AJ69-SUM($M69:T69)))</f>
        <v/>
      </c>
      <c r="V69">
        <f>MAX(0,MIN(ROUND(AF68*(1+L$5),0)-L69,$AJ69-SUM($M69:U69)))</f>
        <v/>
      </c>
      <c r="W69">
        <f>MAX(0,ROUND(W68*(1+C$5),0)-C69-M69)</f>
        <v/>
      </c>
      <c r="X69">
        <f>MAX(0,ROUND(X68*(1+D$5),0)-D69-N69)</f>
        <v/>
      </c>
      <c r="Y69">
        <f>MAX(0,ROUND(Y68*(1+E$5),0)-E69-O69)</f>
        <v/>
      </c>
      <c r="Z69">
        <f>MAX(0,ROUND(Z68*(1+F$5),0)-F69-P69)</f>
        <v/>
      </c>
      <c r="AA69">
        <f>MAX(0,ROUND(AA68*(1+G$5),0)-G69-Q69)</f>
        <v/>
      </c>
      <c r="AB69">
        <f>MAX(0,ROUND(AB68*(1+H$5),0)-H69-R69)</f>
        <v/>
      </c>
      <c r="AC69">
        <f>MAX(0,ROUND(AC68*(1+I$5),0)-I69-S69)</f>
        <v/>
      </c>
      <c r="AD69">
        <f>MAX(0,ROUND(AD68*(1+J$5),0)-J69-T69)</f>
        <v/>
      </c>
      <c r="AE69">
        <f>MAX(0,ROUND(AE68*(1+K$5),0)-K69-U69)</f>
        <v/>
      </c>
      <c r="AF69">
        <f>MAX(0,ROUND(AF68*(1+L$5),0)-L69-V69)</f>
        <v/>
      </c>
      <c r="AG69">
        <f>AH69-(AI68-AI69)</f>
        <v/>
      </c>
      <c r="AH69">
        <f>SUM(C69:V69)</f>
        <v/>
      </c>
      <c r="AI69">
        <f>SUM(W69:AF69)</f>
        <v/>
      </c>
      <c r="AJ69">
        <f>0</f>
        <v/>
      </c>
      <c r="AK69">
        <f>IF(AI68&lt;=0,0,11-SUMPRODUCT(MAX((W68:AF68&gt;0)*(11-(COLUMN(W68:AF68)-COLUMN($V68))))))</f>
        <v/>
      </c>
    </row>
    <row r="70">
      <c r="A70" t="n">
        <v>60</v>
      </c>
      <c r="B70">
        <f>DATE(YEAR(InicioEf),MONTH(InicioEf)+A70-1,1)</f>
        <v/>
      </c>
      <c r="C70">
        <f>MIN(C$6,ROUND(W69*(1+C$5),0))</f>
        <v/>
      </c>
      <c r="D70">
        <f>MIN(D$6,ROUND(X69*(1+D$5),0))</f>
        <v/>
      </c>
      <c r="E70">
        <f>MIN(E$6,ROUND(Y69*(1+E$5),0))</f>
        <v/>
      </c>
      <c r="F70">
        <f>MIN(F$6,ROUND(Z69*(1+F$5),0))</f>
        <v/>
      </c>
      <c r="G70">
        <f>MIN(G$6,ROUND(AA69*(1+G$5),0))</f>
        <v/>
      </c>
      <c r="H70">
        <f>MIN(H$6,ROUND(AB69*(1+H$5),0))</f>
        <v/>
      </c>
      <c r="I70">
        <f>MIN(I$6,ROUND(AC69*(1+I$5),0))</f>
        <v/>
      </c>
      <c r="J70">
        <f>MIN(J$6,ROUND(AD69*(1+J$5),0))</f>
        <v/>
      </c>
      <c r="K70">
        <f>MIN(K$6,ROUND(AE69*(1+K$5),0))</f>
        <v/>
      </c>
      <c r="L70">
        <f>MIN(L$6,ROUND(AF69*(1+L$5),0))</f>
        <v/>
      </c>
      <c r="M70">
        <f>MAX(0,MIN(ROUND(W69*(1+C$5),0)-C70,$AJ70-0))</f>
        <v/>
      </c>
      <c r="N70">
        <f>MAX(0,MIN(ROUND(X69*(1+D$5),0)-D70,$AJ70-SUM($M70:M70)))</f>
        <v/>
      </c>
      <c r="O70">
        <f>MAX(0,MIN(ROUND(Y69*(1+E$5),0)-E70,$AJ70-SUM($M70:N70)))</f>
        <v/>
      </c>
      <c r="P70">
        <f>MAX(0,MIN(ROUND(Z69*(1+F$5),0)-F70,$AJ70-SUM($M70:O70)))</f>
        <v/>
      </c>
      <c r="Q70">
        <f>MAX(0,MIN(ROUND(AA69*(1+G$5),0)-G70,$AJ70-SUM($M70:P70)))</f>
        <v/>
      </c>
      <c r="R70">
        <f>MAX(0,MIN(ROUND(AB69*(1+H$5),0)-H70,$AJ70-SUM($M70:Q70)))</f>
        <v/>
      </c>
      <c r="S70">
        <f>MAX(0,MIN(ROUND(AC69*(1+I$5),0)-I70,$AJ70-SUM($M70:R70)))</f>
        <v/>
      </c>
      <c r="T70">
        <f>MAX(0,MIN(ROUND(AD69*(1+J$5),0)-J70,$AJ70-SUM($M70:S70)))</f>
        <v/>
      </c>
      <c r="U70">
        <f>MAX(0,MIN(ROUND(AE69*(1+K$5),0)-K70,$AJ70-SUM($M70:T70)))</f>
        <v/>
      </c>
      <c r="V70">
        <f>MAX(0,MIN(ROUND(AF69*(1+L$5),0)-L70,$AJ70-SUM($M70:U70)))</f>
        <v/>
      </c>
      <c r="W70">
        <f>MAX(0,ROUND(W69*(1+C$5),0)-C70-M70)</f>
        <v/>
      </c>
      <c r="X70">
        <f>MAX(0,ROUND(X69*(1+D$5),0)-D70-N70)</f>
        <v/>
      </c>
      <c r="Y70">
        <f>MAX(0,ROUND(Y69*(1+E$5),0)-E70-O70)</f>
        <v/>
      </c>
      <c r="Z70">
        <f>MAX(0,ROUND(Z69*(1+F$5),0)-F70-P70)</f>
        <v/>
      </c>
      <c r="AA70">
        <f>MAX(0,ROUND(AA69*(1+G$5),0)-G70-Q70)</f>
        <v/>
      </c>
      <c r="AB70">
        <f>MAX(0,ROUND(AB69*(1+H$5),0)-H70-R70)</f>
        <v/>
      </c>
      <c r="AC70">
        <f>MAX(0,ROUND(AC69*(1+I$5),0)-I70-S70)</f>
        <v/>
      </c>
      <c r="AD70">
        <f>MAX(0,ROUND(AD69*(1+J$5),0)-J70-T70)</f>
        <v/>
      </c>
      <c r="AE70">
        <f>MAX(0,ROUND(AE69*(1+K$5),0)-K70-U70)</f>
        <v/>
      </c>
      <c r="AF70">
        <f>MAX(0,ROUND(AF69*(1+L$5),0)-L70-V70)</f>
        <v/>
      </c>
      <c r="AG70">
        <f>AH70-(AI69-AI70)</f>
        <v/>
      </c>
      <c r="AH70">
        <f>SUM(C70:V70)</f>
        <v/>
      </c>
      <c r="AI70">
        <f>SUM(W70:AF70)</f>
        <v/>
      </c>
      <c r="AJ70">
        <f>0</f>
        <v/>
      </c>
      <c r="AK70">
        <f>IF(AI69&lt;=0,0,11-SUMPRODUCT(MAX((W69:AF69&gt;0)*(11-(COLUMN(W69:AF69)-COLUMN($V69))))))</f>
        <v/>
      </c>
    </row>
    <row r="71">
      <c r="A71" t="n">
        <v>61</v>
      </c>
      <c r="B71">
        <f>DATE(YEAR(InicioEf),MONTH(InicioEf)+A71-1,1)</f>
        <v/>
      </c>
      <c r="C71">
        <f>MIN(C$6,ROUND(W70*(1+C$5),0))</f>
        <v/>
      </c>
      <c r="D71">
        <f>MIN(D$6,ROUND(X70*(1+D$5),0))</f>
        <v/>
      </c>
      <c r="E71">
        <f>MIN(E$6,ROUND(Y70*(1+E$5),0))</f>
        <v/>
      </c>
      <c r="F71">
        <f>MIN(F$6,ROUND(Z70*(1+F$5),0))</f>
        <v/>
      </c>
      <c r="G71">
        <f>MIN(G$6,ROUND(AA70*(1+G$5),0))</f>
        <v/>
      </c>
      <c r="H71">
        <f>MIN(H$6,ROUND(AB70*(1+H$5),0))</f>
        <v/>
      </c>
      <c r="I71">
        <f>MIN(I$6,ROUND(AC70*(1+I$5),0))</f>
        <v/>
      </c>
      <c r="J71">
        <f>MIN(J$6,ROUND(AD70*(1+J$5),0))</f>
        <v/>
      </c>
      <c r="K71">
        <f>MIN(K$6,ROUND(AE70*(1+K$5),0))</f>
        <v/>
      </c>
      <c r="L71">
        <f>MIN(L$6,ROUND(AF70*(1+L$5),0))</f>
        <v/>
      </c>
      <c r="M71">
        <f>MAX(0,MIN(ROUND(W70*(1+C$5),0)-C71,$AJ71-0))</f>
        <v/>
      </c>
      <c r="N71">
        <f>MAX(0,MIN(ROUND(X70*(1+D$5),0)-D71,$AJ71-SUM($M71:M71)))</f>
        <v/>
      </c>
      <c r="O71">
        <f>MAX(0,MIN(ROUND(Y70*(1+E$5),0)-E71,$AJ71-SUM($M71:N71)))</f>
        <v/>
      </c>
      <c r="P71">
        <f>MAX(0,MIN(ROUND(Z70*(1+F$5),0)-F71,$AJ71-SUM($M71:O71)))</f>
        <v/>
      </c>
      <c r="Q71">
        <f>MAX(0,MIN(ROUND(AA70*(1+G$5),0)-G71,$AJ71-SUM($M71:P71)))</f>
        <v/>
      </c>
      <c r="R71">
        <f>MAX(0,MIN(ROUND(AB70*(1+H$5),0)-H71,$AJ71-SUM($M71:Q71)))</f>
        <v/>
      </c>
      <c r="S71">
        <f>MAX(0,MIN(ROUND(AC70*(1+I$5),0)-I71,$AJ71-SUM($M71:R71)))</f>
        <v/>
      </c>
      <c r="T71">
        <f>MAX(0,MIN(ROUND(AD70*(1+J$5),0)-J71,$AJ71-SUM($M71:S71)))</f>
        <v/>
      </c>
      <c r="U71">
        <f>MAX(0,MIN(ROUND(AE70*(1+K$5),0)-K71,$AJ71-SUM($M71:T71)))</f>
        <v/>
      </c>
      <c r="V71">
        <f>MAX(0,MIN(ROUND(AF70*(1+L$5),0)-L71,$AJ71-SUM($M71:U71)))</f>
        <v/>
      </c>
      <c r="W71">
        <f>MAX(0,ROUND(W70*(1+C$5),0)-C71-M71)</f>
        <v/>
      </c>
      <c r="X71">
        <f>MAX(0,ROUND(X70*(1+D$5),0)-D71-N71)</f>
        <v/>
      </c>
      <c r="Y71">
        <f>MAX(0,ROUND(Y70*(1+E$5),0)-E71-O71)</f>
        <v/>
      </c>
      <c r="Z71">
        <f>MAX(0,ROUND(Z70*(1+F$5),0)-F71-P71)</f>
        <v/>
      </c>
      <c r="AA71">
        <f>MAX(0,ROUND(AA70*(1+G$5),0)-G71-Q71)</f>
        <v/>
      </c>
      <c r="AB71">
        <f>MAX(0,ROUND(AB70*(1+H$5),0)-H71-R71)</f>
        <v/>
      </c>
      <c r="AC71">
        <f>MAX(0,ROUND(AC70*(1+I$5),0)-I71-S71)</f>
        <v/>
      </c>
      <c r="AD71">
        <f>MAX(0,ROUND(AD70*(1+J$5),0)-J71-T71)</f>
        <v/>
      </c>
      <c r="AE71">
        <f>MAX(0,ROUND(AE70*(1+K$5),0)-K71-U71)</f>
        <v/>
      </c>
      <c r="AF71">
        <f>MAX(0,ROUND(AF70*(1+L$5),0)-L71-V71)</f>
        <v/>
      </c>
      <c r="AG71">
        <f>AH71-(AI70-AI71)</f>
        <v/>
      </c>
      <c r="AH71">
        <f>SUM(C71:V71)</f>
        <v/>
      </c>
      <c r="AI71">
        <f>SUM(W71:AF71)</f>
        <v/>
      </c>
      <c r="AJ71">
        <f>0</f>
        <v/>
      </c>
      <c r="AK71">
        <f>IF(AI70&lt;=0,0,11-SUMPRODUCT(MAX((W70:AF70&gt;0)*(11-(COLUMN(W70:AF70)-COLUMN($V70))))))</f>
        <v/>
      </c>
    </row>
    <row r="72">
      <c r="A72" t="n">
        <v>62</v>
      </c>
      <c r="B72">
        <f>DATE(YEAR(InicioEf),MONTH(InicioEf)+A72-1,1)</f>
        <v/>
      </c>
      <c r="C72">
        <f>MIN(C$6,ROUND(W71*(1+C$5),0))</f>
        <v/>
      </c>
      <c r="D72">
        <f>MIN(D$6,ROUND(X71*(1+D$5),0))</f>
        <v/>
      </c>
      <c r="E72">
        <f>MIN(E$6,ROUND(Y71*(1+E$5),0))</f>
        <v/>
      </c>
      <c r="F72">
        <f>MIN(F$6,ROUND(Z71*(1+F$5),0))</f>
        <v/>
      </c>
      <c r="G72">
        <f>MIN(G$6,ROUND(AA71*(1+G$5),0))</f>
        <v/>
      </c>
      <c r="H72">
        <f>MIN(H$6,ROUND(AB71*(1+H$5),0))</f>
        <v/>
      </c>
      <c r="I72">
        <f>MIN(I$6,ROUND(AC71*(1+I$5),0))</f>
        <v/>
      </c>
      <c r="J72">
        <f>MIN(J$6,ROUND(AD71*(1+J$5),0))</f>
        <v/>
      </c>
      <c r="K72">
        <f>MIN(K$6,ROUND(AE71*(1+K$5),0))</f>
        <v/>
      </c>
      <c r="L72">
        <f>MIN(L$6,ROUND(AF71*(1+L$5),0))</f>
        <v/>
      </c>
      <c r="M72">
        <f>MAX(0,MIN(ROUND(W71*(1+C$5),0)-C72,$AJ72-0))</f>
        <v/>
      </c>
      <c r="N72">
        <f>MAX(0,MIN(ROUND(X71*(1+D$5),0)-D72,$AJ72-SUM($M72:M72)))</f>
        <v/>
      </c>
      <c r="O72">
        <f>MAX(0,MIN(ROUND(Y71*(1+E$5),0)-E72,$AJ72-SUM($M72:N72)))</f>
        <v/>
      </c>
      <c r="P72">
        <f>MAX(0,MIN(ROUND(Z71*(1+F$5),0)-F72,$AJ72-SUM($M72:O72)))</f>
        <v/>
      </c>
      <c r="Q72">
        <f>MAX(0,MIN(ROUND(AA71*(1+G$5),0)-G72,$AJ72-SUM($M72:P72)))</f>
        <v/>
      </c>
      <c r="R72">
        <f>MAX(0,MIN(ROUND(AB71*(1+H$5),0)-H72,$AJ72-SUM($M72:Q72)))</f>
        <v/>
      </c>
      <c r="S72">
        <f>MAX(0,MIN(ROUND(AC71*(1+I$5),0)-I72,$AJ72-SUM($M72:R72)))</f>
        <v/>
      </c>
      <c r="T72">
        <f>MAX(0,MIN(ROUND(AD71*(1+J$5),0)-J72,$AJ72-SUM($M72:S72)))</f>
        <v/>
      </c>
      <c r="U72">
        <f>MAX(0,MIN(ROUND(AE71*(1+K$5),0)-K72,$AJ72-SUM($M72:T72)))</f>
        <v/>
      </c>
      <c r="V72">
        <f>MAX(0,MIN(ROUND(AF71*(1+L$5),0)-L72,$AJ72-SUM($M72:U72)))</f>
        <v/>
      </c>
      <c r="W72">
        <f>MAX(0,ROUND(W71*(1+C$5),0)-C72-M72)</f>
        <v/>
      </c>
      <c r="X72">
        <f>MAX(0,ROUND(X71*(1+D$5),0)-D72-N72)</f>
        <v/>
      </c>
      <c r="Y72">
        <f>MAX(0,ROUND(Y71*(1+E$5),0)-E72-O72)</f>
        <v/>
      </c>
      <c r="Z72">
        <f>MAX(0,ROUND(Z71*(1+F$5),0)-F72-P72)</f>
        <v/>
      </c>
      <c r="AA72">
        <f>MAX(0,ROUND(AA71*(1+G$5),0)-G72-Q72)</f>
        <v/>
      </c>
      <c r="AB72">
        <f>MAX(0,ROUND(AB71*(1+H$5),0)-H72-R72)</f>
        <v/>
      </c>
      <c r="AC72">
        <f>MAX(0,ROUND(AC71*(1+I$5),0)-I72-S72)</f>
        <v/>
      </c>
      <c r="AD72">
        <f>MAX(0,ROUND(AD71*(1+J$5),0)-J72-T72)</f>
        <v/>
      </c>
      <c r="AE72">
        <f>MAX(0,ROUND(AE71*(1+K$5),0)-K72-U72)</f>
        <v/>
      </c>
      <c r="AF72">
        <f>MAX(0,ROUND(AF71*(1+L$5),0)-L72-V72)</f>
        <v/>
      </c>
      <c r="AG72">
        <f>AH72-(AI71-AI72)</f>
        <v/>
      </c>
      <c r="AH72">
        <f>SUM(C72:V72)</f>
        <v/>
      </c>
      <c r="AI72">
        <f>SUM(W72:AF72)</f>
        <v/>
      </c>
      <c r="AJ72">
        <f>0</f>
        <v/>
      </c>
      <c r="AK72">
        <f>IF(AI71&lt;=0,0,11-SUMPRODUCT(MAX((W71:AF71&gt;0)*(11-(COLUMN(W71:AF71)-COLUMN($V71))))))</f>
        <v/>
      </c>
    </row>
    <row r="73">
      <c r="A73" t="n">
        <v>63</v>
      </c>
      <c r="B73">
        <f>DATE(YEAR(InicioEf),MONTH(InicioEf)+A73-1,1)</f>
        <v/>
      </c>
      <c r="C73">
        <f>MIN(C$6,ROUND(W72*(1+C$5),0))</f>
        <v/>
      </c>
      <c r="D73">
        <f>MIN(D$6,ROUND(X72*(1+D$5),0))</f>
        <v/>
      </c>
      <c r="E73">
        <f>MIN(E$6,ROUND(Y72*(1+E$5),0))</f>
        <v/>
      </c>
      <c r="F73">
        <f>MIN(F$6,ROUND(Z72*(1+F$5),0))</f>
        <v/>
      </c>
      <c r="G73">
        <f>MIN(G$6,ROUND(AA72*(1+G$5),0))</f>
        <v/>
      </c>
      <c r="H73">
        <f>MIN(H$6,ROUND(AB72*(1+H$5),0))</f>
        <v/>
      </c>
      <c r="I73">
        <f>MIN(I$6,ROUND(AC72*(1+I$5),0))</f>
        <v/>
      </c>
      <c r="J73">
        <f>MIN(J$6,ROUND(AD72*(1+J$5),0))</f>
        <v/>
      </c>
      <c r="K73">
        <f>MIN(K$6,ROUND(AE72*(1+K$5),0))</f>
        <v/>
      </c>
      <c r="L73">
        <f>MIN(L$6,ROUND(AF72*(1+L$5),0))</f>
        <v/>
      </c>
      <c r="M73">
        <f>MAX(0,MIN(ROUND(W72*(1+C$5),0)-C73,$AJ73-0))</f>
        <v/>
      </c>
      <c r="N73">
        <f>MAX(0,MIN(ROUND(X72*(1+D$5),0)-D73,$AJ73-SUM($M73:M73)))</f>
        <v/>
      </c>
      <c r="O73">
        <f>MAX(0,MIN(ROUND(Y72*(1+E$5),0)-E73,$AJ73-SUM($M73:N73)))</f>
        <v/>
      </c>
      <c r="P73">
        <f>MAX(0,MIN(ROUND(Z72*(1+F$5),0)-F73,$AJ73-SUM($M73:O73)))</f>
        <v/>
      </c>
      <c r="Q73">
        <f>MAX(0,MIN(ROUND(AA72*(1+G$5),0)-G73,$AJ73-SUM($M73:P73)))</f>
        <v/>
      </c>
      <c r="R73">
        <f>MAX(0,MIN(ROUND(AB72*(1+H$5),0)-H73,$AJ73-SUM($M73:Q73)))</f>
        <v/>
      </c>
      <c r="S73">
        <f>MAX(0,MIN(ROUND(AC72*(1+I$5),0)-I73,$AJ73-SUM($M73:R73)))</f>
        <v/>
      </c>
      <c r="T73">
        <f>MAX(0,MIN(ROUND(AD72*(1+J$5),0)-J73,$AJ73-SUM($M73:S73)))</f>
        <v/>
      </c>
      <c r="U73">
        <f>MAX(0,MIN(ROUND(AE72*(1+K$5),0)-K73,$AJ73-SUM($M73:T73)))</f>
        <v/>
      </c>
      <c r="V73">
        <f>MAX(0,MIN(ROUND(AF72*(1+L$5),0)-L73,$AJ73-SUM($M73:U73)))</f>
        <v/>
      </c>
      <c r="W73">
        <f>MAX(0,ROUND(W72*(1+C$5),0)-C73-M73)</f>
        <v/>
      </c>
      <c r="X73">
        <f>MAX(0,ROUND(X72*(1+D$5),0)-D73-N73)</f>
        <v/>
      </c>
      <c r="Y73">
        <f>MAX(0,ROUND(Y72*(1+E$5),0)-E73-O73)</f>
        <v/>
      </c>
      <c r="Z73">
        <f>MAX(0,ROUND(Z72*(1+F$5),0)-F73-P73)</f>
        <v/>
      </c>
      <c r="AA73">
        <f>MAX(0,ROUND(AA72*(1+G$5),0)-G73-Q73)</f>
        <v/>
      </c>
      <c r="AB73">
        <f>MAX(0,ROUND(AB72*(1+H$5),0)-H73-R73)</f>
        <v/>
      </c>
      <c r="AC73">
        <f>MAX(0,ROUND(AC72*(1+I$5),0)-I73-S73)</f>
        <v/>
      </c>
      <c r="AD73">
        <f>MAX(0,ROUND(AD72*(1+J$5),0)-J73-T73)</f>
        <v/>
      </c>
      <c r="AE73">
        <f>MAX(0,ROUND(AE72*(1+K$5),0)-K73-U73)</f>
        <v/>
      </c>
      <c r="AF73">
        <f>MAX(0,ROUND(AF72*(1+L$5),0)-L73-V73)</f>
        <v/>
      </c>
      <c r="AG73">
        <f>AH73-(AI72-AI73)</f>
        <v/>
      </c>
      <c r="AH73">
        <f>SUM(C73:V73)</f>
        <v/>
      </c>
      <c r="AI73">
        <f>SUM(W73:AF73)</f>
        <v/>
      </c>
      <c r="AJ73">
        <f>0</f>
        <v/>
      </c>
      <c r="AK73">
        <f>IF(AI72&lt;=0,0,11-SUMPRODUCT(MAX((W72:AF72&gt;0)*(11-(COLUMN(W72:AF72)-COLUMN($V72))))))</f>
        <v/>
      </c>
    </row>
    <row r="74">
      <c r="A74" t="n">
        <v>64</v>
      </c>
      <c r="B74">
        <f>DATE(YEAR(InicioEf),MONTH(InicioEf)+A74-1,1)</f>
        <v/>
      </c>
      <c r="C74">
        <f>MIN(C$6,ROUND(W73*(1+C$5),0))</f>
        <v/>
      </c>
      <c r="D74">
        <f>MIN(D$6,ROUND(X73*(1+D$5),0))</f>
        <v/>
      </c>
      <c r="E74">
        <f>MIN(E$6,ROUND(Y73*(1+E$5),0))</f>
        <v/>
      </c>
      <c r="F74">
        <f>MIN(F$6,ROUND(Z73*(1+F$5),0))</f>
        <v/>
      </c>
      <c r="G74">
        <f>MIN(G$6,ROUND(AA73*(1+G$5),0))</f>
        <v/>
      </c>
      <c r="H74">
        <f>MIN(H$6,ROUND(AB73*(1+H$5),0))</f>
        <v/>
      </c>
      <c r="I74">
        <f>MIN(I$6,ROUND(AC73*(1+I$5),0))</f>
        <v/>
      </c>
      <c r="J74">
        <f>MIN(J$6,ROUND(AD73*(1+J$5),0))</f>
        <v/>
      </c>
      <c r="K74">
        <f>MIN(K$6,ROUND(AE73*(1+K$5),0))</f>
        <v/>
      </c>
      <c r="L74">
        <f>MIN(L$6,ROUND(AF73*(1+L$5),0))</f>
        <v/>
      </c>
      <c r="M74">
        <f>MAX(0,MIN(ROUND(W73*(1+C$5),0)-C74,$AJ74-0))</f>
        <v/>
      </c>
      <c r="N74">
        <f>MAX(0,MIN(ROUND(X73*(1+D$5),0)-D74,$AJ74-SUM($M74:M74)))</f>
        <v/>
      </c>
      <c r="O74">
        <f>MAX(0,MIN(ROUND(Y73*(1+E$5),0)-E74,$AJ74-SUM($M74:N74)))</f>
        <v/>
      </c>
      <c r="P74">
        <f>MAX(0,MIN(ROUND(Z73*(1+F$5),0)-F74,$AJ74-SUM($M74:O74)))</f>
        <v/>
      </c>
      <c r="Q74">
        <f>MAX(0,MIN(ROUND(AA73*(1+G$5),0)-G74,$AJ74-SUM($M74:P74)))</f>
        <v/>
      </c>
      <c r="R74">
        <f>MAX(0,MIN(ROUND(AB73*(1+H$5),0)-H74,$AJ74-SUM($M74:Q74)))</f>
        <v/>
      </c>
      <c r="S74">
        <f>MAX(0,MIN(ROUND(AC73*(1+I$5),0)-I74,$AJ74-SUM($M74:R74)))</f>
        <v/>
      </c>
      <c r="T74">
        <f>MAX(0,MIN(ROUND(AD73*(1+J$5),0)-J74,$AJ74-SUM($M74:S74)))</f>
        <v/>
      </c>
      <c r="U74">
        <f>MAX(0,MIN(ROUND(AE73*(1+K$5),0)-K74,$AJ74-SUM($M74:T74)))</f>
        <v/>
      </c>
      <c r="V74">
        <f>MAX(0,MIN(ROUND(AF73*(1+L$5),0)-L74,$AJ74-SUM($M74:U74)))</f>
        <v/>
      </c>
      <c r="W74">
        <f>MAX(0,ROUND(W73*(1+C$5),0)-C74-M74)</f>
        <v/>
      </c>
      <c r="X74">
        <f>MAX(0,ROUND(X73*(1+D$5),0)-D74-N74)</f>
        <v/>
      </c>
      <c r="Y74">
        <f>MAX(0,ROUND(Y73*(1+E$5),0)-E74-O74)</f>
        <v/>
      </c>
      <c r="Z74">
        <f>MAX(0,ROUND(Z73*(1+F$5),0)-F74-P74)</f>
        <v/>
      </c>
      <c r="AA74">
        <f>MAX(0,ROUND(AA73*(1+G$5),0)-G74-Q74)</f>
        <v/>
      </c>
      <c r="AB74">
        <f>MAX(0,ROUND(AB73*(1+H$5),0)-H74-R74)</f>
        <v/>
      </c>
      <c r="AC74">
        <f>MAX(0,ROUND(AC73*(1+I$5),0)-I74-S74)</f>
        <v/>
      </c>
      <c r="AD74">
        <f>MAX(0,ROUND(AD73*(1+J$5),0)-J74-T74)</f>
        <v/>
      </c>
      <c r="AE74">
        <f>MAX(0,ROUND(AE73*(1+K$5),0)-K74-U74)</f>
        <v/>
      </c>
      <c r="AF74">
        <f>MAX(0,ROUND(AF73*(1+L$5),0)-L74-V74)</f>
        <v/>
      </c>
      <c r="AG74">
        <f>AH74-(AI73-AI74)</f>
        <v/>
      </c>
      <c r="AH74">
        <f>SUM(C74:V74)</f>
        <v/>
      </c>
      <c r="AI74">
        <f>SUM(W74:AF74)</f>
        <v/>
      </c>
      <c r="AJ74">
        <f>0</f>
        <v/>
      </c>
      <c r="AK74">
        <f>IF(AI73&lt;=0,0,11-SUMPRODUCT(MAX((W73:AF73&gt;0)*(11-(COLUMN(W73:AF73)-COLUMN($V73))))))</f>
        <v/>
      </c>
    </row>
    <row r="75">
      <c r="A75" t="n">
        <v>65</v>
      </c>
      <c r="B75">
        <f>DATE(YEAR(InicioEf),MONTH(InicioEf)+A75-1,1)</f>
        <v/>
      </c>
      <c r="C75">
        <f>MIN(C$6,ROUND(W74*(1+C$5),0))</f>
        <v/>
      </c>
      <c r="D75">
        <f>MIN(D$6,ROUND(X74*(1+D$5),0))</f>
        <v/>
      </c>
      <c r="E75">
        <f>MIN(E$6,ROUND(Y74*(1+E$5),0))</f>
        <v/>
      </c>
      <c r="F75">
        <f>MIN(F$6,ROUND(Z74*(1+F$5),0))</f>
        <v/>
      </c>
      <c r="G75">
        <f>MIN(G$6,ROUND(AA74*(1+G$5),0))</f>
        <v/>
      </c>
      <c r="H75">
        <f>MIN(H$6,ROUND(AB74*(1+H$5),0))</f>
        <v/>
      </c>
      <c r="I75">
        <f>MIN(I$6,ROUND(AC74*(1+I$5),0))</f>
        <v/>
      </c>
      <c r="J75">
        <f>MIN(J$6,ROUND(AD74*(1+J$5),0))</f>
        <v/>
      </c>
      <c r="K75">
        <f>MIN(K$6,ROUND(AE74*(1+K$5),0))</f>
        <v/>
      </c>
      <c r="L75">
        <f>MIN(L$6,ROUND(AF74*(1+L$5),0))</f>
        <v/>
      </c>
      <c r="M75">
        <f>MAX(0,MIN(ROUND(W74*(1+C$5),0)-C75,$AJ75-0))</f>
        <v/>
      </c>
      <c r="N75">
        <f>MAX(0,MIN(ROUND(X74*(1+D$5),0)-D75,$AJ75-SUM($M75:M75)))</f>
        <v/>
      </c>
      <c r="O75">
        <f>MAX(0,MIN(ROUND(Y74*(1+E$5),0)-E75,$AJ75-SUM($M75:N75)))</f>
        <v/>
      </c>
      <c r="P75">
        <f>MAX(0,MIN(ROUND(Z74*(1+F$5),0)-F75,$AJ75-SUM($M75:O75)))</f>
        <v/>
      </c>
      <c r="Q75">
        <f>MAX(0,MIN(ROUND(AA74*(1+G$5),0)-G75,$AJ75-SUM($M75:P75)))</f>
        <v/>
      </c>
      <c r="R75">
        <f>MAX(0,MIN(ROUND(AB74*(1+H$5),0)-H75,$AJ75-SUM($M75:Q75)))</f>
        <v/>
      </c>
      <c r="S75">
        <f>MAX(0,MIN(ROUND(AC74*(1+I$5),0)-I75,$AJ75-SUM($M75:R75)))</f>
        <v/>
      </c>
      <c r="T75">
        <f>MAX(0,MIN(ROUND(AD74*(1+J$5),0)-J75,$AJ75-SUM($M75:S75)))</f>
        <v/>
      </c>
      <c r="U75">
        <f>MAX(0,MIN(ROUND(AE74*(1+K$5),0)-K75,$AJ75-SUM($M75:T75)))</f>
        <v/>
      </c>
      <c r="V75">
        <f>MAX(0,MIN(ROUND(AF74*(1+L$5),0)-L75,$AJ75-SUM($M75:U75)))</f>
        <v/>
      </c>
      <c r="W75">
        <f>MAX(0,ROUND(W74*(1+C$5),0)-C75-M75)</f>
        <v/>
      </c>
      <c r="X75">
        <f>MAX(0,ROUND(X74*(1+D$5),0)-D75-N75)</f>
        <v/>
      </c>
      <c r="Y75">
        <f>MAX(0,ROUND(Y74*(1+E$5),0)-E75-O75)</f>
        <v/>
      </c>
      <c r="Z75">
        <f>MAX(0,ROUND(Z74*(1+F$5),0)-F75-P75)</f>
        <v/>
      </c>
      <c r="AA75">
        <f>MAX(0,ROUND(AA74*(1+G$5),0)-G75-Q75)</f>
        <v/>
      </c>
      <c r="AB75">
        <f>MAX(0,ROUND(AB74*(1+H$5),0)-H75-R75)</f>
        <v/>
      </c>
      <c r="AC75">
        <f>MAX(0,ROUND(AC74*(1+I$5),0)-I75-S75)</f>
        <v/>
      </c>
      <c r="AD75">
        <f>MAX(0,ROUND(AD74*(1+J$5),0)-J75-T75)</f>
        <v/>
      </c>
      <c r="AE75">
        <f>MAX(0,ROUND(AE74*(1+K$5),0)-K75-U75)</f>
        <v/>
      </c>
      <c r="AF75">
        <f>MAX(0,ROUND(AF74*(1+L$5),0)-L75-V75)</f>
        <v/>
      </c>
      <c r="AG75">
        <f>AH75-(AI74-AI75)</f>
        <v/>
      </c>
      <c r="AH75">
        <f>SUM(C75:V75)</f>
        <v/>
      </c>
      <c r="AI75">
        <f>SUM(W75:AF75)</f>
        <v/>
      </c>
      <c r="AJ75">
        <f>0</f>
        <v/>
      </c>
      <c r="AK75">
        <f>IF(AI74&lt;=0,0,11-SUMPRODUCT(MAX((W74:AF74&gt;0)*(11-(COLUMN(W74:AF74)-COLUMN($V74))))))</f>
        <v/>
      </c>
    </row>
    <row r="76">
      <c r="A76" t="n">
        <v>66</v>
      </c>
      <c r="B76">
        <f>DATE(YEAR(InicioEf),MONTH(InicioEf)+A76-1,1)</f>
        <v/>
      </c>
      <c r="C76">
        <f>MIN(C$6,ROUND(W75*(1+C$5),0))</f>
        <v/>
      </c>
      <c r="D76">
        <f>MIN(D$6,ROUND(X75*(1+D$5),0))</f>
        <v/>
      </c>
      <c r="E76">
        <f>MIN(E$6,ROUND(Y75*(1+E$5),0))</f>
        <v/>
      </c>
      <c r="F76">
        <f>MIN(F$6,ROUND(Z75*(1+F$5),0))</f>
        <v/>
      </c>
      <c r="G76">
        <f>MIN(G$6,ROUND(AA75*(1+G$5),0))</f>
        <v/>
      </c>
      <c r="H76">
        <f>MIN(H$6,ROUND(AB75*(1+H$5),0))</f>
        <v/>
      </c>
      <c r="I76">
        <f>MIN(I$6,ROUND(AC75*(1+I$5),0))</f>
        <v/>
      </c>
      <c r="J76">
        <f>MIN(J$6,ROUND(AD75*(1+J$5),0))</f>
        <v/>
      </c>
      <c r="K76">
        <f>MIN(K$6,ROUND(AE75*(1+K$5),0))</f>
        <v/>
      </c>
      <c r="L76">
        <f>MIN(L$6,ROUND(AF75*(1+L$5),0))</f>
        <v/>
      </c>
      <c r="M76">
        <f>MAX(0,MIN(ROUND(W75*(1+C$5),0)-C76,$AJ76-0))</f>
        <v/>
      </c>
      <c r="N76">
        <f>MAX(0,MIN(ROUND(X75*(1+D$5),0)-D76,$AJ76-SUM($M76:M76)))</f>
        <v/>
      </c>
      <c r="O76">
        <f>MAX(0,MIN(ROUND(Y75*(1+E$5),0)-E76,$AJ76-SUM($M76:N76)))</f>
        <v/>
      </c>
      <c r="P76">
        <f>MAX(0,MIN(ROUND(Z75*(1+F$5),0)-F76,$AJ76-SUM($M76:O76)))</f>
        <v/>
      </c>
      <c r="Q76">
        <f>MAX(0,MIN(ROUND(AA75*(1+G$5),0)-G76,$AJ76-SUM($M76:P76)))</f>
        <v/>
      </c>
      <c r="R76">
        <f>MAX(0,MIN(ROUND(AB75*(1+H$5),0)-H76,$AJ76-SUM($M76:Q76)))</f>
        <v/>
      </c>
      <c r="S76">
        <f>MAX(0,MIN(ROUND(AC75*(1+I$5),0)-I76,$AJ76-SUM($M76:R76)))</f>
        <v/>
      </c>
      <c r="T76">
        <f>MAX(0,MIN(ROUND(AD75*(1+J$5),0)-J76,$AJ76-SUM($M76:S76)))</f>
        <v/>
      </c>
      <c r="U76">
        <f>MAX(0,MIN(ROUND(AE75*(1+K$5),0)-K76,$AJ76-SUM($M76:T76)))</f>
        <v/>
      </c>
      <c r="V76">
        <f>MAX(0,MIN(ROUND(AF75*(1+L$5),0)-L76,$AJ76-SUM($M76:U76)))</f>
        <v/>
      </c>
      <c r="W76">
        <f>MAX(0,ROUND(W75*(1+C$5),0)-C76-M76)</f>
        <v/>
      </c>
      <c r="X76">
        <f>MAX(0,ROUND(X75*(1+D$5),0)-D76-N76)</f>
        <v/>
      </c>
      <c r="Y76">
        <f>MAX(0,ROUND(Y75*(1+E$5),0)-E76-O76)</f>
        <v/>
      </c>
      <c r="Z76">
        <f>MAX(0,ROUND(Z75*(1+F$5),0)-F76-P76)</f>
        <v/>
      </c>
      <c r="AA76">
        <f>MAX(0,ROUND(AA75*(1+G$5),0)-G76-Q76)</f>
        <v/>
      </c>
      <c r="AB76">
        <f>MAX(0,ROUND(AB75*(1+H$5),0)-H76-R76)</f>
        <v/>
      </c>
      <c r="AC76">
        <f>MAX(0,ROUND(AC75*(1+I$5),0)-I76-S76)</f>
        <v/>
      </c>
      <c r="AD76">
        <f>MAX(0,ROUND(AD75*(1+J$5),0)-J76-T76)</f>
        <v/>
      </c>
      <c r="AE76">
        <f>MAX(0,ROUND(AE75*(1+K$5),0)-K76-U76)</f>
        <v/>
      </c>
      <c r="AF76">
        <f>MAX(0,ROUND(AF75*(1+L$5),0)-L76-V76)</f>
        <v/>
      </c>
      <c r="AG76">
        <f>AH76-(AI75-AI76)</f>
        <v/>
      </c>
      <c r="AH76">
        <f>SUM(C76:V76)</f>
        <v/>
      </c>
      <c r="AI76">
        <f>SUM(W76:AF76)</f>
        <v/>
      </c>
      <c r="AJ76">
        <f>0</f>
        <v/>
      </c>
      <c r="AK76">
        <f>IF(AI75&lt;=0,0,11-SUMPRODUCT(MAX((W75:AF75&gt;0)*(11-(COLUMN(W75:AF75)-COLUMN($V75))))))</f>
        <v/>
      </c>
    </row>
    <row r="77">
      <c r="A77" t="n">
        <v>67</v>
      </c>
      <c r="B77">
        <f>DATE(YEAR(InicioEf),MONTH(InicioEf)+A77-1,1)</f>
        <v/>
      </c>
      <c r="C77">
        <f>MIN(C$6,ROUND(W76*(1+C$5),0))</f>
        <v/>
      </c>
      <c r="D77">
        <f>MIN(D$6,ROUND(X76*(1+D$5),0))</f>
        <v/>
      </c>
      <c r="E77">
        <f>MIN(E$6,ROUND(Y76*(1+E$5),0))</f>
        <v/>
      </c>
      <c r="F77">
        <f>MIN(F$6,ROUND(Z76*(1+F$5),0))</f>
        <v/>
      </c>
      <c r="G77">
        <f>MIN(G$6,ROUND(AA76*(1+G$5),0))</f>
        <v/>
      </c>
      <c r="H77">
        <f>MIN(H$6,ROUND(AB76*(1+H$5),0))</f>
        <v/>
      </c>
      <c r="I77">
        <f>MIN(I$6,ROUND(AC76*(1+I$5),0))</f>
        <v/>
      </c>
      <c r="J77">
        <f>MIN(J$6,ROUND(AD76*(1+J$5),0))</f>
        <v/>
      </c>
      <c r="K77">
        <f>MIN(K$6,ROUND(AE76*(1+K$5),0))</f>
        <v/>
      </c>
      <c r="L77">
        <f>MIN(L$6,ROUND(AF76*(1+L$5),0))</f>
        <v/>
      </c>
      <c r="M77">
        <f>MAX(0,MIN(ROUND(W76*(1+C$5),0)-C77,$AJ77-0))</f>
        <v/>
      </c>
      <c r="N77">
        <f>MAX(0,MIN(ROUND(X76*(1+D$5),0)-D77,$AJ77-SUM($M77:M77)))</f>
        <v/>
      </c>
      <c r="O77">
        <f>MAX(0,MIN(ROUND(Y76*(1+E$5),0)-E77,$AJ77-SUM($M77:N77)))</f>
        <v/>
      </c>
      <c r="P77">
        <f>MAX(0,MIN(ROUND(Z76*(1+F$5),0)-F77,$AJ77-SUM($M77:O77)))</f>
        <v/>
      </c>
      <c r="Q77">
        <f>MAX(0,MIN(ROUND(AA76*(1+G$5),0)-G77,$AJ77-SUM($M77:P77)))</f>
        <v/>
      </c>
      <c r="R77">
        <f>MAX(0,MIN(ROUND(AB76*(1+H$5),0)-H77,$AJ77-SUM($M77:Q77)))</f>
        <v/>
      </c>
      <c r="S77">
        <f>MAX(0,MIN(ROUND(AC76*(1+I$5),0)-I77,$AJ77-SUM($M77:R77)))</f>
        <v/>
      </c>
      <c r="T77">
        <f>MAX(0,MIN(ROUND(AD76*(1+J$5),0)-J77,$AJ77-SUM($M77:S77)))</f>
        <v/>
      </c>
      <c r="U77">
        <f>MAX(0,MIN(ROUND(AE76*(1+K$5),0)-K77,$AJ77-SUM($M77:T77)))</f>
        <v/>
      </c>
      <c r="V77">
        <f>MAX(0,MIN(ROUND(AF76*(1+L$5),0)-L77,$AJ77-SUM($M77:U77)))</f>
        <v/>
      </c>
      <c r="W77">
        <f>MAX(0,ROUND(W76*(1+C$5),0)-C77-M77)</f>
        <v/>
      </c>
      <c r="X77">
        <f>MAX(0,ROUND(X76*(1+D$5),0)-D77-N77)</f>
        <v/>
      </c>
      <c r="Y77">
        <f>MAX(0,ROUND(Y76*(1+E$5),0)-E77-O77)</f>
        <v/>
      </c>
      <c r="Z77">
        <f>MAX(0,ROUND(Z76*(1+F$5),0)-F77-P77)</f>
        <v/>
      </c>
      <c r="AA77">
        <f>MAX(0,ROUND(AA76*(1+G$5),0)-G77-Q77)</f>
        <v/>
      </c>
      <c r="AB77">
        <f>MAX(0,ROUND(AB76*(1+H$5),0)-H77-R77)</f>
        <v/>
      </c>
      <c r="AC77">
        <f>MAX(0,ROUND(AC76*(1+I$5),0)-I77-S77)</f>
        <v/>
      </c>
      <c r="AD77">
        <f>MAX(0,ROUND(AD76*(1+J$5),0)-J77-T77)</f>
        <v/>
      </c>
      <c r="AE77">
        <f>MAX(0,ROUND(AE76*(1+K$5),0)-K77-U77)</f>
        <v/>
      </c>
      <c r="AF77">
        <f>MAX(0,ROUND(AF76*(1+L$5),0)-L77-V77)</f>
        <v/>
      </c>
      <c r="AG77">
        <f>AH77-(AI76-AI77)</f>
        <v/>
      </c>
      <c r="AH77">
        <f>SUM(C77:V77)</f>
        <v/>
      </c>
      <c r="AI77">
        <f>SUM(W77:AF77)</f>
        <v/>
      </c>
      <c r="AJ77">
        <f>0</f>
        <v/>
      </c>
      <c r="AK77">
        <f>IF(AI76&lt;=0,0,11-SUMPRODUCT(MAX((W76:AF76&gt;0)*(11-(COLUMN(W76:AF76)-COLUMN($V76))))))</f>
        <v/>
      </c>
    </row>
    <row r="78">
      <c r="A78" t="n">
        <v>68</v>
      </c>
      <c r="B78">
        <f>DATE(YEAR(InicioEf),MONTH(InicioEf)+A78-1,1)</f>
        <v/>
      </c>
      <c r="C78">
        <f>MIN(C$6,ROUND(W77*(1+C$5),0))</f>
        <v/>
      </c>
      <c r="D78">
        <f>MIN(D$6,ROUND(X77*(1+D$5),0))</f>
        <v/>
      </c>
      <c r="E78">
        <f>MIN(E$6,ROUND(Y77*(1+E$5),0))</f>
        <v/>
      </c>
      <c r="F78">
        <f>MIN(F$6,ROUND(Z77*(1+F$5),0))</f>
        <v/>
      </c>
      <c r="G78">
        <f>MIN(G$6,ROUND(AA77*(1+G$5),0))</f>
        <v/>
      </c>
      <c r="H78">
        <f>MIN(H$6,ROUND(AB77*(1+H$5),0))</f>
        <v/>
      </c>
      <c r="I78">
        <f>MIN(I$6,ROUND(AC77*(1+I$5),0))</f>
        <v/>
      </c>
      <c r="J78">
        <f>MIN(J$6,ROUND(AD77*(1+J$5),0))</f>
        <v/>
      </c>
      <c r="K78">
        <f>MIN(K$6,ROUND(AE77*(1+K$5),0))</f>
        <v/>
      </c>
      <c r="L78">
        <f>MIN(L$6,ROUND(AF77*(1+L$5),0))</f>
        <v/>
      </c>
      <c r="M78">
        <f>MAX(0,MIN(ROUND(W77*(1+C$5),0)-C78,$AJ78-0))</f>
        <v/>
      </c>
      <c r="N78">
        <f>MAX(0,MIN(ROUND(X77*(1+D$5),0)-D78,$AJ78-SUM($M78:M78)))</f>
        <v/>
      </c>
      <c r="O78">
        <f>MAX(0,MIN(ROUND(Y77*(1+E$5),0)-E78,$AJ78-SUM($M78:N78)))</f>
        <v/>
      </c>
      <c r="P78">
        <f>MAX(0,MIN(ROUND(Z77*(1+F$5),0)-F78,$AJ78-SUM($M78:O78)))</f>
        <v/>
      </c>
      <c r="Q78">
        <f>MAX(0,MIN(ROUND(AA77*(1+G$5),0)-G78,$AJ78-SUM($M78:P78)))</f>
        <v/>
      </c>
      <c r="R78">
        <f>MAX(0,MIN(ROUND(AB77*(1+H$5),0)-H78,$AJ78-SUM($M78:Q78)))</f>
        <v/>
      </c>
      <c r="S78">
        <f>MAX(0,MIN(ROUND(AC77*(1+I$5),0)-I78,$AJ78-SUM($M78:R78)))</f>
        <v/>
      </c>
      <c r="T78">
        <f>MAX(0,MIN(ROUND(AD77*(1+J$5),0)-J78,$AJ78-SUM($M78:S78)))</f>
        <v/>
      </c>
      <c r="U78">
        <f>MAX(0,MIN(ROUND(AE77*(1+K$5),0)-K78,$AJ78-SUM($M78:T78)))</f>
        <v/>
      </c>
      <c r="V78">
        <f>MAX(0,MIN(ROUND(AF77*(1+L$5),0)-L78,$AJ78-SUM($M78:U78)))</f>
        <v/>
      </c>
      <c r="W78">
        <f>MAX(0,ROUND(W77*(1+C$5),0)-C78-M78)</f>
        <v/>
      </c>
      <c r="X78">
        <f>MAX(0,ROUND(X77*(1+D$5),0)-D78-N78)</f>
        <v/>
      </c>
      <c r="Y78">
        <f>MAX(0,ROUND(Y77*(1+E$5),0)-E78-O78)</f>
        <v/>
      </c>
      <c r="Z78">
        <f>MAX(0,ROUND(Z77*(1+F$5),0)-F78-P78)</f>
        <v/>
      </c>
      <c r="AA78">
        <f>MAX(0,ROUND(AA77*(1+G$5),0)-G78-Q78)</f>
        <v/>
      </c>
      <c r="AB78">
        <f>MAX(0,ROUND(AB77*(1+H$5),0)-H78-R78)</f>
        <v/>
      </c>
      <c r="AC78">
        <f>MAX(0,ROUND(AC77*(1+I$5),0)-I78-S78)</f>
        <v/>
      </c>
      <c r="AD78">
        <f>MAX(0,ROUND(AD77*(1+J$5),0)-J78-T78)</f>
        <v/>
      </c>
      <c r="AE78">
        <f>MAX(0,ROUND(AE77*(1+K$5),0)-K78-U78)</f>
        <v/>
      </c>
      <c r="AF78">
        <f>MAX(0,ROUND(AF77*(1+L$5),0)-L78-V78)</f>
        <v/>
      </c>
      <c r="AG78">
        <f>AH78-(AI77-AI78)</f>
        <v/>
      </c>
      <c r="AH78">
        <f>SUM(C78:V78)</f>
        <v/>
      </c>
      <c r="AI78">
        <f>SUM(W78:AF78)</f>
        <v/>
      </c>
      <c r="AJ78">
        <f>0</f>
        <v/>
      </c>
      <c r="AK78">
        <f>IF(AI77&lt;=0,0,11-SUMPRODUCT(MAX((W77:AF77&gt;0)*(11-(COLUMN(W77:AF77)-COLUMN($V77))))))</f>
        <v/>
      </c>
    </row>
    <row r="79">
      <c r="A79" t="n">
        <v>69</v>
      </c>
      <c r="B79">
        <f>DATE(YEAR(InicioEf),MONTH(InicioEf)+A79-1,1)</f>
        <v/>
      </c>
      <c r="C79">
        <f>MIN(C$6,ROUND(W78*(1+C$5),0))</f>
        <v/>
      </c>
      <c r="D79">
        <f>MIN(D$6,ROUND(X78*(1+D$5),0))</f>
        <v/>
      </c>
      <c r="E79">
        <f>MIN(E$6,ROUND(Y78*(1+E$5),0))</f>
        <v/>
      </c>
      <c r="F79">
        <f>MIN(F$6,ROUND(Z78*(1+F$5),0))</f>
        <v/>
      </c>
      <c r="G79">
        <f>MIN(G$6,ROUND(AA78*(1+G$5),0))</f>
        <v/>
      </c>
      <c r="H79">
        <f>MIN(H$6,ROUND(AB78*(1+H$5),0))</f>
        <v/>
      </c>
      <c r="I79">
        <f>MIN(I$6,ROUND(AC78*(1+I$5),0))</f>
        <v/>
      </c>
      <c r="J79">
        <f>MIN(J$6,ROUND(AD78*(1+J$5),0))</f>
        <v/>
      </c>
      <c r="K79">
        <f>MIN(K$6,ROUND(AE78*(1+K$5),0))</f>
        <v/>
      </c>
      <c r="L79">
        <f>MIN(L$6,ROUND(AF78*(1+L$5),0))</f>
        <v/>
      </c>
      <c r="M79">
        <f>MAX(0,MIN(ROUND(W78*(1+C$5),0)-C79,$AJ79-0))</f>
        <v/>
      </c>
      <c r="N79">
        <f>MAX(0,MIN(ROUND(X78*(1+D$5),0)-D79,$AJ79-SUM($M79:M79)))</f>
        <v/>
      </c>
      <c r="O79">
        <f>MAX(0,MIN(ROUND(Y78*(1+E$5),0)-E79,$AJ79-SUM($M79:N79)))</f>
        <v/>
      </c>
      <c r="P79">
        <f>MAX(0,MIN(ROUND(Z78*(1+F$5),0)-F79,$AJ79-SUM($M79:O79)))</f>
        <v/>
      </c>
      <c r="Q79">
        <f>MAX(0,MIN(ROUND(AA78*(1+G$5),0)-G79,$AJ79-SUM($M79:P79)))</f>
        <v/>
      </c>
      <c r="R79">
        <f>MAX(0,MIN(ROUND(AB78*(1+H$5),0)-H79,$AJ79-SUM($M79:Q79)))</f>
        <v/>
      </c>
      <c r="S79">
        <f>MAX(0,MIN(ROUND(AC78*(1+I$5),0)-I79,$AJ79-SUM($M79:R79)))</f>
        <v/>
      </c>
      <c r="T79">
        <f>MAX(0,MIN(ROUND(AD78*(1+J$5),0)-J79,$AJ79-SUM($M79:S79)))</f>
        <v/>
      </c>
      <c r="U79">
        <f>MAX(0,MIN(ROUND(AE78*(1+K$5),0)-K79,$AJ79-SUM($M79:T79)))</f>
        <v/>
      </c>
      <c r="V79">
        <f>MAX(0,MIN(ROUND(AF78*(1+L$5),0)-L79,$AJ79-SUM($M79:U79)))</f>
        <v/>
      </c>
      <c r="W79">
        <f>MAX(0,ROUND(W78*(1+C$5),0)-C79-M79)</f>
        <v/>
      </c>
      <c r="X79">
        <f>MAX(0,ROUND(X78*(1+D$5),0)-D79-N79)</f>
        <v/>
      </c>
      <c r="Y79">
        <f>MAX(0,ROUND(Y78*(1+E$5),0)-E79-O79)</f>
        <v/>
      </c>
      <c r="Z79">
        <f>MAX(0,ROUND(Z78*(1+F$5),0)-F79-P79)</f>
        <v/>
      </c>
      <c r="AA79">
        <f>MAX(0,ROUND(AA78*(1+G$5),0)-G79-Q79)</f>
        <v/>
      </c>
      <c r="AB79">
        <f>MAX(0,ROUND(AB78*(1+H$5),0)-H79-R79)</f>
        <v/>
      </c>
      <c r="AC79">
        <f>MAX(0,ROUND(AC78*(1+I$5),0)-I79-S79)</f>
        <v/>
      </c>
      <c r="AD79">
        <f>MAX(0,ROUND(AD78*(1+J$5),0)-J79-T79)</f>
        <v/>
      </c>
      <c r="AE79">
        <f>MAX(0,ROUND(AE78*(1+K$5),0)-K79-U79)</f>
        <v/>
      </c>
      <c r="AF79">
        <f>MAX(0,ROUND(AF78*(1+L$5),0)-L79-V79)</f>
        <v/>
      </c>
      <c r="AG79">
        <f>AH79-(AI78-AI79)</f>
        <v/>
      </c>
      <c r="AH79">
        <f>SUM(C79:V79)</f>
        <v/>
      </c>
      <c r="AI79">
        <f>SUM(W79:AF79)</f>
        <v/>
      </c>
      <c r="AJ79">
        <f>0</f>
        <v/>
      </c>
      <c r="AK79">
        <f>IF(AI78&lt;=0,0,11-SUMPRODUCT(MAX((W78:AF78&gt;0)*(11-(COLUMN(W78:AF78)-COLUMN($V78))))))</f>
        <v/>
      </c>
    </row>
    <row r="80">
      <c r="A80" t="n">
        <v>70</v>
      </c>
      <c r="B80">
        <f>DATE(YEAR(InicioEf),MONTH(InicioEf)+A80-1,1)</f>
        <v/>
      </c>
      <c r="C80">
        <f>MIN(C$6,ROUND(W79*(1+C$5),0))</f>
        <v/>
      </c>
      <c r="D80">
        <f>MIN(D$6,ROUND(X79*(1+D$5),0))</f>
        <v/>
      </c>
      <c r="E80">
        <f>MIN(E$6,ROUND(Y79*(1+E$5),0))</f>
        <v/>
      </c>
      <c r="F80">
        <f>MIN(F$6,ROUND(Z79*(1+F$5),0))</f>
        <v/>
      </c>
      <c r="G80">
        <f>MIN(G$6,ROUND(AA79*(1+G$5),0))</f>
        <v/>
      </c>
      <c r="H80">
        <f>MIN(H$6,ROUND(AB79*(1+H$5),0))</f>
        <v/>
      </c>
      <c r="I80">
        <f>MIN(I$6,ROUND(AC79*(1+I$5),0))</f>
        <v/>
      </c>
      <c r="J80">
        <f>MIN(J$6,ROUND(AD79*(1+J$5),0))</f>
        <v/>
      </c>
      <c r="K80">
        <f>MIN(K$6,ROUND(AE79*(1+K$5),0))</f>
        <v/>
      </c>
      <c r="L80">
        <f>MIN(L$6,ROUND(AF79*(1+L$5),0))</f>
        <v/>
      </c>
      <c r="M80">
        <f>MAX(0,MIN(ROUND(W79*(1+C$5),0)-C80,$AJ80-0))</f>
        <v/>
      </c>
      <c r="N80">
        <f>MAX(0,MIN(ROUND(X79*(1+D$5),0)-D80,$AJ80-SUM($M80:M80)))</f>
        <v/>
      </c>
      <c r="O80">
        <f>MAX(0,MIN(ROUND(Y79*(1+E$5),0)-E80,$AJ80-SUM($M80:N80)))</f>
        <v/>
      </c>
      <c r="P80">
        <f>MAX(0,MIN(ROUND(Z79*(1+F$5),0)-F80,$AJ80-SUM($M80:O80)))</f>
        <v/>
      </c>
      <c r="Q80">
        <f>MAX(0,MIN(ROUND(AA79*(1+G$5),0)-G80,$AJ80-SUM($M80:P80)))</f>
        <v/>
      </c>
      <c r="R80">
        <f>MAX(0,MIN(ROUND(AB79*(1+H$5),0)-H80,$AJ80-SUM($M80:Q80)))</f>
        <v/>
      </c>
      <c r="S80">
        <f>MAX(0,MIN(ROUND(AC79*(1+I$5),0)-I80,$AJ80-SUM($M80:R80)))</f>
        <v/>
      </c>
      <c r="T80">
        <f>MAX(0,MIN(ROUND(AD79*(1+J$5),0)-J80,$AJ80-SUM($M80:S80)))</f>
        <v/>
      </c>
      <c r="U80">
        <f>MAX(0,MIN(ROUND(AE79*(1+K$5),0)-K80,$AJ80-SUM($M80:T80)))</f>
        <v/>
      </c>
      <c r="V80">
        <f>MAX(0,MIN(ROUND(AF79*(1+L$5),0)-L80,$AJ80-SUM($M80:U80)))</f>
        <v/>
      </c>
      <c r="W80">
        <f>MAX(0,ROUND(W79*(1+C$5),0)-C80-M80)</f>
        <v/>
      </c>
      <c r="X80">
        <f>MAX(0,ROUND(X79*(1+D$5),0)-D80-N80)</f>
        <v/>
      </c>
      <c r="Y80">
        <f>MAX(0,ROUND(Y79*(1+E$5),0)-E80-O80)</f>
        <v/>
      </c>
      <c r="Z80">
        <f>MAX(0,ROUND(Z79*(1+F$5),0)-F80-P80)</f>
        <v/>
      </c>
      <c r="AA80">
        <f>MAX(0,ROUND(AA79*(1+G$5),0)-G80-Q80)</f>
        <v/>
      </c>
      <c r="AB80">
        <f>MAX(0,ROUND(AB79*(1+H$5),0)-H80-R80)</f>
        <v/>
      </c>
      <c r="AC80">
        <f>MAX(0,ROUND(AC79*(1+I$5),0)-I80-S80)</f>
        <v/>
      </c>
      <c r="AD80">
        <f>MAX(0,ROUND(AD79*(1+J$5),0)-J80-T80)</f>
        <v/>
      </c>
      <c r="AE80">
        <f>MAX(0,ROUND(AE79*(1+K$5),0)-K80-U80)</f>
        <v/>
      </c>
      <c r="AF80">
        <f>MAX(0,ROUND(AF79*(1+L$5),0)-L80-V80)</f>
        <v/>
      </c>
      <c r="AG80">
        <f>AH80-(AI79-AI80)</f>
        <v/>
      </c>
      <c r="AH80">
        <f>SUM(C80:V80)</f>
        <v/>
      </c>
      <c r="AI80">
        <f>SUM(W80:AF80)</f>
        <v/>
      </c>
      <c r="AJ80">
        <f>0</f>
        <v/>
      </c>
      <c r="AK80">
        <f>IF(AI79&lt;=0,0,11-SUMPRODUCT(MAX((W79:AF79&gt;0)*(11-(COLUMN(W79:AF79)-COLUMN($V79))))))</f>
        <v/>
      </c>
    </row>
    <row r="81">
      <c r="A81" t="n">
        <v>71</v>
      </c>
      <c r="B81">
        <f>DATE(YEAR(InicioEf),MONTH(InicioEf)+A81-1,1)</f>
        <v/>
      </c>
      <c r="C81">
        <f>MIN(C$6,ROUND(W80*(1+C$5),0))</f>
        <v/>
      </c>
      <c r="D81">
        <f>MIN(D$6,ROUND(X80*(1+D$5),0))</f>
        <v/>
      </c>
      <c r="E81">
        <f>MIN(E$6,ROUND(Y80*(1+E$5),0))</f>
        <v/>
      </c>
      <c r="F81">
        <f>MIN(F$6,ROUND(Z80*(1+F$5),0))</f>
        <v/>
      </c>
      <c r="G81">
        <f>MIN(G$6,ROUND(AA80*(1+G$5),0))</f>
        <v/>
      </c>
      <c r="H81">
        <f>MIN(H$6,ROUND(AB80*(1+H$5),0))</f>
        <v/>
      </c>
      <c r="I81">
        <f>MIN(I$6,ROUND(AC80*(1+I$5),0))</f>
        <v/>
      </c>
      <c r="J81">
        <f>MIN(J$6,ROUND(AD80*(1+J$5),0))</f>
        <v/>
      </c>
      <c r="K81">
        <f>MIN(K$6,ROUND(AE80*(1+K$5),0))</f>
        <v/>
      </c>
      <c r="L81">
        <f>MIN(L$6,ROUND(AF80*(1+L$5),0))</f>
        <v/>
      </c>
      <c r="M81">
        <f>MAX(0,MIN(ROUND(W80*(1+C$5),0)-C81,$AJ81-0))</f>
        <v/>
      </c>
      <c r="N81">
        <f>MAX(0,MIN(ROUND(X80*(1+D$5),0)-D81,$AJ81-SUM($M81:M81)))</f>
        <v/>
      </c>
      <c r="O81">
        <f>MAX(0,MIN(ROUND(Y80*(1+E$5),0)-E81,$AJ81-SUM($M81:N81)))</f>
        <v/>
      </c>
      <c r="P81">
        <f>MAX(0,MIN(ROUND(Z80*(1+F$5),0)-F81,$AJ81-SUM($M81:O81)))</f>
        <v/>
      </c>
      <c r="Q81">
        <f>MAX(0,MIN(ROUND(AA80*(1+G$5),0)-G81,$AJ81-SUM($M81:P81)))</f>
        <v/>
      </c>
      <c r="R81">
        <f>MAX(0,MIN(ROUND(AB80*(1+H$5),0)-H81,$AJ81-SUM($M81:Q81)))</f>
        <v/>
      </c>
      <c r="S81">
        <f>MAX(0,MIN(ROUND(AC80*(1+I$5),0)-I81,$AJ81-SUM($M81:R81)))</f>
        <v/>
      </c>
      <c r="T81">
        <f>MAX(0,MIN(ROUND(AD80*(1+J$5),0)-J81,$AJ81-SUM($M81:S81)))</f>
        <v/>
      </c>
      <c r="U81">
        <f>MAX(0,MIN(ROUND(AE80*(1+K$5),0)-K81,$AJ81-SUM($M81:T81)))</f>
        <v/>
      </c>
      <c r="V81">
        <f>MAX(0,MIN(ROUND(AF80*(1+L$5),0)-L81,$AJ81-SUM($M81:U81)))</f>
        <v/>
      </c>
      <c r="W81">
        <f>MAX(0,ROUND(W80*(1+C$5),0)-C81-M81)</f>
        <v/>
      </c>
      <c r="X81">
        <f>MAX(0,ROUND(X80*(1+D$5),0)-D81-N81)</f>
        <v/>
      </c>
      <c r="Y81">
        <f>MAX(0,ROUND(Y80*(1+E$5),0)-E81-O81)</f>
        <v/>
      </c>
      <c r="Z81">
        <f>MAX(0,ROUND(Z80*(1+F$5),0)-F81-P81)</f>
        <v/>
      </c>
      <c r="AA81">
        <f>MAX(0,ROUND(AA80*(1+G$5),0)-G81-Q81)</f>
        <v/>
      </c>
      <c r="AB81">
        <f>MAX(0,ROUND(AB80*(1+H$5),0)-H81-R81)</f>
        <v/>
      </c>
      <c r="AC81">
        <f>MAX(0,ROUND(AC80*(1+I$5),0)-I81-S81)</f>
        <v/>
      </c>
      <c r="AD81">
        <f>MAX(0,ROUND(AD80*(1+J$5),0)-J81-T81)</f>
        <v/>
      </c>
      <c r="AE81">
        <f>MAX(0,ROUND(AE80*(1+K$5),0)-K81-U81)</f>
        <v/>
      </c>
      <c r="AF81">
        <f>MAX(0,ROUND(AF80*(1+L$5),0)-L81-V81)</f>
        <v/>
      </c>
      <c r="AG81">
        <f>AH81-(AI80-AI81)</f>
        <v/>
      </c>
      <c r="AH81">
        <f>SUM(C81:V81)</f>
        <v/>
      </c>
      <c r="AI81">
        <f>SUM(W81:AF81)</f>
        <v/>
      </c>
      <c r="AJ81">
        <f>0</f>
        <v/>
      </c>
      <c r="AK81">
        <f>IF(AI80&lt;=0,0,11-SUMPRODUCT(MAX((W80:AF80&gt;0)*(11-(COLUMN(W80:AF80)-COLUMN($V80))))))</f>
        <v/>
      </c>
    </row>
    <row r="82">
      <c r="A82" t="n">
        <v>72</v>
      </c>
      <c r="B82">
        <f>DATE(YEAR(InicioEf),MONTH(InicioEf)+A82-1,1)</f>
        <v/>
      </c>
      <c r="C82">
        <f>MIN(C$6,ROUND(W81*(1+C$5),0))</f>
        <v/>
      </c>
      <c r="D82">
        <f>MIN(D$6,ROUND(X81*(1+D$5),0))</f>
        <v/>
      </c>
      <c r="E82">
        <f>MIN(E$6,ROUND(Y81*(1+E$5),0))</f>
        <v/>
      </c>
      <c r="F82">
        <f>MIN(F$6,ROUND(Z81*(1+F$5),0))</f>
        <v/>
      </c>
      <c r="G82">
        <f>MIN(G$6,ROUND(AA81*(1+G$5),0))</f>
        <v/>
      </c>
      <c r="H82">
        <f>MIN(H$6,ROUND(AB81*(1+H$5),0))</f>
        <v/>
      </c>
      <c r="I82">
        <f>MIN(I$6,ROUND(AC81*(1+I$5),0))</f>
        <v/>
      </c>
      <c r="J82">
        <f>MIN(J$6,ROUND(AD81*(1+J$5),0))</f>
        <v/>
      </c>
      <c r="K82">
        <f>MIN(K$6,ROUND(AE81*(1+K$5),0))</f>
        <v/>
      </c>
      <c r="L82">
        <f>MIN(L$6,ROUND(AF81*(1+L$5),0))</f>
        <v/>
      </c>
      <c r="M82">
        <f>MAX(0,MIN(ROUND(W81*(1+C$5),0)-C82,$AJ82-0))</f>
        <v/>
      </c>
      <c r="N82">
        <f>MAX(0,MIN(ROUND(X81*(1+D$5),0)-D82,$AJ82-SUM($M82:M82)))</f>
        <v/>
      </c>
      <c r="O82">
        <f>MAX(0,MIN(ROUND(Y81*(1+E$5),0)-E82,$AJ82-SUM($M82:N82)))</f>
        <v/>
      </c>
      <c r="P82">
        <f>MAX(0,MIN(ROUND(Z81*(1+F$5),0)-F82,$AJ82-SUM($M82:O82)))</f>
        <v/>
      </c>
      <c r="Q82">
        <f>MAX(0,MIN(ROUND(AA81*(1+G$5),0)-G82,$AJ82-SUM($M82:P82)))</f>
        <v/>
      </c>
      <c r="R82">
        <f>MAX(0,MIN(ROUND(AB81*(1+H$5),0)-H82,$AJ82-SUM($M82:Q82)))</f>
        <v/>
      </c>
      <c r="S82">
        <f>MAX(0,MIN(ROUND(AC81*(1+I$5),0)-I82,$AJ82-SUM($M82:R82)))</f>
        <v/>
      </c>
      <c r="T82">
        <f>MAX(0,MIN(ROUND(AD81*(1+J$5),0)-J82,$AJ82-SUM($M82:S82)))</f>
        <v/>
      </c>
      <c r="U82">
        <f>MAX(0,MIN(ROUND(AE81*(1+K$5),0)-K82,$AJ82-SUM($M82:T82)))</f>
        <v/>
      </c>
      <c r="V82">
        <f>MAX(0,MIN(ROUND(AF81*(1+L$5),0)-L82,$AJ82-SUM($M82:U82)))</f>
        <v/>
      </c>
      <c r="W82">
        <f>MAX(0,ROUND(W81*(1+C$5),0)-C82-M82)</f>
        <v/>
      </c>
      <c r="X82">
        <f>MAX(0,ROUND(X81*(1+D$5),0)-D82-N82)</f>
        <v/>
      </c>
      <c r="Y82">
        <f>MAX(0,ROUND(Y81*(1+E$5),0)-E82-O82)</f>
        <v/>
      </c>
      <c r="Z82">
        <f>MAX(0,ROUND(Z81*(1+F$5),0)-F82-P82)</f>
        <v/>
      </c>
      <c r="AA82">
        <f>MAX(0,ROUND(AA81*(1+G$5),0)-G82-Q82)</f>
        <v/>
      </c>
      <c r="AB82">
        <f>MAX(0,ROUND(AB81*(1+H$5),0)-H82-R82)</f>
        <v/>
      </c>
      <c r="AC82">
        <f>MAX(0,ROUND(AC81*(1+I$5),0)-I82-S82)</f>
        <v/>
      </c>
      <c r="AD82">
        <f>MAX(0,ROUND(AD81*(1+J$5),0)-J82-T82)</f>
        <v/>
      </c>
      <c r="AE82">
        <f>MAX(0,ROUND(AE81*(1+K$5),0)-K82-U82)</f>
        <v/>
      </c>
      <c r="AF82">
        <f>MAX(0,ROUND(AF81*(1+L$5),0)-L82-V82)</f>
        <v/>
      </c>
      <c r="AG82">
        <f>AH82-(AI81-AI82)</f>
        <v/>
      </c>
      <c r="AH82">
        <f>SUM(C82:V82)</f>
        <v/>
      </c>
      <c r="AI82">
        <f>SUM(W82:AF82)</f>
        <v/>
      </c>
      <c r="AJ82">
        <f>0</f>
        <v/>
      </c>
      <c r="AK82">
        <f>IF(AI81&lt;=0,0,11-SUMPRODUCT(MAX((W81:AF81&gt;0)*(11-(COLUMN(W81:AF81)-COLUMN($V81))))))</f>
        <v/>
      </c>
    </row>
    <row r="83">
      <c r="A83" t="n">
        <v>73</v>
      </c>
      <c r="B83">
        <f>DATE(YEAR(InicioEf),MONTH(InicioEf)+A83-1,1)</f>
        <v/>
      </c>
      <c r="C83">
        <f>MIN(C$6,ROUND(W82*(1+C$5),0))</f>
        <v/>
      </c>
      <c r="D83">
        <f>MIN(D$6,ROUND(X82*(1+D$5),0))</f>
        <v/>
      </c>
      <c r="E83">
        <f>MIN(E$6,ROUND(Y82*(1+E$5),0))</f>
        <v/>
      </c>
      <c r="F83">
        <f>MIN(F$6,ROUND(Z82*(1+F$5),0))</f>
        <v/>
      </c>
      <c r="G83">
        <f>MIN(G$6,ROUND(AA82*(1+G$5),0))</f>
        <v/>
      </c>
      <c r="H83">
        <f>MIN(H$6,ROUND(AB82*(1+H$5),0))</f>
        <v/>
      </c>
      <c r="I83">
        <f>MIN(I$6,ROUND(AC82*(1+I$5),0))</f>
        <v/>
      </c>
      <c r="J83">
        <f>MIN(J$6,ROUND(AD82*(1+J$5),0))</f>
        <v/>
      </c>
      <c r="K83">
        <f>MIN(K$6,ROUND(AE82*(1+K$5),0))</f>
        <v/>
      </c>
      <c r="L83">
        <f>MIN(L$6,ROUND(AF82*(1+L$5),0))</f>
        <v/>
      </c>
      <c r="M83">
        <f>MAX(0,MIN(ROUND(W82*(1+C$5),0)-C83,$AJ83-0))</f>
        <v/>
      </c>
      <c r="N83">
        <f>MAX(0,MIN(ROUND(X82*(1+D$5),0)-D83,$AJ83-SUM($M83:M83)))</f>
        <v/>
      </c>
      <c r="O83">
        <f>MAX(0,MIN(ROUND(Y82*(1+E$5),0)-E83,$AJ83-SUM($M83:N83)))</f>
        <v/>
      </c>
      <c r="P83">
        <f>MAX(0,MIN(ROUND(Z82*(1+F$5),0)-F83,$AJ83-SUM($M83:O83)))</f>
        <v/>
      </c>
      <c r="Q83">
        <f>MAX(0,MIN(ROUND(AA82*(1+G$5),0)-G83,$AJ83-SUM($M83:P83)))</f>
        <v/>
      </c>
      <c r="R83">
        <f>MAX(0,MIN(ROUND(AB82*(1+H$5),0)-H83,$AJ83-SUM($M83:Q83)))</f>
        <v/>
      </c>
      <c r="S83">
        <f>MAX(0,MIN(ROUND(AC82*(1+I$5),0)-I83,$AJ83-SUM($M83:R83)))</f>
        <v/>
      </c>
      <c r="T83">
        <f>MAX(0,MIN(ROUND(AD82*(1+J$5),0)-J83,$AJ83-SUM($M83:S83)))</f>
        <v/>
      </c>
      <c r="U83">
        <f>MAX(0,MIN(ROUND(AE82*(1+K$5),0)-K83,$AJ83-SUM($M83:T83)))</f>
        <v/>
      </c>
      <c r="V83">
        <f>MAX(0,MIN(ROUND(AF82*(1+L$5),0)-L83,$AJ83-SUM($M83:U83)))</f>
        <v/>
      </c>
      <c r="W83">
        <f>MAX(0,ROUND(W82*(1+C$5),0)-C83-M83)</f>
        <v/>
      </c>
      <c r="X83">
        <f>MAX(0,ROUND(X82*(1+D$5),0)-D83-N83)</f>
        <v/>
      </c>
      <c r="Y83">
        <f>MAX(0,ROUND(Y82*(1+E$5),0)-E83-O83)</f>
        <v/>
      </c>
      <c r="Z83">
        <f>MAX(0,ROUND(Z82*(1+F$5),0)-F83-P83)</f>
        <v/>
      </c>
      <c r="AA83">
        <f>MAX(0,ROUND(AA82*(1+G$5),0)-G83-Q83)</f>
        <v/>
      </c>
      <c r="AB83">
        <f>MAX(0,ROUND(AB82*(1+H$5),0)-H83-R83)</f>
        <v/>
      </c>
      <c r="AC83">
        <f>MAX(0,ROUND(AC82*(1+I$5),0)-I83-S83)</f>
        <v/>
      </c>
      <c r="AD83">
        <f>MAX(0,ROUND(AD82*(1+J$5),0)-J83-T83)</f>
        <v/>
      </c>
      <c r="AE83">
        <f>MAX(0,ROUND(AE82*(1+K$5),0)-K83-U83)</f>
        <v/>
      </c>
      <c r="AF83">
        <f>MAX(0,ROUND(AF82*(1+L$5),0)-L83-V83)</f>
        <v/>
      </c>
      <c r="AG83">
        <f>AH83-(AI82-AI83)</f>
        <v/>
      </c>
      <c r="AH83">
        <f>SUM(C83:V83)</f>
        <v/>
      </c>
      <c r="AI83">
        <f>SUM(W83:AF83)</f>
        <v/>
      </c>
      <c r="AJ83">
        <f>0</f>
        <v/>
      </c>
      <c r="AK83">
        <f>IF(AI82&lt;=0,0,11-SUMPRODUCT(MAX((W82:AF82&gt;0)*(11-(COLUMN(W82:AF82)-COLUMN($V82))))))</f>
        <v/>
      </c>
    </row>
    <row r="84">
      <c r="A84" t="n">
        <v>74</v>
      </c>
      <c r="B84">
        <f>DATE(YEAR(InicioEf),MONTH(InicioEf)+A84-1,1)</f>
        <v/>
      </c>
      <c r="C84">
        <f>MIN(C$6,ROUND(W83*(1+C$5),0))</f>
        <v/>
      </c>
      <c r="D84">
        <f>MIN(D$6,ROUND(X83*(1+D$5),0))</f>
        <v/>
      </c>
      <c r="E84">
        <f>MIN(E$6,ROUND(Y83*(1+E$5),0))</f>
        <v/>
      </c>
      <c r="F84">
        <f>MIN(F$6,ROUND(Z83*(1+F$5),0))</f>
        <v/>
      </c>
      <c r="G84">
        <f>MIN(G$6,ROUND(AA83*(1+G$5),0))</f>
        <v/>
      </c>
      <c r="H84">
        <f>MIN(H$6,ROUND(AB83*(1+H$5),0))</f>
        <v/>
      </c>
      <c r="I84">
        <f>MIN(I$6,ROUND(AC83*(1+I$5),0))</f>
        <v/>
      </c>
      <c r="J84">
        <f>MIN(J$6,ROUND(AD83*(1+J$5),0))</f>
        <v/>
      </c>
      <c r="K84">
        <f>MIN(K$6,ROUND(AE83*(1+K$5),0))</f>
        <v/>
      </c>
      <c r="L84">
        <f>MIN(L$6,ROUND(AF83*(1+L$5),0))</f>
        <v/>
      </c>
      <c r="M84">
        <f>MAX(0,MIN(ROUND(W83*(1+C$5),0)-C84,$AJ84-0))</f>
        <v/>
      </c>
      <c r="N84">
        <f>MAX(0,MIN(ROUND(X83*(1+D$5),0)-D84,$AJ84-SUM($M84:M84)))</f>
        <v/>
      </c>
      <c r="O84">
        <f>MAX(0,MIN(ROUND(Y83*(1+E$5),0)-E84,$AJ84-SUM($M84:N84)))</f>
        <v/>
      </c>
      <c r="P84">
        <f>MAX(0,MIN(ROUND(Z83*(1+F$5),0)-F84,$AJ84-SUM($M84:O84)))</f>
        <v/>
      </c>
      <c r="Q84">
        <f>MAX(0,MIN(ROUND(AA83*(1+G$5),0)-G84,$AJ84-SUM($M84:P84)))</f>
        <v/>
      </c>
      <c r="R84">
        <f>MAX(0,MIN(ROUND(AB83*(1+H$5),0)-H84,$AJ84-SUM($M84:Q84)))</f>
        <v/>
      </c>
      <c r="S84">
        <f>MAX(0,MIN(ROUND(AC83*(1+I$5),0)-I84,$AJ84-SUM($M84:R84)))</f>
        <v/>
      </c>
      <c r="T84">
        <f>MAX(0,MIN(ROUND(AD83*(1+J$5),0)-J84,$AJ84-SUM($M84:S84)))</f>
        <v/>
      </c>
      <c r="U84">
        <f>MAX(0,MIN(ROUND(AE83*(1+K$5),0)-K84,$AJ84-SUM($M84:T84)))</f>
        <v/>
      </c>
      <c r="V84">
        <f>MAX(0,MIN(ROUND(AF83*(1+L$5),0)-L84,$AJ84-SUM($M84:U84)))</f>
        <v/>
      </c>
      <c r="W84">
        <f>MAX(0,ROUND(W83*(1+C$5),0)-C84-M84)</f>
        <v/>
      </c>
      <c r="X84">
        <f>MAX(0,ROUND(X83*(1+D$5),0)-D84-N84)</f>
        <v/>
      </c>
      <c r="Y84">
        <f>MAX(0,ROUND(Y83*(1+E$5),0)-E84-O84)</f>
        <v/>
      </c>
      <c r="Z84">
        <f>MAX(0,ROUND(Z83*(1+F$5),0)-F84-P84)</f>
        <v/>
      </c>
      <c r="AA84">
        <f>MAX(0,ROUND(AA83*(1+G$5),0)-G84-Q84)</f>
        <v/>
      </c>
      <c r="AB84">
        <f>MAX(0,ROUND(AB83*(1+H$5),0)-H84-R84)</f>
        <v/>
      </c>
      <c r="AC84">
        <f>MAX(0,ROUND(AC83*(1+I$5),0)-I84-S84)</f>
        <v/>
      </c>
      <c r="AD84">
        <f>MAX(0,ROUND(AD83*(1+J$5),0)-J84-T84)</f>
        <v/>
      </c>
      <c r="AE84">
        <f>MAX(0,ROUND(AE83*(1+K$5),0)-K84-U84)</f>
        <v/>
      </c>
      <c r="AF84">
        <f>MAX(0,ROUND(AF83*(1+L$5),0)-L84-V84)</f>
        <v/>
      </c>
      <c r="AG84">
        <f>AH84-(AI83-AI84)</f>
        <v/>
      </c>
      <c r="AH84">
        <f>SUM(C84:V84)</f>
        <v/>
      </c>
      <c r="AI84">
        <f>SUM(W84:AF84)</f>
        <v/>
      </c>
      <c r="AJ84">
        <f>0</f>
        <v/>
      </c>
      <c r="AK84">
        <f>IF(AI83&lt;=0,0,11-SUMPRODUCT(MAX((W83:AF83&gt;0)*(11-(COLUMN(W83:AF83)-COLUMN($V83))))))</f>
        <v/>
      </c>
    </row>
    <row r="85">
      <c r="A85" t="n">
        <v>75</v>
      </c>
      <c r="B85">
        <f>DATE(YEAR(InicioEf),MONTH(InicioEf)+A85-1,1)</f>
        <v/>
      </c>
      <c r="C85">
        <f>MIN(C$6,ROUND(W84*(1+C$5),0))</f>
        <v/>
      </c>
      <c r="D85">
        <f>MIN(D$6,ROUND(X84*(1+D$5),0))</f>
        <v/>
      </c>
      <c r="E85">
        <f>MIN(E$6,ROUND(Y84*(1+E$5),0))</f>
        <v/>
      </c>
      <c r="F85">
        <f>MIN(F$6,ROUND(Z84*(1+F$5),0))</f>
        <v/>
      </c>
      <c r="G85">
        <f>MIN(G$6,ROUND(AA84*(1+G$5),0))</f>
        <v/>
      </c>
      <c r="H85">
        <f>MIN(H$6,ROUND(AB84*(1+H$5),0))</f>
        <v/>
      </c>
      <c r="I85">
        <f>MIN(I$6,ROUND(AC84*(1+I$5),0))</f>
        <v/>
      </c>
      <c r="J85">
        <f>MIN(J$6,ROUND(AD84*(1+J$5),0))</f>
        <v/>
      </c>
      <c r="K85">
        <f>MIN(K$6,ROUND(AE84*(1+K$5),0))</f>
        <v/>
      </c>
      <c r="L85">
        <f>MIN(L$6,ROUND(AF84*(1+L$5),0))</f>
        <v/>
      </c>
      <c r="M85">
        <f>MAX(0,MIN(ROUND(W84*(1+C$5),0)-C85,$AJ85-0))</f>
        <v/>
      </c>
      <c r="N85">
        <f>MAX(0,MIN(ROUND(X84*(1+D$5),0)-D85,$AJ85-SUM($M85:M85)))</f>
        <v/>
      </c>
      <c r="O85">
        <f>MAX(0,MIN(ROUND(Y84*(1+E$5),0)-E85,$AJ85-SUM($M85:N85)))</f>
        <v/>
      </c>
      <c r="P85">
        <f>MAX(0,MIN(ROUND(Z84*(1+F$5),0)-F85,$AJ85-SUM($M85:O85)))</f>
        <v/>
      </c>
      <c r="Q85">
        <f>MAX(0,MIN(ROUND(AA84*(1+G$5),0)-G85,$AJ85-SUM($M85:P85)))</f>
        <v/>
      </c>
      <c r="R85">
        <f>MAX(0,MIN(ROUND(AB84*(1+H$5),0)-H85,$AJ85-SUM($M85:Q85)))</f>
        <v/>
      </c>
      <c r="S85">
        <f>MAX(0,MIN(ROUND(AC84*(1+I$5),0)-I85,$AJ85-SUM($M85:R85)))</f>
        <v/>
      </c>
      <c r="T85">
        <f>MAX(0,MIN(ROUND(AD84*(1+J$5),0)-J85,$AJ85-SUM($M85:S85)))</f>
        <v/>
      </c>
      <c r="U85">
        <f>MAX(0,MIN(ROUND(AE84*(1+K$5),0)-K85,$AJ85-SUM($M85:T85)))</f>
        <v/>
      </c>
      <c r="V85">
        <f>MAX(0,MIN(ROUND(AF84*(1+L$5),0)-L85,$AJ85-SUM($M85:U85)))</f>
        <v/>
      </c>
      <c r="W85">
        <f>MAX(0,ROUND(W84*(1+C$5),0)-C85-M85)</f>
        <v/>
      </c>
      <c r="X85">
        <f>MAX(0,ROUND(X84*(1+D$5),0)-D85-N85)</f>
        <v/>
      </c>
      <c r="Y85">
        <f>MAX(0,ROUND(Y84*(1+E$5),0)-E85-O85)</f>
        <v/>
      </c>
      <c r="Z85">
        <f>MAX(0,ROUND(Z84*(1+F$5),0)-F85-P85)</f>
        <v/>
      </c>
      <c r="AA85">
        <f>MAX(0,ROUND(AA84*(1+G$5),0)-G85-Q85)</f>
        <v/>
      </c>
      <c r="AB85">
        <f>MAX(0,ROUND(AB84*(1+H$5),0)-H85-R85)</f>
        <v/>
      </c>
      <c r="AC85">
        <f>MAX(0,ROUND(AC84*(1+I$5),0)-I85-S85)</f>
        <v/>
      </c>
      <c r="AD85">
        <f>MAX(0,ROUND(AD84*(1+J$5),0)-J85-T85)</f>
        <v/>
      </c>
      <c r="AE85">
        <f>MAX(0,ROUND(AE84*(1+K$5),0)-K85-U85)</f>
        <v/>
      </c>
      <c r="AF85">
        <f>MAX(0,ROUND(AF84*(1+L$5),0)-L85-V85)</f>
        <v/>
      </c>
      <c r="AG85">
        <f>AH85-(AI84-AI85)</f>
        <v/>
      </c>
      <c r="AH85">
        <f>SUM(C85:V85)</f>
        <v/>
      </c>
      <c r="AI85">
        <f>SUM(W85:AF85)</f>
        <v/>
      </c>
      <c r="AJ85">
        <f>0</f>
        <v/>
      </c>
      <c r="AK85">
        <f>IF(AI84&lt;=0,0,11-SUMPRODUCT(MAX((W84:AF84&gt;0)*(11-(COLUMN(W84:AF84)-COLUMN($V84))))))</f>
        <v/>
      </c>
    </row>
    <row r="86">
      <c r="A86" t="n">
        <v>76</v>
      </c>
      <c r="B86">
        <f>DATE(YEAR(InicioEf),MONTH(InicioEf)+A86-1,1)</f>
        <v/>
      </c>
      <c r="C86">
        <f>MIN(C$6,ROUND(W85*(1+C$5),0))</f>
        <v/>
      </c>
      <c r="D86">
        <f>MIN(D$6,ROUND(X85*(1+D$5),0))</f>
        <v/>
      </c>
      <c r="E86">
        <f>MIN(E$6,ROUND(Y85*(1+E$5),0))</f>
        <v/>
      </c>
      <c r="F86">
        <f>MIN(F$6,ROUND(Z85*(1+F$5),0))</f>
        <v/>
      </c>
      <c r="G86">
        <f>MIN(G$6,ROUND(AA85*(1+G$5),0))</f>
        <v/>
      </c>
      <c r="H86">
        <f>MIN(H$6,ROUND(AB85*(1+H$5),0))</f>
        <v/>
      </c>
      <c r="I86">
        <f>MIN(I$6,ROUND(AC85*(1+I$5),0))</f>
        <v/>
      </c>
      <c r="J86">
        <f>MIN(J$6,ROUND(AD85*(1+J$5),0))</f>
        <v/>
      </c>
      <c r="K86">
        <f>MIN(K$6,ROUND(AE85*(1+K$5),0))</f>
        <v/>
      </c>
      <c r="L86">
        <f>MIN(L$6,ROUND(AF85*(1+L$5),0))</f>
        <v/>
      </c>
      <c r="M86">
        <f>MAX(0,MIN(ROUND(W85*(1+C$5),0)-C86,$AJ86-0))</f>
        <v/>
      </c>
      <c r="N86">
        <f>MAX(0,MIN(ROUND(X85*(1+D$5),0)-D86,$AJ86-SUM($M86:M86)))</f>
        <v/>
      </c>
      <c r="O86">
        <f>MAX(0,MIN(ROUND(Y85*(1+E$5),0)-E86,$AJ86-SUM($M86:N86)))</f>
        <v/>
      </c>
      <c r="P86">
        <f>MAX(0,MIN(ROUND(Z85*(1+F$5),0)-F86,$AJ86-SUM($M86:O86)))</f>
        <v/>
      </c>
      <c r="Q86">
        <f>MAX(0,MIN(ROUND(AA85*(1+G$5),0)-G86,$AJ86-SUM($M86:P86)))</f>
        <v/>
      </c>
      <c r="R86">
        <f>MAX(0,MIN(ROUND(AB85*(1+H$5),0)-H86,$AJ86-SUM($M86:Q86)))</f>
        <v/>
      </c>
      <c r="S86">
        <f>MAX(0,MIN(ROUND(AC85*(1+I$5),0)-I86,$AJ86-SUM($M86:R86)))</f>
        <v/>
      </c>
      <c r="T86">
        <f>MAX(0,MIN(ROUND(AD85*(1+J$5),0)-J86,$AJ86-SUM($M86:S86)))</f>
        <v/>
      </c>
      <c r="U86">
        <f>MAX(0,MIN(ROUND(AE85*(1+K$5),0)-K86,$AJ86-SUM($M86:T86)))</f>
        <v/>
      </c>
      <c r="V86">
        <f>MAX(0,MIN(ROUND(AF85*(1+L$5),0)-L86,$AJ86-SUM($M86:U86)))</f>
        <v/>
      </c>
      <c r="W86">
        <f>MAX(0,ROUND(W85*(1+C$5),0)-C86-M86)</f>
        <v/>
      </c>
      <c r="X86">
        <f>MAX(0,ROUND(X85*(1+D$5),0)-D86-N86)</f>
        <v/>
      </c>
      <c r="Y86">
        <f>MAX(0,ROUND(Y85*(1+E$5),0)-E86-O86)</f>
        <v/>
      </c>
      <c r="Z86">
        <f>MAX(0,ROUND(Z85*(1+F$5),0)-F86-P86)</f>
        <v/>
      </c>
      <c r="AA86">
        <f>MAX(0,ROUND(AA85*(1+G$5),0)-G86-Q86)</f>
        <v/>
      </c>
      <c r="AB86">
        <f>MAX(0,ROUND(AB85*(1+H$5),0)-H86-R86)</f>
        <v/>
      </c>
      <c r="AC86">
        <f>MAX(0,ROUND(AC85*(1+I$5),0)-I86-S86)</f>
        <v/>
      </c>
      <c r="AD86">
        <f>MAX(0,ROUND(AD85*(1+J$5),0)-J86-T86)</f>
        <v/>
      </c>
      <c r="AE86">
        <f>MAX(0,ROUND(AE85*(1+K$5),0)-K86-U86)</f>
        <v/>
      </c>
      <c r="AF86">
        <f>MAX(0,ROUND(AF85*(1+L$5),0)-L86-V86)</f>
        <v/>
      </c>
      <c r="AG86">
        <f>AH86-(AI85-AI86)</f>
        <v/>
      </c>
      <c r="AH86">
        <f>SUM(C86:V86)</f>
        <v/>
      </c>
      <c r="AI86">
        <f>SUM(W86:AF86)</f>
        <v/>
      </c>
      <c r="AJ86">
        <f>0</f>
        <v/>
      </c>
      <c r="AK86">
        <f>IF(AI85&lt;=0,0,11-SUMPRODUCT(MAX((W85:AF85&gt;0)*(11-(COLUMN(W85:AF85)-COLUMN($V85))))))</f>
        <v/>
      </c>
    </row>
    <row r="87">
      <c r="A87" t="n">
        <v>77</v>
      </c>
      <c r="B87">
        <f>DATE(YEAR(InicioEf),MONTH(InicioEf)+A87-1,1)</f>
        <v/>
      </c>
      <c r="C87">
        <f>MIN(C$6,ROUND(W86*(1+C$5),0))</f>
        <v/>
      </c>
      <c r="D87">
        <f>MIN(D$6,ROUND(X86*(1+D$5),0))</f>
        <v/>
      </c>
      <c r="E87">
        <f>MIN(E$6,ROUND(Y86*(1+E$5),0))</f>
        <v/>
      </c>
      <c r="F87">
        <f>MIN(F$6,ROUND(Z86*(1+F$5),0))</f>
        <v/>
      </c>
      <c r="G87">
        <f>MIN(G$6,ROUND(AA86*(1+G$5),0))</f>
        <v/>
      </c>
      <c r="H87">
        <f>MIN(H$6,ROUND(AB86*(1+H$5),0))</f>
        <v/>
      </c>
      <c r="I87">
        <f>MIN(I$6,ROUND(AC86*(1+I$5),0))</f>
        <v/>
      </c>
      <c r="J87">
        <f>MIN(J$6,ROUND(AD86*(1+J$5),0))</f>
        <v/>
      </c>
      <c r="K87">
        <f>MIN(K$6,ROUND(AE86*(1+K$5),0))</f>
        <v/>
      </c>
      <c r="L87">
        <f>MIN(L$6,ROUND(AF86*(1+L$5),0))</f>
        <v/>
      </c>
      <c r="M87">
        <f>MAX(0,MIN(ROUND(W86*(1+C$5),0)-C87,$AJ87-0))</f>
        <v/>
      </c>
      <c r="N87">
        <f>MAX(0,MIN(ROUND(X86*(1+D$5),0)-D87,$AJ87-SUM($M87:M87)))</f>
        <v/>
      </c>
      <c r="O87">
        <f>MAX(0,MIN(ROUND(Y86*(1+E$5),0)-E87,$AJ87-SUM($M87:N87)))</f>
        <v/>
      </c>
      <c r="P87">
        <f>MAX(0,MIN(ROUND(Z86*(1+F$5),0)-F87,$AJ87-SUM($M87:O87)))</f>
        <v/>
      </c>
      <c r="Q87">
        <f>MAX(0,MIN(ROUND(AA86*(1+G$5),0)-G87,$AJ87-SUM($M87:P87)))</f>
        <v/>
      </c>
      <c r="R87">
        <f>MAX(0,MIN(ROUND(AB86*(1+H$5),0)-H87,$AJ87-SUM($M87:Q87)))</f>
        <v/>
      </c>
      <c r="S87">
        <f>MAX(0,MIN(ROUND(AC86*(1+I$5),0)-I87,$AJ87-SUM($M87:R87)))</f>
        <v/>
      </c>
      <c r="T87">
        <f>MAX(0,MIN(ROUND(AD86*(1+J$5),0)-J87,$AJ87-SUM($M87:S87)))</f>
        <v/>
      </c>
      <c r="U87">
        <f>MAX(0,MIN(ROUND(AE86*(1+K$5),0)-K87,$AJ87-SUM($M87:T87)))</f>
        <v/>
      </c>
      <c r="V87">
        <f>MAX(0,MIN(ROUND(AF86*(1+L$5),0)-L87,$AJ87-SUM($M87:U87)))</f>
        <v/>
      </c>
      <c r="W87">
        <f>MAX(0,ROUND(W86*(1+C$5),0)-C87-M87)</f>
        <v/>
      </c>
      <c r="X87">
        <f>MAX(0,ROUND(X86*(1+D$5),0)-D87-N87)</f>
        <v/>
      </c>
      <c r="Y87">
        <f>MAX(0,ROUND(Y86*(1+E$5),0)-E87-O87)</f>
        <v/>
      </c>
      <c r="Z87">
        <f>MAX(0,ROUND(Z86*(1+F$5),0)-F87-P87)</f>
        <v/>
      </c>
      <c r="AA87">
        <f>MAX(0,ROUND(AA86*(1+G$5),0)-G87-Q87)</f>
        <v/>
      </c>
      <c r="AB87">
        <f>MAX(0,ROUND(AB86*(1+H$5),0)-H87-R87)</f>
        <v/>
      </c>
      <c r="AC87">
        <f>MAX(0,ROUND(AC86*(1+I$5),0)-I87-S87)</f>
        <v/>
      </c>
      <c r="AD87">
        <f>MAX(0,ROUND(AD86*(1+J$5),0)-J87-T87)</f>
        <v/>
      </c>
      <c r="AE87">
        <f>MAX(0,ROUND(AE86*(1+K$5),0)-K87-U87)</f>
        <v/>
      </c>
      <c r="AF87">
        <f>MAX(0,ROUND(AF86*(1+L$5),0)-L87-V87)</f>
        <v/>
      </c>
      <c r="AG87">
        <f>AH87-(AI86-AI87)</f>
        <v/>
      </c>
      <c r="AH87">
        <f>SUM(C87:V87)</f>
        <v/>
      </c>
      <c r="AI87">
        <f>SUM(W87:AF87)</f>
        <v/>
      </c>
      <c r="AJ87">
        <f>0</f>
        <v/>
      </c>
      <c r="AK87">
        <f>IF(AI86&lt;=0,0,11-SUMPRODUCT(MAX((W86:AF86&gt;0)*(11-(COLUMN(W86:AF86)-COLUMN($V86))))))</f>
        <v/>
      </c>
    </row>
    <row r="88">
      <c r="A88" t="n">
        <v>78</v>
      </c>
      <c r="B88">
        <f>DATE(YEAR(InicioEf),MONTH(InicioEf)+A88-1,1)</f>
        <v/>
      </c>
      <c r="C88">
        <f>MIN(C$6,ROUND(W87*(1+C$5),0))</f>
        <v/>
      </c>
      <c r="D88">
        <f>MIN(D$6,ROUND(X87*(1+D$5),0))</f>
        <v/>
      </c>
      <c r="E88">
        <f>MIN(E$6,ROUND(Y87*(1+E$5),0))</f>
        <v/>
      </c>
      <c r="F88">
        <f>MIN(F$6,ROUND(Z87*(1+F$5),0))</f>
        <v/>
      </c>
      <c r="G88">
        <f>MIN(G$6,ROUND(AA87*(1+G$5),0))</f>
        <v/>
      </c>
      <c r="H88">
        <f>MIN(H$6,ROUND(AB87*(1+H$5),0))</f>
        <v/>
      </c>
      <c r="I88">
        <f>MIN(I$6,ROUND(AC87*(1+I$5),0))</f>
        <v/>
      </c>
      <c r="J88">
        <f>MIN(J$6,ROUND(AD87*(1+J$5),0))</f>
        <v/>
      </c>
      <c r="K88">
        <f>MIN(K$6,ROUND(AE87*(1+K$5),0))</f>
        <v/>
      </c>
      <c r="L88">
        <f>MIN(L$6,ROUND(AF87*(1+L$5),0))</f>
        <v/>
      </c>
      <c r="M88">
        <f>MAX(0,MIN(ROUND(W87*(1+C$5),0)-C88,$AJ88-0))</f>
        <v/>
      </c>
      <c r="N88">
        <f>MAX(0,MIN(ROUND(X87*(1+D$5),0)-D88,$AJ88-SUM($M88:M88)))</f>
        <v/>
      </c>
      <c r="O88">
        <f>MAX(0,MIN(ROUND(Y87*(1+E$5),0)-E88,$AJ88-SUM($M88:N88)))</f>
        <v/>
      </c>
      <c r="P88">
        <f>MAX(0,MIN(ROUND(Z87*(1+F$5),0)-F88,$AJ88-SUM($M88:O88)))</f>
        <v/>
      </c>
      <c r="Q88">
        <f>MAX(0,MIN(ROUND(AA87*(1+G$5),0)-G88,$AJ88-SUM($M88:P88)))</f>
        <v/>
      </c>
      <c r="R88">
        <f>MAX(0,MIN(ROUND(AB87*(1+H$5),0)-H88,$AJ88-SUM($M88:Q88)))</f>
        <v/>
      </c>
      <c r="S88">
        <f>MAX(0,MIN(ROUND(AC87*(1+I$5),0)-I88,$AJ88-SUM($M88:R88)))</f>
        <v/>
      </c>
      <c r="T88">
        <f>MAX(0,MIN(ROUND(AD87*(1+J$5),0)-J88,$AJ88-SUM($M88:S88)))</f>
        <v/>
      </c>
      <c r="U88">
        <f>MAX(0,MIN(ROUND(AE87*(1+K$5),0)-K88,$AJ88-SUM($M88:T88)))</f>
        <v/>
      </c>
      <c r="V88">
        <f>MAX(0,MIN(ROUND(AF87*(1+L$5),0)-L88,$AJ88-SUM($M88:U88)))</f>
        <v/>
      </c>
      <c r="W88">
        <f>MAX(0,ROUND(W87*(1+C$5),0)-C88-M88)</f>
        <v/>
      </c>
      <c r="X88">
        <f>MAX(0,ROUND(X87*(1+D$5),0)-D88-N88)</f>
        <v/>
      </c>
      <c r="Y88">
        <f>MAX(0,ROUND(Y87*(1+E$5),0)-E88-O88)</f>
        <v/>
      </c>
      <c r="Z88">
        <f>MAX(0,ROUND(Z87*(1+F$5),0)-F88-P88)</f>
        <v/>
      </c>
      <c r="AA88">
        <f>MAX(0,ROUND(AA87*(1+G$5),0)-G88-Q88)</f>
        <v/>
      </c>
      <c r="AB88">
        <f>MAX(0,ROUND(AB87*(1+H$5),0)-H88-R88)</f>
        <v/>
      </c>
      <c r="AC88">
        <f>MAX(0,ROUND(AC87*(1+I$5),0)-I88-S88)</f>
        <v/>
      </c>
      <c r="AD88">
        <f>MAX(0,ROUND(AD87*(1+J$5),0)-J88-T88)</f>
        <v/>
      </c>
      <c r="AE88">
        <f>MAX(0,ROUND(AE87*(1+K$5),0)-K88-U88)</f>
        <v/>
      </c>
      <c r="AF88">
        <f>MAX(0,ROUND(AF87*(1+L$5),0)-L88-V88)</f>
        <v/>
      </c>
      <c r="AG88">
        <f>AH88-(AI87-AI88)</f>
        <v/>
      </c>
      <c r="AH88">
        <f>SUM(C88:V88)</f>
        <v/>
      </c>
      <c r="AI88">
        <f>SUM(W88:AF88)</f>
        <v/>
      </c>
      <c r="AJ88">
        <f>0</f>
        <v/>
      </c>
      <c r="AK88">
        <f>IF(AI87&lt;=0,0,11-SUMPRODUCT(MAX((W87:AF87&gt;0)*(11-(COLUMN(W87:AF87)-COLUMN($V87))))))</f>
        <v/>
      </c>
    </row>
    <row r="89">
      <c r="A89" t="n">
        <v>79</v>
      </c>
      <c r="B89">
        <f>DATE(YEAR(InicioEf),MONTH(InicioEf)+A89-1,1)</f>
        <v/>
      </c>
      <c r="C89">
        <f>MIN(C$6,ROUND(W88*(1+C$5),0))</f>
        <v/>
      </c>
      <c r="D89">
        <f>MIN(D$6,ROUND(X88*(1+D$5),0))</f>
        <v/>
      </c>
      <c r="E89">
        <f>MIN(E$6,ROUND(Y88*(1+E$5),0))</f>
        <v/>
      </c>
      <c r="F89">
        <f>MIN(F$6,ROUND(Z88*(1+F$5),0))</f>
        <v/>
      </c>
      <c r="G89">
        <f>MIN(G$6,ROUND(AA88*(1+G$5),0))</f>
        <v/>
      </c>
      <c r="H89">
        <f>MIN(H$6,ROUND(AB88*(1+H$5),0))</f>
        <v/>
      </c>
      <c r="I89">
        <f>MIN(I$6,ROUND(AC88*(1+I$5),0))</f>
        <v/>
      </c>
      <c r="J89">
        <f>MIN(J$6,ROUND(AD88*(1+J$5),0))</f>
        <v/>
      </c>
      <c r="K89">
        <f>MIN(K$6,ROUND(AE88*(1+K$5),0))</f>
        <v/>
      </c>
      <c r="L89">
        <f>MIN(L$6,ROUND(AF88*(1+L$5),0))</f>
        <v/>
      </c>
      <c r="M89">
        <f>MAX(0,MIN(ROUND(W88*(1+C$5),0)-C89,$AJ89-0))</f>
        <v/>
      </c>
      <c r="N89">
        <f>MAX(0,MIN(ROUND(X88*(1+D$5),0)-D89,$AJ89-SUM($M89:M89)))</f>
        <v/>
      </c>
      <c r="O89">
        <f>MAX(0,MIN(ROUND(Y88*(1+E$5),0)-E89,$AJ89-SUM($M89:N89)))</f>
        <v/>
      </c>
      <c r="P89">
        <f>MAX(0,MIN(ROUND(Z88*(1+F$5),0)-F89,$AJ89-SUM($M89:O89)))</f>
        <v/>
      </c>
      <c r="Q89">
        <f>MAX(0,MIN(ROUND(AA88*(1+G$5),0)-G89,$AJ89-SUM($M89:P89)))</f>
        <v/>
      </c>
      <c r="R89">
        <f>MAX(0,MIN(ROUND(AB88*(1+H$5),0)-H89,$AJ89-SUM($M89:Q89)))</f>
        <v/>
      </c>
      <c r="S89">
        <f>MAX(0,MIN(ROUND(AC88*(1+I$5),0)-I89,$AJ89-SUM($M89:R89)))</f>
        <v/>
      </c>
      <c r="T89">
        <f>MAX(0,MIN(ROUND(AD88*(1+J$5),0)-J89,$AJ89-SUM($M89:S89)))</f>
        <v/>
      </c>
      <c r="U89">
        <f>MAX(0,MIN(ROUND(AE88*(1+K$5),0)-K89,$AJ89-SUM($M89:T89)))</f>
        <v/>
      </c>
      <c r="V89">
        <f>MAX(0,MIN(ROUND(AF88*(1+L$5),0)-L89,$AJ89-SUM($M89:U89)))</f>
        <v/>
      </c>
      <c r="W89">
        <f>MAX(0,ROUND(W88*(1+C$5),0)-C89-M89)</f>
        <v/>
      </c>
      <c r="X89">
        <f>MAX(0,ROUND(X88*(1+D$5),0)-D89-N89)</f>
        <v/>
      </c>
      <c r="Y89">
        <f>MAX(0,ROUND(Y88*(1+E$5),0)-E89-O89)</f>
        <v/>
      </c>
      <c r="Z89">
        <f>MAX(0,ROUND(Z88*(1+F$5),0)-F89-P89)</f>
        <v/>
      </c>
      <c r="AA89">
        <f>MAX(0,ROUND(AA88*(1+G$5),0)-G89-Q89)</f>
        <v/>
      </c>
      <c r="AB89">
        <f>MAX(0,ROUND(AB88*(1+H$5),0)-H89-R89)</f>
        <v/>
      </c>
      <c r="AC89">
        <f>MAX(0,ROUND(AC88*(1+I$5),0)-I89-S89)</f>
        <v/>
      </c>
      <c r="AD89">
        <f>MAX(0,ROUND(AD88*(1+J$5),0)-J89-T89)</f>
        <v/>
      </c>
      <c r="AE89">
        <f>MAX(0,ROUND(AE88*(1+K$5),0)-K89-U89)</f>
        <v/>
      </c>
      <c r="AF89">
        <f>MAX(0,ROUND(AF88*(1+L$5),0)-L89-V89)</f>
        <v/>
      </c>
      <c r="AG89">
        <f>AH89-(AI88-AI89)</f>
        <v/>
      </c>
      <c r="AH89">
        <f>SUM(C89:V89)</f>
        <v/>
      </c>
      <c r="AI89">
        <f>SUM(W89:AF89)</f>
        <v/>
      </c>
      <c r="AJ89">
        <f>0</f>
        <v/>
      </c>
      <c r="AK89">
        <f>IF(AI88&lt;=0,0,11-SUMPRODUCT(MAX((W88:AF88&gt;0)*(11-(COLUMN(W88:AF88)-COLUMN($V88))))))</f>
        <v/>
      </c>
    </row>
    <row r="90">
      <c r="A90" t="n">
        <v>80</v>
      </c>
      <c r="B90">
        <f>DATE(YEAR(InicioEf),MONTH(InicioEf)+A90-1,1)</f>
        <v/>
      </c>
      <c r="C90">
        <f>MIN(C$6,ROUND(W89*(1+C$5),0))</f>
        <v/>
      </c>
      <c r="D90">
        <f>MIN(D$6,ROUND(X89*(1+D$5),0))</f>
        <v/>
      </c>
      <c r="E90">
        <f>MIN(E$6,ROUND(Y89*(1+E$5),0))</f>
        <v/>
      </c>
      <c r="F90">
        <f>MIN(F$6,ROUND(Z89*(1+F$5),0))</f>
        <v/>
      </c>
      <c r="G90">
        <f>MIN(G$6,ROUND(AA89*(1+G$5),0))</f>
        <v/>
      </c>
      <c r="H90">
        <f>MIN(H$6,ROUND(AB89*(1+H$5),0))</f>
        <v/>
      </c>
      <c r="I90">
        <f>MIN(I$6,ROUND(AC89*(1+I$5),0))</f>
        <v/>
      </c>
      <c r="J90">
        <f>MIN(J$6,ROUND(AD89*(1+J$5),0))</f>
        <v/>
      </c>
      <c r="K90">
        <f>MIN(K$6,ROUND(AE89*(1+K$5),0))</f>
        <v/>
      </c>
      <c r="L90">
        <f>MIN(L$6,ROUND(AF89*(1+L$5),0))</f>
        <v/>
      </c>
      <c r="M90">
        <f>MAX(0,MIN(ROUND(W89*(1+C$5),0)-C90,$AJ90-0))</f>
        <v/>
      </c>
      <c r="N90">
        <f>MAX(0,MIN(ROUND(X89*(1+D$5),0)-D90,$AJ90-SUM($M90:M90)))</f>
        <v/>
      </c>
      <c r="O90">
        <f>MAX(0,MIN(ROUND(Y89*(1+E$5),0)-E90,$AJ90-SUM($M90:N90)))</f>
        <v/>
      </c>
      <c r="P90">
        <f>MAX(0,MIN(ROUND(Z89*(1+F$5),0)-F90,$AJ90-SUM($M90:O90)))</f>
        <v/>
      </c>
      <c r="Q90">
        <f>MAX(0,MIN(ROUND(AA89*(1+G$5),0)-G90,$AJ90-SUM($M90:P90)))</f>
        <v/>
      </c>
      <c r="R90">
        <f>MAX(0,MIN(ROUND(AB89*(1+H$5),0)-H90,$AJ90-SUM($M90:Q90)))</f>
        <v/>
      </c>
      <c r="S90">
        <f>MAX(0,MIN(ROUND(AC89*(1+I$5),0)-I90,$AJ90-SUM($M90:R90)))</f>
        <v/>
      </c>
      <c r="T90">
        <f>MAX(0,MIN(ROUND(AD89*(1+J$5),0)-J90,$AJ90-SUM($M90:S90)))</f>
        <v/>
      </c>
      <c r="U90">
        <f>MAX(0,MIN(ROUND(AE89*(1+K$5),0)-K90,$AJ90-SUM($M90:T90)))</f>
        <v/>
      </c>
      <c r="V90">
        <f>MAX(0,MIN(ROUND(AF89*(1+L$5),0)-L90,$AJ90-SUM($M90:U90)))</f>
        <v/>
      </c>
      <c r="W90">
        <f>MAX(0,ROUND(W89*(1+C$5),0)-C90-M90)</f>
        <v/>
      </c>
      <c r="X90">
        <f>MAX(0,ROUND(X89*(1+D$5),0)-D90-N90)</f>
        <v/>
      </c>
      <c r="Y90">
        <f>MAX(0,ROUND(Y89*(1+E$5),0)-E90-O90)</f>
        <v/>
      </c>
      <c r="Z90">
        <f>MAX(0,ROUND(Z89*(1+F$5),0)-F90-P90)</f>
        <v/>
      </c>
      <c r="AA90">
        <f>MAX(0,ROUND(AA89*(1+G$5),0)-G90-Q90)</f>
        <v/>
      </c>
      <c r="AB90">
        <f>MAX(0,ROUND(AB89*(1+H$5),0)-H90-R90)</f>
        <v/>
      </c>
      <c r="AC90">
        <f>MAX(0,ROUND(AC89*(1+I$5),0)-I90-S90)</f>
        <v/>
      </c>
      <c r="AD90">
        <f>MAX(0,ROUND(AD89*(1+J$5),0)-J90-T90)</f>
        <v/>
      </c>
      <c r="AE90">
        <f>MAX(0,ROUND(AE89*(1+K$5),0)-K90-U90)</f>
        <v/>
      </c>
      <c r="AF90">
        <f>MAX(0,ROUND(AF89*(1+L$5),0)-L90-V90)</f>
        <v/>
      </c>
      <c r="AG90">
        <f>AH90-(AI89-AI90)</f>
        <v/>
      </c>
      <c r="AH90">
        <f>SUM(C90:V90)</f>
        <v/>
      </c>
      <c r="AI90">
        <f>SUM(W90:AF90)</f>
        <v/>
      </c>
      <c r="AJ90">
        <f>0</f>
        <v/>
      </c>
      <c r="AK90">
        <f>IF(AI89&lt;=0,0,11-SUMPRODUCT(MAX((W89:AF89&gt;0)*(11-(COLUMN(W89:AF89)-COLUMN($V89))))))</f>
        <v/>
      </c>
    </row>
    <row r="91">
      <c r="A91" t="n">
        <v>81</v>
      </c>
      <c r="B91">
        <f>DATE(YEAR(InicioEf),MONTH(InicioEf)+A91-1,1)</f>
        <v/>
      </c>
      <c r="C91">
        <f>MIN(C$6,ROUND(W90*(1+C$5),0))</f>
        <v/>
      </c>
      <c r="D91">
        <f>MIN(D$6,ROUND(X90*(1+D$5),0))</f>
        <v/>
      </c>
      <c r="E91">
        <f>MIN(E$6,ROUND(Y90*(1+E$5),0))</f>
        <v/>
      </c>
      <c r="F91">
        <f>MIN(F$6,ROUND(Z90*(1+F$5),0))</f>
        <v/>
      </c>
      <c r="G91">
        <f>MIN(G$6,ROUND(AA90*(1+G$5),0))</f>
        <v/>
      </c>
      <c r="H91">
        <f>MIN(H$6,ROUND(AB90*(1+H$5),0))</f>
        <v/>
      </c>
      <c r="I91">
        <f>MIN(I$6,ROUND(AC90*(1+I$5),0))</f>
        <v/>
      </c>
      <c r="J91">
        <f>MIN(J$6,ROUND(AD90*(1+J$5),0))</f>
        <v/>
      </c>
      <c r="K91">
        <f>MIN(K$6,ROUND(AE90*(1+K$5),0))</f>
        <v/>
      </c>
      <c r="L91">
        <f>MIN(L$6,ROUND(AF90*(1+L$5),0))</f>
        <v/>
      </c>
      <c r="M91">
        <f>MAX(0,MIN(ROUND(W90*(1+C$5),0)-C91,$AJ91-0))</f>
        <v/>
      </c>
      <c r="N91">
        <f>MAX(0,MIN(ROUND(X90*(1+D$5),0)-D91,$AJ91-SUM($M91:M91)))</f>
        <v/>
      </c>
      <c r="O91">
        <f>MAX(0,MIN(ROUND(Y90*(1+E$5),0)-E91,$AJ91-SUM($M91:N91)))</f>
        <v/>
      </c>
      <c r="P91">
        <f>MAX(0,MIN(ROUND(Z90*(1+F$5),0)-F91,$AJ91-SUM($M91:O91)))</f>
        <v/>
      </c>
      <c r="Q91">
        <f>MAX(0,MIN(ROUND(AA90*(1+G$5),0)-G91,$AJ91-SUM($M91:P91)))</f>
        <v/>
      </c>
      <c r="R91">
        <f>MAX(0,MIN(ROUND(AB90*(1+H$5),0)-H91,$AJ91-SUM($M91:Q91)))</f>
        <v/>
      </c>
      <c r="S91">
        <f>MAX(0,MIN(ROUND(AC90*(1+I$5),0)-I91,$AJ91-SUM($M91:R91)))</f>
        <v/>
      </c>
      <c r="T91">
        <f>MAX(0,MIN(ROUND(AD90*(1+J$5),0)-J91,$AJ91-SUM($M91:S91)))</f>
        <v/>
      </c>
      <c r="U91">
        <f>MAX(0,MIN(ROUND(AE90*(1+K$5),0)-K91,$AJ91-SUM($M91:T91)))</f>
        <v/>
      </c>
      <c r="V91">
        <f>MAX(0,MIN(ROUND(AF90*(1+L$5),0)-L91,$AJ91-SUM($M91:U91)))</f>
        <v/>
      </c>
      <c r="W91">
        <f>MAX(0,ROUND(W90*(1+C$5),0)-C91-M91)</f>
        <v/>
      </c>
      <c r="X91">
        <f>MAX(0,ROUND(X90*(1+D$5),0)-D91-N91)</f>
        <v/>
      </c>
      <c r="Y91">
        <f>MAX(0,ROUND(Y90*(1+E$5),0)-E91-O91)</f>
        <v/>
      </c>
      <c r="Z91">
        <f>MAX(0,ROUND(Z90*(1+F$5),0)-F91-P91)</f>
        <v/>
      </c>
      <c r="AA91">
        <f>MAX(0,ROUND(AA90*(1+G$5),0)-G91-Q91)</f>
        <v/>
      </c>
      <c r="AB91">
        <f>MAX(0,ROUND(AB90*(1+H$5),0)-H91-R91)</f>
        <v/>
      </c>
      <c r="AC91">
        <f>MAX(0,ROUND(AC90*(1+I$5),0)-I91-S91)</f>
        <v/>
      </c>
      <c r="AD91">
        <f>MAX(0,ROUND(AD90*(1+J$5),0)-J91-T91)</f>
        <v/>
      </c>
      <c r="AE91">
        <f>MAX(0,ROUND(AE90*(1+K$5),0)-K91-U91)</f>
        <v/>
      </c>
      <c r="AF91">
        <f>MAX(0,ROUND(AF90*(1+L$5),0)-L91-V91)</f>
        <v/>
      </c>
      <c r="AG91">
        <f>AH91-(AI90-AI91)</f>
        <v/>
      </c>
      <c r="AH91">
        <f>SUM(C91:V91)</f>
        <v/>
      </c>
      <c r="AI91">
        <f>SUM(W91:AF91)</f>
        <v/>
      </c>
      <c r="AJ91">
        <f>0</f>
        <v/>
      </c>
      <c r="AK91">
        <f>IF(AI90&lt;=0,0,11-SUMPRODUCT(MAX((W90:AF90&gt;0)*(11-(COLUMN(W90:AF90)-COLUMN($V90))))))</f>
        <v/>
      </c>
    </row>
    <row r="92">
      <c r="A92" t="n">
        <v>82</v>
      </c>
      <c r="B92">
        <f>DATE(YEAR(InicioEf),MONTH(InicioEf)+A92-1,1)</f>
        <v/>
      </c>
      <c r="C92">
        <f>MIN(C$6,ROUND(W91*(1+C$5),0))</f>
        <v/>
      </c>
      <c r="D92">
        <f>MIN(D$6,ROUND(X91*(1+D$5),0))</f>
        <v/>
      </c>
      <c r="E92">
        <f>MIN(E$6,ROUND(Y91*(1+E$5),0))</f>
        <v/>
      </c>
      <c r="F92">
        <f>MIN(F$6,ROUND(Z91*(1+F$5),0))</f>
        <v/>
      </c>
      <c r="G92">
        <f>MIN(G$6,ROUND(AA91*(1+G$5),0))</f>
        <v/>
      </c>
      <c r="H92">
        <f>MIN(H$6,ROUND(AB91*(1+H$5),0))</f>
        <v/>
      </c>
      <c r="I92">
        <f>MIN(I$6,ROUND(AC91*(1+I$5),0))</f>
        <v/>
      </c>
      <c r="J92">
        <f>MIN(J$6,ROUND(AD91*(1+J$5),0))</f>
        <v/>
      </c>
      <c r="K92">
        <f>MIN(K$6,ROUND(AE91*(1+K$5),0))</f>
        <v/>
      </c>
      <c r="L92">
        <f>MIN(L$6,ROUND(AF91*(1+L$5),0))</f>
        <v/>
      </c>
      <c r="M92">
        <f>MAX(0,MIN(ROUND(W91*(1+C$5),0)-C92,$AJ92-0))</f>
        <v/>
      </c>
      <c r="N92">
        <f>MAX(0,MIN(ROUND(X91*(1+D$5),0)-D92,$AJ92-SUM($M92:M92)))</f>
        <v/>
      </c>
      <c r="O92">
        <f>MAX(0,MIN(ROUND(Y91*(1+E$5),0)-E92,$AJ92-SUM($M92:N92)))</f>
        <v/>
      </c>
      <c r="P92">
        <f>MAX(0,MIN(ROUND(Z91*(1+F$5),0)-F92,$AJ92-SUM($M92:O92)))</f>
        <v/>
      </c>
      <c r="Q92">
        <f>MAX(0,MIN(ROUND(AA91*(1+G$5),0)-G92,$AJ92-SUM($M92:P92)))</f>
        <v/>
      </c>
      <c r="R92">
        <f>MAX(0,MIN(ROUND(AB91*(1+H$5),0)-H92,$AJ92-SUM($M92:Q92)))</f>
        <v/>
      </c>
      <c r="S92">
        <f>MAX(0,MIN(ROUND(AC91*(1+I$5),0)-I92,$AJ92-SUM($M92:R92)))</f>
        <v/>
      </c>
      <c r="T92">
        <f>MAX(0,MIN(ROUND(AD91*(1+J$5),0)-J92,$AJ92-SUM($M92:S92)))</f>
        <v/>
      </c>
      <c r="U92">
        <f>MAX(0,MIN(ROUND(AE91*(1+K$5),0)-K92,$AJ92-SUM($M92:T92)))</f>
        <v/>
      </c>
      <c r="V92">
        <f>MAX(0,MIN(ROUND(AF91*(1+L$5),0)-L92,$AJ92-SUM($M92:U92)))</f>
        <v/>
      </c>
      <c r="W92">
        <f>MAX(0,ROUND(W91*(1+C$5),0)-C92-M92)</f>
        <v/>
      </c>
      <c r="X92">
        <f>MAX(0,ROUND(X91*(1+D$5),0)-D92-N92)</f>
        <v/>
      </c>
      <c r="Y92">
        <f>MAX(0,ROUND(Y91*(1+E$5),0)-E92-O92)</f>
        <v/>
      </c>
      <c r="Z92">
        <f>MAX(0,ROUND(Z91*(1+F$5),0)-F92-P92)</f>
        <v/>
      </c>
      <c r="AA92">
        <f>MAX(0,ROUND(AA91*(1+G$5),0)-G92-Q92)</f>
        <v/>
      </c>
      <c r="AB92">
        <f>MAX(0,ROUND(AB91*(1+H$5),0)-H92-R92)</f>
        <v/>
      </c>
      <c r="AC92">
        <f>MAX(0,ROUND(AC91*(1+I$5),0)-I92-S92)</f>
        <v/>
      </c>
      <c r="AD92">
        <f>MAX(0,ROUND(AD91*(1+J$5),0)-J92-T92)</f>
        <v/>
      </c>
      <c r="AE92">
        <f>MAX(0,ROUND(AE91*(1+K$5),0)-K92-U92)</f>
        <v/>
      </c>
      <c r="AF92">
        <f>MAX(0,ROUND(AF91*(1+L$5),0)-L92-V92)</f>
        <v/>
      </c>
      <c r="AG92">
        <f>AH92-(AI91-AI92)</f>
        <v/>
      </c>
      <c r="AH92">
        <f>SUM(C92:V92)</f>
        <v/>
      </c>
      <c r="AI92">
        <f>SUM(W92:AF92)</f>
        <v/>
      </c>
      <c r="AJ92">
        <f>0</f>
        <v/>
      </c>
      <c r="AK92">
        <f>IF(AI91&lt;=0,0,11-SUMPRODUCT(MAX((W91:AF91&gt;0)*(11-(COLUMN(W91:AF91)-COLUMN($V91))))))</f>
        <v/>
      </c>
    </row>
    <row r="93">
      <c r="A93" t="n">
        <v>83</v>
      </c>
      <c r="B93">
        <f>DATE(YEAR(InicioEf),MONTH(InicioEf)+A93-1,1)</f>
        <v/>
      </c>
      <c r="C93">
        <f>MIN(C$6,ROUND(W92*(1+C$5),0))</f>
        <v/>
      </c>
      <c r="D93">
        <f>MIN(D$6,ROUND(X92*(1+D$5),0))</f>
        <v/>
      </c>
      <c r="E93">
        <f>MIN(E$6,ROUND(Y92*(1+E$5),0))</f>
        <v/>
      </c>
      <c r="F93">
        <f>MIN(F$6,ROUND(Z92*(1+F$5),0))</f>
        <v/>
      </c>
      <c r="G93">
        <f>MIN(G$6,ROUND(AA92*(1+G$5),0))</f>
        <v/>
      </c>
      <c r="H93">
        <f>MIN(H$6,ROUND(AB92*(1+H$5),0))</f>
        <v/>
      </c>
      <c r="I93">
        <f>MIN(I$6,ROUND(AC92*(1+I$5),0))</f>
        <v/>
      </c>
      <c r="J93">
        <f>MIN(J$6,ROUND(AD92*(1+J$5),0))</f>
        <v/>
      </c>
      <c r="K93">
        <f>MIN(K$6,ROUND(AE92*(1+K$5),0))</f>
        <v/>
      </c>
      <c r="L93">
        <f>MIN(L$6,ROUND(AF92*(1+L$5),0))</f>
        <v/>
      </c>
      <c r="M93">
        <f>MAX(0,MIN(ROUND(W92*(1+C$5),0)-C93,$AJ93-0))</f>
        <v/>
      </c>
      <c r="N93">
        <f>MAX(0,MIN(ROUND(X92*(1+D$5),0)-D93,$AJ93-SUM($M93:M93)))</f>
        <v/>
      </c>
      <c r="O93">
        <f>MAX(0,MIN(ROUND(Y92*(1+E$5),0)-E93,$AJ93-SUM($M93:N93)))</f>
        <v/>
      </c>
      <c r="P93">
        <f>MAX(0,MIN(ROUND(Z92*(1+F$5),0)-F93,$AJ93-SUM($M93:O93)))</f>
        <v/>
      </c>
      <c r="Q93">
        <f>MAX(0,MIN(ROUND(AA92*(1+G$5),0)-G93,$AJ93-SUM($M93:P93)))</f>
        <v/>
      </c>
      <c r="R93">
        <f>MAX(0,MIN(ROUND(AB92*(1+H$5),0)-H93,$AJ93-SUM($M93:Q93)))</f>
        <v/>
      </c>
      <c r="S93">
        <f>MAX(0,MIN(ROUND(AC92*(1+I$5),0)-I93,$AJ93-SUM($M93:R93)))</f>
        <v/>
      </c>
      <c r="T93">
        <f>MAX(0,MIN(ROUND(AD92*(1+J$5),0)-J93,$AJ93-SUM($M93:S93)))</f>
        <v/>
      </c>
      <c r="U93">
        <f>MAX(0,MIN(ROUND(AE92*(1+K$5),0)-K93,$AJ93-SUM($M93:T93)))</f>
        <v/>
      </c>
      <c r="V93">
        <f>MAX(0,MIN(ROUND(AF92*(1+L$5),0)-L93,$AJ93-SUM($M93:U93)))</f>
        <v/>
      </c>
      <c r="W93">
        <f>MAX(0,ROUND(W92*(1+C$5),0)-C93-M93)</f>
        <v/>
      </c>
      <c r="X93">
        <f>MAX(0,ROUND(X92*(1+D$5),0)-D93-N93)</f>
        <v/>
      </c>
      <c r="Y93">
        <f>MAX(0,ROUND(Y92*(1+E$5),0)-E93-O93)</f>
        <v/>
      </c>
      <c r="Z93">
        <f>MAX(0,ROUND(Z92*(1+F$5),0)-F93-P93)</f>
        <v/>
      </c>
      <c r="AA93">
        <f>MAX(0,ROUND(AA92*(1+G$5),0)-G93-Q93)</f>
        <v/>
      </c>
      <c r="AB93">
        <f>MAX(0,ROUND(AB92*(1+H$5),0)-H93-R93)</f>
        <v/>
      </c>
      <c r="AC93">
        <f>MAX(0,ROUND(AC92*(1+I$5),0)-I93-S93)</f>
        <v/>
      </c>
      <c r="AD93">
        <f>MAX(0,ROUND(AD92*(1+J$5),0)-J93-T93)</f>
        <v/>
      </c>
      <c r="AE93">
        <f>MAX(0,ROUND(AE92*(1+K$5),0)-K93-U93)</f>
        <v/>
      </c>
      <c r="AF93">
        <f>MAX(0,ROUND(AF92*(1+L$5),0)-L93-V93)</f>
        <v/>
      </c>
      <c r="AG93">
        <f>AH93-(AI92-AI93)</f>
        <v/>
      </c>
      <c r="AH93">
        <f>SUM(C93:V93)</f>
        <v/>
      </c>
      <c r="AI93">
        <f>SUM(W93:AF93)</f>
        <v/>
      </c>
      <c r="AJ93">
        <f>0</f>
        <v/>
      </c>
      <c r="AK93">
        <f>IF(AI92&lt;=0,0,11-SUMPRODUCT(MAX((W92:AF92&gt;0)*(11-(COLUMN(W92:AF92)-COLUMN($V92))))))</f>
        <v/>
      </c>
    </row>
    <row r="94">
      <c r="A94" t="n">
        <v>84</v>
      </c>
      <c r="B94">
        <f>DATE(YEAR(InicioEf),MONTH(InicioEf)+A94-1,1)</f>
        <v/>
      </c>
      <c r="C94">
        <f>MIN(C$6,ROUND(W93*(1+C$5),0))</f>
        <v/>
      </c>
      <c r="D94">
        <f>MIN(D$6,ROUND(X93*(1+D$5),0))</f>
        <v/>
      </c>
      <c r="E94">
        <f>MIN(E$6,ROUND(Y93*(1+E$5),0))</f>
        <v/>
      </c>
      <c r="F94">
        <f>MIN(F$6,ROUND(Z93*(1+F$5),0))</f>
        <v/>
      </c>
      <c r="G94">
        <f>MIN(G$6,ROUND(AA93*(1+G$5),0))</f>
        <v/>
      </c>
      <c r="H94">
        <f>MIN(H$6,ROUND(AB93*(1+H$5),0))</f>
        <v/>
      </c>
      <c r="I94">
        <f>MIN(I$6,ROUND(AC93*(1+I$5),0))</f>
        <v/>
      </c>
      <c r="J94">
        <f>MIN(J$6,ROUND(AD93*(1+J$5),0))</f>
        <v/>
      </c>
      <c r="K94">
        <f>MIN(K$6,ROUND(AE93*(1+K$5),0))</f>
        <v/>
      </c>
      <c r="L94">
        <f>MIN(L$6,ROUND(AF93*(1+L$5),0))</f>
        <v/>
      </c>
      <c r="M94">
        <f>MAX(0,MIN(ROUND(W93*(1+C$5),0)-C94,$AJ94-0))</f>
        <v/>
      </c>
      <c r="N94">
        <f>MAX(0,MIN(ROUND(X93*(1+D$5),0)-D94,$AJ94-SUM($M94:M94)))</f>
        <v/>
      </c>
      <c r="O94">
        <f>MAX(0,MIN(ROUND(Y93*(1+E$5),0)-E94,$AJ94-SUM($M94:N94)))</f>
        <v/>
      </c>
      <c r="P94">
        <f>MAX(0,MIN(ROUND(Z93*(1+F$5),0)-F94,$AJ94-SUM($M94:O94)))</f>
        <v/>
      </c>
      <c r="Q94">
        <f>MAX(0,MIN(ROUND(AA93*(1+G$5),0)-G94,$AJ94-SUM($M94:P94)))</f>
        <v/>
      </c>
      <c r="R94">
        <f>MAX(0,MIN(ROUND(AB93*(1+H$5),0)-H94,$AJ94-SUM($M94:Q94)))</f>
        <v/>
      </c>
      <c r="S94">
        <f>MAX(0,MIN(ROUND(AC93*(1+I$5),0)-I94,$AJ94-SUM($M94:R94)))</f>
        <v/>
      </c>
      <c r="T94">
        <f>MAX(0,MIN(ROUND(AD93*(1+J$5),0)-J94,$AJ94-SUM($M94:S94)))</f>
        <v/>
      </c>
      <c r="U94">
        <f>MAX(0,MIN(ROUND(AE93*(1+K$5),0)-K94,$AJ94-SUM($M94:T94)))</f>
        <v/>
      </c>
      <c r="V94">
        <f>MAX(0,MIN(ROUND(AF93*(1+L$5),0)-L94,$AJ94-SUM($M94:U94)))</f>
        <v/>
      </c>
      <c r="W94">
        <f>MAX(0,ROUND(W93*(1+C$5),0)-C94-M94)</f>
        <v/>
      </c>
      <c r="X94">
        <f>MAX(0,ROUND(X93*(1+D$5),0)-D94-N94)</f>
        <v/>
      </c>
      <c r="Y94">
        <f>MAX(0,ROUND(Y93*(1+E$5),0)-E94-O94)</f>
        <v/>
      </c>
      <c r="Z94">
        <f>MAX(0,ROUND(Z93*(1+F$5),0)-F94-P94)</f>
        <v/>
      </c>
      <c r="AA94">
        <f>MAX(0,ROUND(AA93*(1+G$5),0)-G94-Q94)</f>
        <v/>
      </c>
      <c r="AB94">
        <f>MAX(0,ROUND(AB93*(1+H$5),0)-H94-R94)</f>
        <v/>
      </c>
      <c r="AC94">
        <f>MAX(0,ROUND(AC93*(1+I$5),0)-I94-S94)</f>
        <v/>
      </c>
      <c r="AD94">
        <f>MAX(0,ROUND(AD93*(1+J$5),0)-J94-T94)</f>
        <v/>
      </c>
      <c r="AE94">
        <f>MAX(0,ROUND(AE93*(1+K$5),0)-K94-U94)</f>
        <v/>
      </c>
      <c r="AF94">
        <f>MAX(0,ROUND(AF93*(1+L$5),0)-L94-V94)</f>
        <v/>
      </c>
      <c r="AG94">
        <f>AH94-(AI93-AI94)</f>
        <v/>
      </c>
      <c r="AH94">
        <f>SUM(C94:V94)</f>
        <v/>
      </c>
      <c r="AI94">
        <f>SUM(W94:AF94)</f>
        <v/>
      </c>
      <c r="AJ94">
        <f>0</f>
        <v/>
      </c>
      <c r="AK94">
        <f>IF(AI93&lt;=0,0,11-SUMPRODUCT(MAX((W93:AF93&gt;0)*(11-(COLUMN(W93:AF93)-COLUMN($V93))))))</f>
        <v/>
      </c>
    </row>
    <row r="95">
      <c r="A95" t="n">
        <v>85</v>
      </c>
      <c r="B95">
        <f>DATE(YEAR(InicioEf),MONTH(InicioEf)+A95-1,1)</f>
        <v/>
      </c>
      <c r="C95">
        <f>MIN(C$6,ROUND(W94*(1+C$5),0))</f>
        <v/>
      </c>
      <c r="D95">
        <f>MIN(D$6,ROUND(X94*(1+D$5),0))</f>
        <v/>
      </c>
      <c r="E95">
        <f>MIN(E$6,ROUND(Y94*(1+E$5),0))</f>
        <v/>
      </c>
      <c r="F95">
        <f>MIN(F$6,ROUND(Z94*(1+F$5),0))</f>
        <v/>
      </c>
      <c r="G95">
        <f>MIN(G$6,ROUND(AA94*(1+G$5),0))</f>
        <v/>
      </c>
      <c r="H95">
        <f>MIN(H$6,ROUND(AB94*(1+H$5),0))</f>
        <v/>
      </c>
      <c r="I95">
        <f>MIN(I$6,ROUND(AC94*(1+I$5),0))</f>
        <v/>
      </c>
      <c r="J95">
        <f>MIN(J$6,ROUND(AD94*(1+J$5),0))</f>
        <v/>
      </c>
      <c r="K95">
        <f>MIN(K$6,ROUND(AE94*(1+K$5),0))</f>
        <v/>
      </c>
      <c r="L95">
        <f>MIN(L$6,ROUND(AF94*(1+L$5),0))</f>
        <v/>
      </c>
      <c r="M95">
        <f>MAX(0,MIN(ROUND(W94*(1+C$5),0)-C95,$AJ95-0))</f>
        <v/>
      </c>
      <c r="N95">
        <f>MAX(0,MIN(ROUND(X94*(1+D$5),0)-D95,$AJ95-SUM($M95:M95)))</f>
        <v/>
      </c>
      <c r="O95">
        <f>MAX(0,MIN(ROUND(Y94*(1+E$5),0)-E95,$AJ95-SUM($M95:N95)))</f>
        <v/>
      </c>
      <c r="P95">
        <f>MAX(0,MIN(ROUND(Z94*(1+F$5),0)-F95,$AJ95-SUM($M95:O95)))</f>
        <v/>
      </c>
      <c r="Q95">
        <f>MAX(0,MIN(ROUND(AA94*(1+G$5),0)-G95,$AJ95-SUM($M95:P95)))</f>
        <v/>
      </c>
      <c r="R95">
        <f>MAX(0,MIN(ROUND(AB94*(1+H$5),0)-H95,$AJ95-SUM($M95:Q95)))</f>
        <v/>
      </c>
      <c r="S95">
        <f>MAX(0,MIN(ROUND(AC94*(1+I$5),0)-I95,$AJ95-SUM($M95:R95)))</f>
        <v/>
      </c>
      <c r="T95">
        <f>MAX(0,MIN(ROUND(AD94*(1+J$5),0)-J95,$AJ95-SUM($M95:S95)))</f>
        <v/>
      </c>
      <c r="U95">
        <f>MAX(0,MIN(ROUND(AE94*(1+K$5),0)-K95,$AJ95-SUM($M95:T95)))</f>
        <v/>
      </c>
      <c r="V95">
        <f>MAX(0,MIN(ROUND(AF94*(1+L$5),0)-L95,$AJ95-SUM($M95:U95)))</f>
        <v/>
      </c>
      <c r="W95">
        <f>MAX(0,ROUND(W94*(1+C$5),0)-C95-M95)</f>
        <v/>
      </c>
      <c r="X95">
        <f>MAX(0,ROUND(X94*(1+D$5),0)-D95-N95)</f>
        <v/>
      </c>
      <c r="Y95">
        <f>MAX(0,ROUND(Y94*(1+E$5),0)-E95-O95)</f>
        <v/>
      </c>
      <c r="Z95">
        <f>MAX(0,ROUND(Z94*(1+F$5),0)-F95-P95)</f>
        <v/>
      </c>
      <c r="AA95">
        <f>MAX(0,ROUND(AA94*(1+G$5),0)-G95-Q95)</f>
        <v/>
      </c>
      <c r="AB95">
        <f>MAX(0,ROUND(AB94*(1+H$5),0)-H95-R95)</f>
        <v/>
      </c>
      <c r="AC95">
        <f>MAX(0,ROUND(AC94*(1+I$5),0)-I95-S95)</f>
        <v/>
      </c>
      <c r="AD95">
        <f>MAX(0,ROUND(AD94*(1+J$5),0)-J95-T95)</f>
        <v/>
      </c>
      <c r="AE95">
        <f>MAX(0,ROUND(AE94*(1+K$5),0)-K95-U95)</f>
        <v/>
      </c>
      <c r="AF95">
        <f>MAX(0,ROUND(AF94*(1+L$5),0)-L95-V95)</f>
        <v/>
      </c>
      <c r="AG95">
        <f>AH95-(AI94-AI95)</f>
        <v/>
      </c>
      <c r="AH95">
        <f>SUM(C95:V95)</f>
        <v/>
      </c>
      <c r="AI95">
        <f>SUM(W95:AF95)</f>
        <v/>
      </c>
      <c r="AJ95">
        <f>0</f>
        <v/>
      </c>
      <c r="AK95">
        <f>IF(AI94&lt;=0,0,11-SUMPRODUCT(MAX((W94:AF94&gt;0)*(11-(COLUMN(W94:AF94)-COLUMN($V94))))))</f>
        <v/>
      </c>
    </row>
    <row r="96">
      <c r="A96" t="n">
        <v>86</v>
      </c>
      <c r="B96">
        <f>DATE(YEAR(InicioEf),MONTH(InicioEf)+A96-1,1)</f>
        <v/>
      </c>
      <c r="C96">
        <f>MIN(C$6,ROUND(W95*(1+C$5),0))</f>
        <v/>
      </c>
      <c r="D96">
        <f>MIN(D$6,ROUND(X95*(1+D$5),0))</f>
        <v/>
      </c>
      <c r="E96">
        <f>MIN(E$6,ROUND(Y95*(1+E$5),0))</f>
        <v/>
      </c>
      <c r="F96">
        <f>MIN(F$6,ROUND(Z95*(1+F$5),0))</f>
        <v/>
      </c>
      <c r="G96">
        <f>MIN(G$6,ROUND(AA95*(1+G$5),0))</f>
        <v/>
      </c>
      <c r="H96">
        <f>MIN(H$6,ROUND(AB95*(1+H$5),0))</f>
        <v/>
      </c>
      <c r="I96">
        <f>MIN(I$6,ROUND(AC95*(1+I$5),0))</f>
        <v/>
      </c>
      <c r="J96">
        <f>MIN(J$6,ROUND(AD95*(1+J$5),0))</f>
        <v/>
      </c>
      <c r="K96">
        <f>MIN(K$6,ROUND(AE95*(1+K$5),0))</f>
        <v/>
      </c>
      <c r="L96">
        <f>MIN(L$6,ROUND(AF95*(1+L$5),0))</f>
        <v/>
      </c>
      <c r="M96">
        <f>MAX(0,MIN(ROUND(W95*(1+C$5),0)-C96,$AJ96-0))</f>
        <v/>
      </c>
      <c r="N96">
        <f>MAX(0,MIN(ROUND(X95*(1+D$5),0)-D96,$AJ96-SUM($M96:M96)))</f>
        <v/>
      </c>
      <c r="O96">
        <f>MAX(0,MIN(ROUND(Y95*(1+E$5),0)-E96,$AJ96-SUM($M96:N96)))</f>
        <v/>
      </c>
      <c r="P96">
        <f>MAX(0,MIN(ROUND(Z95*(1+F$5),0)-F96,$AJ96-SUM($M96:O96)))</f>
        <v/>
      </c>
      <c r="Q96">
        <f>MAX(0,MIN(ROUND(AA95*(1+G$5),0)-G96,$AJ96-SUM($M96:P96)))</f>
        <v/>
      </c>
      <c r="R96">
        <f>MAX(0,MIN(ROUND(AB95*(1+H$5),0)-H96,$AJ96-SUM($M96:Q96)))</f>
        <v/>
      </c>
      <c r="S96">
        <f>MAX(0,MIN(ROUND(AC95*(1+I$5),0)-I96,$AJ96-SUM($M96:R96)))</f>
        <v/>
      </c>
      <c r="T96">
        <f>MAX(0,MIN(ROUND(AD95*(1+J$5),0)-J96,$AJ96-SUM($M96:S96)))</f>
        <v/>
      </c>
      <c r="U96">
        <f>MAX(0,MIN(ROUND(AE95*(1+K$5),0)-K96,$AJ96-SUM($M96:T96)))</f>
        <v/>
      </c>
      <c r="V96">
        <f>MAX(0,MIN(ROUND(AF95*(1+L$5),0)-L96,$AJ96-SUM($M96:U96)))</f>
        <v/>
      </c>
      <c r="W96">
        <f>MAX(0,ROUND(W95*(1+C$5),0)-C96-M96)</f>
        <v/>
      </c>
      <c r="X96">
        <f>MAX(0,ROUND(X95*(1+D$5),0)-D96-N96)</f>
        <v/>
      </c>
      <c r="Y96">
        <f>MAX(0,ROUND(Y95*(1+E$5),0)-E96-O96)</f>
        <v/>
      </c>
      <c r="Z96">
        <f>MAX(0,ROUND(Z95*(1+F$5),0)-F96-P96)</f>
        <v/>
      </c>
      <c r="AA96">
        <f>MAX(0,ROUND(AA95*(1+G$5),0)-G96-Q96)</f>
        <v/>
      </c>
      <c r="AB96">
        <f>MAX(0,ROUND(AB95*(1+H$5),0)-H96-R96)</f>
        <v/>
      </c>
      <c r="AC96">
        <f>MAX(0,ROUND(AC95*(1+I$5),0)-I96-S96)</f>
        <v/>
      </c>
      <c r="AD96">
        <f>MAX(0,ROUND(AD95*(1+J$5),0)-J96-T96)</f>
        <v/>
      </c>
      <c r="AE96">
        <f>MAX(0,ROUND(AE95*(1+K$5),0)-K96-U96)</f>
        <v/>
      </c>
      <c r="AF96">
        <f>MAX(0,ROUND(AF95*(1+L$5),0)-L96-V96)</f>
        <v/>
      </c>
      <c r="AG96">
        <f>AH96-(AI95-AI96)</f>
        <v/>
      </c>
      <c r="AH96">
        <f>SUM(C96:V96)</f>
        <v/>
      </c>
      <c r="AI96">
        <f>SUM(W96:AF96)</f>
        <v/>
      </c>
      <c r="AJ96">
        <f>0</f>
        <v/>
      </c>
      <c r="AK96">
        <f>IF(AI95&lt;=0,0,11-SUMPRODUCT(MAX((W95:AF95&gt;0)*(11-(COLUMN(W95:AF95)-COLUMN($V95))))))</f>
        <v/>
      </c>
    </row>
    <row r="97">
      <c r="A97" t="n">
        <v>87</v>
      </c>
      <c r="B97">
        <f>DATE(YEAR(InicioEf),MONTH(InicioEf)+A97-1,1)</f>
        <v/>
      </c>
      <c r="C97">
        <f>MIN(C$6,ROUND(W96*(1+C$5),0))</f>
        <v/>
      </c>
      <c r="D97">
        <f>MIN(D$6,ROUND(X96*(1+D$5),0))</f>
        <v/>
      </c>
      <c r="E97">
        <f>MIN(E$6,ROUND(Y96*(1+E$5),0))</f>
        <v/>
      </c>
      <c r="F97">
        <f>MIN(F$6,ROUND(Z96*(1+F$5),0))</f>
        <v/>
      </c>
      <c r="G97">
        <f>MIN(G$6,ROUND(AA96*(1+G$5),0))</f>
        <v/>
      </c>
      <c r="H97">
        <f>MIN(H$6,ROUND(AB96*(1+H$5),0))</f>
        <v/>
      </c>
      <c r="I97">
        <f>MIN(I$6,ROUND(AC96*(1+I$5),0))</f>
        <v/>
      </c>
      <c r="J97">
        <f>MIN(J$6,ROUND(AD96*(1+J$5),0))</f>
        <v/>
      </c>
      <c r="K97">
        <f>MIN(K$6,ROUND(AE96*(1+K$5),0))</f>
        <v/>
      </c>
      <c r="L97">
        <f>MIN(L$6,ROUND(AF96*(1+L$5),0))</f>
        <v/>
      </c>
      <c r="M97">
        <f>MAX(0,MIN(ROUND(W96*(1+C$5),0)-C97,$AJ97-0))</f>
        <v/>
      </c>
      <c r="N97">
        <f>MAX(0,MIN(ROUND(X96*(1+D$5),0)-D97,$AJ97-SUM($M97:M97)))</f>
        <v/>
      </c>
      <c r="O97">
        <f>MAX(0,MIN(ROUND(Y96*(1+E$5),0)-E97,$AJ97-SUM($M97:N97)))</f>
        <v/>
      </c>
      <c r="P97">
        <f>MAX(0,MIN(ROUND(Z96*(1+F$5),0)-F97,$AJ97-SUM($M97:O97)))</f>
        <v/>
      </c>
      <c r="Q97">
        <f>MAX(0,MIN(ROUND(AA96*(1+G$5),0)-G97,$AJ97-SUM($M97:P97)))</f>
        <v/>
      </c>
      <c r="R97">
        <f>MAX(0,MIN(ROUND(AB96*(1+H$5),0)-H97,$AJ97-SUM($M97:Q97)))</f>
        <v/>
      </c>
      <c r="S97">
        <f>MAX(0,MIN(ROUND(AC96*(1+I$5),0)-I97,$AJ97-SUM($M97:R97)))</f>
        <v/>
      </c>
      <c r="T97">
        <f>MAX(0,MIN(ROUND(AD96*(1+J$5),0)-J97,$AJ97-SUM($M97:S97)))</f>
        <v/>
      </c>
      <c r="U97">
        <f>MAX(0,MIN(ROUND(AE96*(1+K$5),0)-K97,$AJ97-SUM($M97:T97)))</f>
        <v/>
      </c>
      <c r="V97">
        <f>MAX(0,MIN(ROUND(AF96*(1+L$5),0)-L97,$AJ97-SUM($M97:U97)))</f>
        <v/>
      </c>
      <c r="W97">
        <f>MAX(0,ROUND(W96*(1+C$5),0)-C97-M97)</f>
        <v/>
      </c>
      <c r="X97">
        <f>MAX(0,ROUND(X96*(1+D$5),0)-D97-N97)</f>
        <v/>
      </c>
      <c r="Y97">
        <f>MAX(0,ROUND(Y96*(1+E$5),0)-E97-O97)</f>
        <v/>
      </c>
      <c r="Z97">
        <f>MAX(0,ROUND(Z96*(1+F$5),0)-F97-P97)</f>
        <v/>
      </c>
      <c r="AA97">
        <f>MAX(0,ROUND(AA96*(1+G$5),0)-G97-Q97)</f>
        <v/>
      </c>
      <c r="AB97">
        <f>MAX(0,ROUND(AB96*(1+H$5),0)-H97-R97)</f>
        <v/>
      </c>
      <c r="AC97">
        <f>MAX(0,ROUND(AC96*(1+I$5),0)-I97-S97)</f>
        <v/>
      </c>
      <c r="AD97">
        <f>MAX(0,ROUND(AD96*(1+J$5),0)-J97-T97)</f>
        <v/>
      </c>
      <c r="AE97">
        <f>MAX(0,ROUND(AE96*(1+K$5),0)-K97-U97)</f>
        <v/>
      </c>
      <c r="AF97">
        <f>MAX(0,ROUND(AF96*(1+L$5),0)-L97-V97)</f>
        <v/>
      </c>
      <c r="AG97">
        <f>AH97-(AI96-AI97)</f>
        <v/>
      </c>
      <c r="AH97">
        <f>SUM(C97:V97)</f>
        <v/>
      </c>
      <c r="AI97">
        <f>SUM(W97:AF97)</f>
        <v/>
      </c>
      <c r="AJ97">
        <f>0</f>
        <v/>
      </c>
      <c r="AK97">
        <f>IF(AI96&lt;=0,0,11-SUMPRODUCT(MAX((W96:AF96&gt;0)*(11-(COLUMN(W96:AF96)-COLUMN($V96))))))</f>
        <v/>
      </c>
    </row>
    <row r="98">
      <c r="A98" t="n">
        <v>88</v>
      </c>
      <c r="B98">
        <f>DATE(YEAR(InicioEf),MONTH(InicioEf)+A98-1,1)</f>
        <v/>
      </c>
      <c r="C98">
        <f>MIN(C$6,ROUND(W97*(1+C$5),0))</f>
        <v/>
      </c>
      <c r="D98">
        <f>MIN(D$6,ROUND(X97*(1+D$5),0))</f>
        <v/>
      </c>
      <c r="E98">
        <f>MIN(E$6,ROUND(Y97*(1+E$5),0))</f>
        <v/>
      </c>
      <c r="F98">
        <f>MIN(F$6,ROUND(Z97*(1+F$5),0))</f>
        <v/>
      </c>
      <c r="G98">
        <f>MIN(G$6,ROUND(AA97*(1+G$5),0))</f>
        <v/>
      </c>
      <c r="H98">
        <f>MIN(H$6,ROUND(AB97*(1+H$5),0))</f>
        <v/>
      </c>
      <c r="I98">
        <f>MIN(I$6,ROUND(AC97*(1+I$5),0))</f>
        <v/>
      </c>
      <c r="J98">
        <f>MIN(J$6,ROUND(AD97*(1+J$5),0))</f>
        <v/>
      </c>
      <c r="K98">
        <f>MIN(K$6,ROUND(AE97*(1+K$5),0))</f>
        <v/>
      </c>
      <c r="L98">
        <f>MIN(L$6,ROUND(AF97*(1+L$5),0))</f>
        <v/>
      </c>
      <c r="M98">
        <f>MAX(0,MIN(ROUND(W97*(1+C$5),0)-C98,$AJ98-0))</f>
        <v/>
      </c>
      <c r="N98">
        <f>MAX(0,MIN(ROUND(X97*(1+D$5),0)-D98,$AJ98-SUM($M98:M98)))</f>
        <v/>
      </c>
      <c r="O98">
        <f>MAX(0,MIN(ROUND(Y97*(1+E$5),0)-E98,$AJ98-SUM($M98:N98)))</f>
        <v/>
      </c>
      <c r="P98">
        <f>MAX(0,MIN(ROUND(Z97*(1+F$5),0)-F98,$AJ98-SUM($M98:O98)))</f>
        <v/>
      </c>
      <c r="Q98">
        <f>MAX(0,MIN(ROUND(AA97*(1+G$5),0)-G98,$AJ98-SUM($M98:P98)))</f>
        <v/>
      </c>
      <c r="R98">
        <f>MAX(0,MIN(ROUND(AB97*(1+H$5),0)-H98,$AJ98-SUM($M98:Q98)))</f>
        <v/>
      </c>
      <c r="S98">
        <f>MAX(0,MIN(ROUND(AC97*(1+I$5),0)-I98,$AJ98-SUM($M98:R98)))</f>
        <v/>
      </c>
      <c r="T98">
        <f>MAX(0,MIN(ROUND(AD97*(1+J$5),0)-J98,$AJ98-SUM($M98:S98)))</f>
        <v/>
      </c>
      <c r="U98">
        <f>MAX(0,MIN(ROUND(AE97*(1+K$5),0)-K98,$AJ98-SUM($M98:T98)))</f>
        <v/>
      </c>
      <c r="V98">
        <f>MAX(0,MIN(ROUND(AF97*(1+L$5),0)-L98,$AJ98-SUM($M98:U98)))</f>
        <v/>
      </c>
      <c r="W98">
        <f>MAX(0,ROUND(W97*(1+C$5),0)-C98-M98)</f>
        <v/>
      </c>
      <c r="X98">
        <f>MAX(0,ROUND(X97*(1+D$5),0)-D98-N98)</f>
        <v/>
      </c>
      <c r="Y98">
        <f>MAX(0,ROUND(Y97*(1+E$5),0)-E98-O98)</f>
        <v/>
      </c>
      <c r="Z98">
        <f>MAX(0,ROUND(Z97*(1+F$5),0)-F98-P98)</f>
        <v/>
      </c>
      <c r="AA98">
        <f>MAX(0,ROUND(AA97*(1+G$5),0)-G98-Q98)</f>
        <v/>
      </c>
      <c r="AB98">
        <f>MAX(0,ROUND(AB97*(1+H$5),0)-H98-R98)</f>
        <v/>
      </c>
      <c r="AC98">
        <f>MAX(0,ROUND(AC97*(1+I$5),0)-I98-S98)</f>
        <v/>
      </c>
      <c r="AD98">
        <f>MAX(0,ROUND(AD97*(1+J$5),0)-J98-T98)</f>
        <v/>
      </c>
      <c r="AE98">
        <f>MAX(0,ROUND(AE97*(1+K$5),0)-K98-U98)</f>
        <v/>
      </c>
      <c r="AF98">
        <f>MAX(0,ROUND(AF97*(1+L$5),0)-L98-V98)</f>
        <v/>
      </c>
      <c r="AG98">
        <f>AH98-(AI97-AI98)</f>
        <v/>
      </c>
      <c r="AH98">
        <f>SUM(C98:V98)</f>
        <v/>
      </c>
      <c r="AI98">
        <f>SUM(W98:AF98)</f>
        <v/>
      </c>
      <c r="AJ98">
        <f>0</f>
        <v/>
      </c>
      <c r="AK98">
        <f>IF(AI97&lt;=0,0,11-SUMPRODUCT(MAX((W97:AF97&gt;0)*(11-(COLUMN(W97:AF97)-COLUMN($V97))))))</f>
        <v/>
      </c>
    </row>
    <row r="99">
      <c r="A99" t="n">
        <v>89</v>
      </c>
      <c r="B99">
        <f>DATE(YEAR(InicioEf),MONTH(InicioEf)+A99-1,1)</f>
        <v/>
      </c>
      <c r="C99">
        <f>MIN(C$6,ROUND(W98*(1+C$5),0))</f>
        <v/>
      </c>
      <c r="D99">
        <f>MIN(D$6,ROUND(X98*(1+D$5),0))</f>
        <v/>
      </c>
      <c r="E99">
        <f>MIN(E$6,ROUND(Y98*(1+E$5),0))</f>
        <v/>
      </c>
      <c r="F99">
        <f>MIN(F$6,ROUND(Z98*(1+F$5),0))</f>
        <v/>
      </c>
      <c r="G99">
        <f>MIN(G$6,ROUND(AA98*(1+G$5),0))</f>
        <v/>
      </c>
      <c r="H99">
        <f>MIN(H$6,ROUND(AB98*(1+H$5),0))</f>
        <v/>
      </c>
      <c r="I99">
        <f>MIN(I$6,ROUND(AC98*(1+I$5),0))</f>
        <v/>
      </c>
      <c r="J99">
        <f>MIN(J$6,ROUND(AD98*(1+J$5),0))</f>
        <v/>
      </c>
      <c r="K99">
        <f>MIN(K$6,ROUND(AE98*(1+K$5),0))</f>
        <v/>
      </c>
      <c r="L99">
        <f>MIN(L$6,ROUND(AF98*(1+L$5),0))</f>
        <v/>
      </c>
      <c r="M99">
        <f>MAX(0,MIN(ROUND(W98*(1+C$5),0)-C99,$AJ99-0))</f>
        <v/>
      </c>
      <c r="N99">
        <f>MAX(0,MIN(ROUND(X98*(1+D$5),0)-D99,$AJ99-SUM($M99:M99)))</f>
        <v/>
      </c>
      <c r="O99">
        <f>MAX(0,MIN(ROUND(Y98*(1+E$5),0)-E99,$AJ99-SUM($M99:N99)))</f>
        <v/>
      </c>
      <c r="P99">
        <f>MAX(0,MIN(ROUND(Z98*(1+F$5),0)-F99,$AJ99-SUM($M99:O99)))</f>
        <v/>
      </c>
      <c r="Q99">
        <f>MAX(0,MIN(ROUND(AA98*(1+G$5),0)-G99,$AJ99-SUM($M99:P99)))</f>
        <v/>
      </c>
      <c r="R99">
        <f>MAX(0,MIN(ROUND(AB98*(1+H$5),0)-H99,$AJ99-SUM($M99:Q99)))</f>
        <v/>
      </c>
      <c r="S99">
        <f>MAX(0,MIN(ROUND(AC98*(1+I$5),0)-I99,$AJ99-SUM($M99:R99)))</f>
        <v/>
      </c>
      <c r="T99">
        <f>MAX(0,MIN(ROUND(AD98*(1+J$5),0)-J99,$AJ99-SUM($M99:S99)))</f>
        <v/>
      </c>
      <c r="U99">
        <f>MAX(0,MIN(ROUND(AE98*(1+K$5),0)-K99,$AJ99-SUM($M99:T99)))</f>
        <v/>
      </c>
      <c r="V99">
        <f>MAX(0,MIN(ROUND(AF98*(1+L$5),0)-L99,$AJ99-SUM($M99:U99)))</f>
        <v/>
      </c>
      <c r="W99">
        <f>MAX(0,ROUND(W98*(1+C$5),0)-C99-M99)</f>
        <v/>
      </c>
      <c r="X99">
        <f>MAX(0,ROUND(X98*(1+D$5),0)-D99-N99)</f>
        <v/>
      </c>
      <c r="Y99">
        <f>MAX(0,ROUND(Y98*(1+E$5),0)-E99-O99)</f>
        <v/>
      </c>
      <c r="Z99">
        <f>MAX(0,ROUND(Z98*(1+F$5),0)-F99-P99)</f>
        <v/>
      </c>
      <c r="AA99">
        <f>MAX(0,ROUND(AA98*(1+G$5),0)-G99-Q99)</f>
        <v/>
      </c>
      <c r="AB99">
        <f>MAX(0,ROUND(AB98*(1+H$5),0)-H99-R99)</f>
        <v/>
      </c>
      <c r="AC99">
        <f>MAX(0,ROUND(AC98*(1+I$5),0)-I99-S99)</f>
        <v/>
      </c>
      <c r="AD99">
        <f>MAX(0,ROUND(AD98*(1+J$5),0)-J99-T99)</f>
        <v/>
      </c>
      <c r="AE99">
        <f>MAX(0,ROUND(AE98*(1+K$5),0)-K99-U99)</f>
        <v/>
      </c>
      <c r="AF99">
        <f>MAX(0,ROUND(AF98*(1+L$5),0)-L99-V99)</f>
        <v/>
      </c>
      <c r="AG99">
        <f>AH99-(AI98-AI99)</f>
        <v/>
      </c>
      <c r="AH99">
        <f>SUM(C99:V99)</f>
        <v/>
      </c>
      <c r="AI99">
        <f>SUM(W99:AF99)</f>
        <v/>
      </c>
      <c r="AJ99">
        <f>0</f>
        <v/>
      </c>
      <c r="AK99">
        <f>IF(AI98&lt;=0,0,11-SUMPRODUCT(MAX((W98:AF98&gt;0)*(11-(COLUMN(W98:AF98)-COLUMN($V98))))))</f>
        <v/>
      </c>
    </row>
    <row r="100">
      <c r="A100" t="n">
        <v>90</v>
      </c>
      <c r="B100">
        <f>DATE(YEAR(InicioEf),MONTH(InicioEf)+A100-1,1)</f>
        <v/>
      </c>
      <c r="C100">
        <f>MIN(C$6,ROUND(W99*(1+C$5),0))</f>
        <v/>
      </c>
      <c r="D100">
        <f>MIN(D$6,ROUND(X99*(1+D$5),0))</f>
        <v/>
      </c>
      <c r="E100">
        <f>MIN(E$6,ROUND(Y99*(1+E$5),0))</f>
        <v/>
      </c>
      <c r="F100">
        <f>MIN(F$6,ROUND(Z99*(1+F$5),0))</f>
        <v/>
      </c>
      <c r="G100">
        <f>MIN(G$6,ROUND(AA99*(1+G$5),0))</f>
        <v/>
      </c>
      <c r="H100">
        <f>MIN(H$6,ROUND(AB99*(1+H$5),0))</f>
        <v/>
      </c>
      <c r="I100">
        <f>MIN(I$6,ROUND(AC99*(1+I$5),0))</f>
        <v/>
      </c>
      <c r="J100">
        <f>MIN(J$6,ROUND(AD99*(1+J$5),0))</f>
        <v/>
      </c>
      <c r="K100">
        <f>MIN(K$6,ROUND(AE99*(1+K$5),0))</f>
        <v/>
      </c>
      <c r="L100">
        <f>MIN(L$6,ROUND(AF99*(1+L$5),0))</f>
        <v/>
      </c>
      <c r="M100">
        <f>MAX(0,MIN(ROUND(W99*(1+C$5),0)-C100,$AJ100-0))</f>
        <v/>
      </c>
      <c r="N100">
        <f>MAX(0,MIN(ROUND(X99*(1+D$5),0)-D100,$AJ100-SUM($M100:M100)))</f>
        <v/>
      </c>
      <c r="O100">
        <f>MAX(0,MIN(ROUND(Y99*(1+E$5),0)-E100,$AJ100-SUM($M100:N100)))</f>
        <v/>
      </c>
      <c r="P100">
        <f>MAX(0,MIN(ROUND(Z99*(1+F$5),0)-F100,$AJ100-SUM($M100:O100)))</f>
        <v/>
      </c>
      <c r="Q100">
        <f>MAX(0,MIN(ROUND(AA99*(1+G$5),0)-G100,$AJ100-SUM($M100:P100)))</f>
        <v/>
      </c>
      <c r="R100">
        <f>MAX(0,MIN(ROUND(AB99*(1+H$5),0)-H100,$AJ100-SUM($M100:Q100)))</f>
        <v/>
      </c>
      <c r="S100">
        <f>MAX(0,MIN(ROUND(AC99*(1+I$5),0)-I100,$AJ100-SUM($M100:R100)))</f>
        <v/>
      </c>
      <c r="T100">
        <f>MAX(0,MIN(ROUND(AD99*(1+J$5),0)-J100,$AJ100-SUM($M100:S100)))</f>
        <v/>
      </c>
      <c r="U100">
        <f>MAX(0,MIN(ROUND(AE99*(1+K$5),0)-K100,$AJ100-SUM($M100:T100)))</f>
        <v/>
      </c>
      <c r="V100">
        <f>MAX(0,MIN(ROUND(AF99*(1+L$5),0)-L100,$AJ100-SUM($M100:U100)))</f>
        <v/>
      </c>
      <c r="W100">
        <f>MAX(0,ROUND(W99*(1+C$5),0)-C100-M100)</f>
        <v/>
      </c>
      <c r="X100">
        <f>MAX(0,ROUND(X99*(1+D$5),0)-D100-N100)</f>
        <v/>
      </c>
      <c r="Y100">
        <f>MAX(0,ROUND(Y99*(1+E$5),0)-E100-O100)</f>
        <v/>
      </c>
      <c r="Z100">
        <f>MAX(0,ROUND(Z99*(1+F$5),0)-F100-P100)</f>
        <v/>
      </c>
      <c r="AA100">
        <f>MAX(0,ROUND(AA99*(1+G$5),0)-G100-Q100)</f>
        <v/>
      </c>
      <c r="AB100">
        <f>MAX(0,ROUND(AB99*(1+H$5),0)-H100-R100)</f>
        <v/>
      </c>
      <c r="AC100">
        <f>MAX(0,ROUND(AC99*(1+I$5),0)-I100-S100)</f>
        <v/>
      </c>
      <c r="AD100">
        <f>MAX(0,ROUND(AD99*(1+J$5),0)-J100-T100)</f>
        <v/>
      </c>
      <c r="AE100">
        <f>MAX(0,ROUND(AE99*(1+K$5),0)-K100-U100)</f>
        <v/>
      </c>
      <c r="AF100">
        <f>MAX(0,ROUND(AF99*(1+L$5),0)-L100-V100)</f>
        <v/>
      </c>
      <c r="AG100">
        <f>AH100-(AI99-AI100)</f>
        <v/>
      </c>
      <c r="AH100">
        <f>SUM(C100:V100)</f>
        <v/>
      </c>
      <c r="AI100">
        <f>SUM(W100:AF100)</f>
        <v/>
      </c>
      <c r="AJ100">
        <f>0</f>
        <v/>
      </c>
      <c r="AK100">
        <f>IF(AI99&lt;=0,0,11-SUMPRODUCT(MAX((W99:AF99&gt;0)*(11-(COLUMN(W99:AF99)-COLUMN($V99))))))</f>
        <v/>
      </c>
    </row>
    <row r="101">
      <c r="A101" t="n">
        <v>91</v>
      </c>
      <c r="B101">
        <f>DATE(YEAR(InicioEf),MONTH(InicioEf)+A101-1,1)</f>
        <v/>
      </c>
      <c r="C101">
        <f>MIN(C$6,ROUND(W100*(1+C$5),0))</f>
        <v/>
      </c>
      <c r="D101">
        <f>MIN(D$6,ROUND(X100*(1+D$5),0))</f>
        <v/>
      </c>
      <c r="E101">
        <f>MIN(E$6,ROUND(Y100*(1+E$5),0))</f>
        <v/>
      </c>
      <c r="F101">
        <f>MIN(F$6,ROUND(Z100*(1+F$5),0))</f>
        <v/>
      </c>
      <c r="G101">
        <f>MIN(G$6,ROUND(AA100*(1+G$5),0))</f>
        <v/>
      </c>
      <c r="H101">
        <f>MIN(H$6,ROUND(AB100*(1+H$5),0))</f>
        <v/>
      </c>
      <c r="I101">
        <f>MIN(I$6,ROUND(AC100*(1+I$5),0))</f>
        <v/>
      </c>
      <c r="J101">
        <f>MIN(J$6,ROUND(AD100*(1+J$5),0))</f>
        <v/>
      </c>
      <c r="K101">
        <f>MIN(K$6,ROUND(AE100*(1+K$5),0))</f>
        <v/>
      </c>
      <c r="L101">
        <f>MIN(L$6,ROUND(AF100*(1+L$5),0))</f>
        <v/>
      </c>
      <c r="M101">
        <f>MAX(0,MIN(ROUND(W100*(1+C$5),0)-C101,$AJ101-0))</f>
        <v/>
      </c>
      <c r="N101">
        <f>MAX(0,MIN(ROUND(X100*(1+D$5),0)-D101,$AJ101-SUM($M101:M101)))</f>
        <v/>
      </c>
      <c r="O101">
        <f>MAX(0,MIN(ROUND(Y100*(1+E$5),0)-E101,$AJ101-SUM($M101:N101)))</f>
        <v/>
      </c>
      <c r="P101">
        <f>MAX(0,MIN(ROUND(Z100*(1+F$5),0)-F101,$AJ101-SUM($M101:O101)))</f>
        <v/>
      </c>
      <c r="Q101">
        <f>MAX(0,MIN(ROUND(AA100*(1+G$5),0)-G101,$AJ101-SUM($M101:P101)))</f>
        <v/>
      </c>
      <c r="R101">
        <f>MAX(0,MIN(ROUND(AB100*(1+H$5),0)-H101,$AJ101-SUM($M101:Q101)))</f>
        <v/>
      </c>
      <c r="S101">
        <f>MAX(0,MIN(ROUND(AC100*(1+I$5),0)-I101,$AJ101-SUM($M101:R101)))</f>
        <v/>
      </c>
      <c r="T101">
        <f>MAX(0,MIN(ROUND(AD100*(1+J$5),0)-J101,$AJ101-SUM($M101:S101)))</f>
        <v/>
      </c>
      <c r="U101">
        <f>MAX(0,MIN(ROUND(AE100*(1+K$5),0)-K101,$AJ101-SUM($M101:T101)))</f>
        <v/>
      </c>
      <c r="V101">
        <f>MAX(0,MIN(ROUND(AF100*(1+L$5),0)-L101,$AJ101-SUM($M101:U101)))</f>
        <v/>
      </c>
      <c r="W101">
        <f>MAX(0,ROUND(W100*(1+C$5),0)-C101-M101)</f>
        <v/>
      </c>
      <c r="X101">
        <f>MAX(0,ROUND(X100*(1+D$5),0)-D101-N101)</f>
        <v/>
      </c>
      <c r="Y101">
        <f>MAX(0,ROUND(Y100*(1+E$5),0)-E101-O101)</f>
        <v/>
      </c>
      <c r="Z101">
        <f>MAX(0,ROUND(Z100*(1+F$5),0)-F101-P101)</f>
        <v/>
      </c>
      <c r="AA101">
        <f>MAX(0,ROUND(AA100*(1+G$5),0)-G101-Q101)</f>
        <v/>
      </c>
      <c r="AB101">
        <f>MAX(0,ROUND(AB100*(1+H$5),0)-H101-R101)</f>
        <v/>
      </c>
      <c r="AC101">
        <f>MAX(0,ROUND(AC100*(1+I$5),0)-I101-S101)</f>
        <v/>
      </c>
      <c r="AD101">
        <f>MAX(0,ROUND(AD100*(1+J$5),0)-J101-T101)</f>
        <v/>
      </c>
      <c r="AE101">
        <f>MAX(0,ROUND(AE100*(1+K$5),0)-K101-U101)</f>
        <v/>
      </c>
      <c r="AF101">
        <f>MAX(0,ROUND(AF100*(1+L$5),0)-L101-V101)</f>
        <v/>
      </c>
      <c r="AG101">
        <f>AH101-(AI100-AI101)</f>
        <v/>
      </c>
      <c r="AH101">
        <f>SUM(C101:V101)</f>
        <v/>
      </c>
      <c r="AI101">
        <f>SUM(W101:AF101)</f>
        <v/>
      </c>
      <c r="AJ101">
        <f>0</f>
        <v/>
      </c>
      <c r="AK101">
        <f>IF(AI100&lt;=0,0,11-SUMPRODUCT(MAX((W100:AF100&gt;0)*(11-(COLUMN(W100:AF100)-COLUMN($V100))))))</f>
        <v/>
      </c>
    </row>
    <row r="102">
      <c r="A102" t="n">
        <v>92</v>
      </c>
      <c r="B102">
        <f>DATE(YEAR(InicioEf),MONTH(InicioEf)+A102-1,1)</f>
        <v/>
      </c>
      <c r="C102">
        <f>MIN(C$6,ROUND(W101*(1+C$5),0))</f>
        <v/>
      </c>
      <c r="D102">
        <f>MIN(D$6,ROUND(X101*(1+D$5),0))</f>
        <v/>
      </c>
      <c r="E102">
        <f>MIN(E$6,ROUND(Y101*(1+E$5),0))</f>
        <v/>
      </c>
      <c r="F102">
        <f>MIN(F$6,ROUND(Z101*(1+F$5),0))</f>
        <v/>
      </c>
      <c r="G102">
        <f>MIN(G$6,ROUND(AA101*(1+G$5),0))</f>
        <v/>
      </c>
      <c r="H102">
        <f>MIN(H$6,ROUND(AB101*(1+H$5),0))</f>
        <v/>
      </c>
      <c r="I102">
        <f>MIN(I$6,ROUND(AC101*(1+I$5),0))</f>
        <v/>
      </c>
      <c r="J102">
        <f>MIN(J$6,ROUND(AD101*(1+J$5),0))</f>
        <v/>
      </c>
      <c r="K102">
        <f>MIN(K$6,ROUND(AE101*(1+K$5),0))</f>
        <v/>
      </c>
      <c r="L102">
        <f>MIN(L$6,ROUND(AF101*(1+L$5),0))</f>
        <v/>
      </c>
      <c r="M102">
        <f>MAX(0,MIN(ROUND(W101*(1+C$5),0)-C102,$AJ102-0))</f>
        <v/>
      </c>
      <c r="N102">
        <f>MAX(0,MIN(ROUND(X101*(1+D$5),0)-D102,$AJ102-SUM($M102:M102)))</f>
        <v/>
      </c>
      <c r="O102">
        <f>MAX(0,MIN(ROUND(Y101*(1+E$5),0)-E102,$AJ102-SUM($M102:N102)))</f>
        <v/>
      </c>
      <c r="P102">
        <f>MAX(0,MIN(ROUND(Z101*(1+F$5),0)-F102,$AJ102-SUM($M102:O102)))</f>
        <v/>
      </c>
      <c r="Q102">
        <f>MAX(0,MIN(ROUND(AA101*(1+G$5),0)-G102,$AJ102-SUM($M102:P102)))</f>
        <v/>
      </c>
      <c r="R102">
        <f>MAX(0,MIN(ROUND(AB101*(1+H$5),0)-H102,$AJ102-SUM($M102:Q102)))</f>
        <v/>
      </c>
      <c r="S102">
        <f>MAX(0,MIN(ROUND(AC101*(1+I$5),0)-I102,$AJ102-SUM($M102:R102)))</f>
        <v/>
      </c>
      <c r="T102">
        <f>MAX(0,MIN(ROUND(AD101*(1+J$5),0)-J102,$AJ102-SUM($M102:S102)))</f>
        <v/>
      </c>
      <c r="U102">
        <f>MAX(0,MIN(ROUND(AE101*(1+K$5),0)-K102,$AJ102-SUM($M102:T102)))</f>
        <v/>
      </c>
      <c r="V102">
        <f>MAX(0,MIN(ROUND(AF101*(1+L$5),0)-L102,$AJ102-SUM($M102:U102)))</f>
        <v/>
      </c>
      <c r="W102">
        <f>MAX(0,ROUND(W101*(1+C$5),0)-C102-M102)</f>
        <v/>
      </c>
      <c r="X102">
        <f>MAX(0,ROUND(X101*(1+D$5),0)-D102-N102)</f>
        <v/>
      </c>
      <c r="Y102">
        <f>MAX(0,ROUND(Y101*(1+E$5),0)-E102-O102)</f>
        <v/>
      </c>
      <c r="Z102">
        <f>MAX(0,ROUND(Z101*(1+F$5),0)-F102-P102)</f>
        <v/>
      </c>
      <c r="AA102">
        <f>MAX(0,ROUND(AA101*(1+G$5),0)-G102-Q102)</f>
        <v/>
      </c>
      <c r="AB102">
        <f>MAX(0,ROUND(AB101*(1+H$5),0)-H102-R102)</f>
        <v/>
      </c>
      <c r="AC102">
        <f>MAX(0,ROUND(AC101*(1+I$5),0)-I102-S102)</f>
        <v/>
      </c>
      <c r="AD102">
        <f>MAX(0,ROUND(AD101*(1+J$5),0)-J102-T102)</f>
        <v/>
      </c>
      <c r="AE102">
        <f>MAX(0,ROUND(AE101*(1+K$5),0)-K102-U102)</f>
        <v/>
      </c>
      <c r="AF102">
        <f>MAX(0,ROUND(AF101*(1+L$5),0)-L102-V102)</f>
        <v/>
      </c>
      <c r="AG102">
        <f>AH102-(AI101-AI102)</f>
        <v/>
      </c>
      <c r="AH102">
        <f>SUM(C102:V102)</f>
        <v/>
      </c>
      <c r="AI102">
        <f>SUM(W102:AF102)</f>
        <v/>
      </c>
      <c r="AJ102">
        <f>0</f>
        <v/>
      </c>
      <c r="AK102">
        <f>IF(AI101&lt;=0,0,11-SUMPRODUCT(MAX((W101:AF101&gt;0)*(11-(COLUMN(W101:AF101)-COLUMN($V101))))))</f>
        <v/>
      </c>
    </row>
    <row r="103">
      <c r="A103" t="n">
        <v>93</v>
      </c>
      <c r="B103">
        <f>DATE(YEAR(InicioEf),MONTH(InicioEf)+A103-1,1)</f>
        <v/>
      </c>
      <c r="C103">
        <f>MIN(C$6,ROUND(W102*(1+C$5),0))</f>
        <v/>
      </c>
      <c r="D103">
        <f>MIN(D$6,ROUND(X102*(1+D$5),0))</f>
        <v/>
      </c>
      <c r="E103">
        <f>MIN(E$6,ROUND(Y102*(1+E$5),0))</f>
        <v/>
      </c>
      <c r="F103">
        <f>MIN(F$6,ROUND(Z102*(1+F$5),0))</f>
        <v/>
      </c>
      <c r="G103">
        <f>MIN(G$6,ROUND(AA102*(1+G$5),0))</f>
        <v/>
      </c>
      <c r="H103">
        <f>MIN(H$6,ROUND(AB102*(1+H$5),0))</f>
        <v/>
      </c>
      <c r="I103">
        <f>MIN(I$6,ROUND(AC102*(1+I$5),0))</f>
        <v/>
      </c>
      <c r="J103">
        <f>MIN(J$6,ROUND(AD102*(1+J$5),0))</f>
        <v/>
      </c>
      <c r="K103">
        <f>MIN(K$6,ROUND(AE102*(1+K$5),0))</f>
        <v/>
      </c>
      <c r="L103">
        <f>MIN(L$6,ROUND(AF102*(1+L$5),0))</f>
        <v/>
      </c>
      <c r="M103">
        <f>MAX(0,MIN(ROUND(W102*(1+C$5),0)-C103,$AJ103-0))</f>
        <v/>
      </c>
      <c r="N103">
        <f>MAX(0,MIN(ROUND(X102*(1+D$5),0)-D103,$AJ103-SUM($M103:M103)))</f>
        <v/>
      </c>
      <c r="O103">
        <f>MAX(0,MIN(ROUND(Y102*(1+E$5),0)-E103,$AJ103-SUM($M103:N103)))</f>
        <v/>
      </c>
      <c r="P103">
        <f>MAX(0,MIN(ROUND(Z102*(1+F$5),0)-F103,$AJ103-SUM($M103:O103)))</f>
        <v/>
      </c>
      <c r="Q103">
        <f>MAX(0,MIN(ROUND(AA102*(1+G$5),0)-G103,$AJ103-SUM($M103:P103)))</f>
        <v/>
      </c>
      <c r="R103">
        <f>MAX(0,MIN(ROUND(AB102*(1+H$5),0)-H103,$AJ103-SUM($M103:Q103)))</f>
        <v/>
      </c>
      <c r="S103">
        <f>MAX(0,MIN(ROUND(AC102*(1+I$5),0)-I103,$AJ103-SUM($M103:R103)))</f>
        <v/>
      </c>
      <c r="T103">
        <f>MAX(0,MIN(ROUND(AD102*(1+J$5),0)-J103,$AJ103-SUM($M103:S103)))</f>
        <v/>
      </c>
      <c r="U103">
        <f>MAX(0,MIN(ROUND(AE102*(1+K$5),0)-K103,$AJ103-SUM($M103:T103)))</f>
        <v/>
      </c>
      <c r="V103">
        <f>MAX(0,MIN(ROUND(AF102*(1+L$5),0)-L103,$AJ103-SUM($M103:U103)))</f>
        <v/>
      </c>
      <c r="W103">
        <f>MAX(0,ROUND(W102*(1+C$5),0)-C103-M103)</f>
        <v/>
      </c>
      <c r="X103">
        <f>MAX(0,ROUND(X102*(1+D$5),0)-D103-N103)</f>
        <v/>
      </c>
      <c r="Y103">
        <f>MAX(0,ROUND(Y102*(1+E$5),0)-E103-O103)</f>
        <v/>
      </c>
      <c r="Z103">
        <f>MAX(0,ROUND(Z102*(1+F$5),0)-F103-P103)</f>
        <v/>
      </c>
      <c r="AA103">
        <f>MAX(0,ROUND(AA102*(1+G$5),0)-G103-Q103)</f>
        <v/>
      </c>
      <c r="AB103">
        <f>MAX(0,ROUND(AB102*(1+H$5),0)-H103-R103)</f>
        <v/>
      </c>
      <c r="AC103">
        <f>MAX(0,ROUND(AC102*(1+I$5),0)-I103-S103)</f>
        <v/>
      </c>
      <c r="AD103">
        <f>MAX(0,ROUND(AD102*(1+J$5),0)-J103-T103)</f>
        <v/>
      </c>
      <c r="AE103">
        <f>MAX(0,ROUND(AE102*(1+K$5),0)-K103-U103)</f>
        <v/>
      </c>
      <c r="AF103">
        <f>MAX(0,ROUND(AF102*(1+L$5),0)-L103-V103)</f>
        <v/>
      </c>
      <c r="AG103">
        <f>AH103-(AI102-AI103)</f>
        <v/>
      </c>
      <c r="AH103">
        <f>SUM(C103:V103)</f>
        <v/>
      </c>
      <c r="AI103">
        <f>SUM(W103:AF103)</f>
        <v/>
      </c>
      <c r="AJ103">
        <f>0</f>
        <v/>
      </c>
      <c r="AK103">
        <f>IF(AI102&lt;=0,0,11-SUMPRODUCT(MAX((W102:AF102&gt;0)*(11-(COLUMN(W102:AF102)-COLUMN($V102))))))</f>
        <v/>
      </c>
    </row>
    <row r="104">
      <c r="A104" t="n">
        <v>94</v>
      </c>
      <c r="B104">
        <f>DATE(YEAR(InicioEf),MONTH(InicioEf)+A104-1,1)</f>
        <v/>
      </c>
      <c r="C104">
        <f>MIN(C$6,ROUND(W103*(1+C$5),0))</f>
        <v/>
      </c>
      <c r="D104">
        <f>MIN(D$6,ROUND(X103*(1+D$5),0))</f>
        <v/>
      </c>
      <c r="E104">
        <f>MIN(E$6,ROUND(Y103*(1+E$5),0))</f>
        <v/>
      </c>
      <c r="F104">
        <f>MIN(F$6,ROUND(Z103*(1+F$5),0))</f>
        <v/>
      </c>
      <c r="G104">
        <f>MIN(G$6,ROUND(AA103*(1+G$5),0))</f>
        <v/>
      </c>
      <c r="H104">
        <f>MIN(H$6,ROUND(AB103*(1+H$5),0))</f>
        <v/>
      </c>
      <c r="I104">
        <f>MIN(I$6,ROUND(AC103*(1+I$5),0))</f>
        <v/>
      </c>
      <c r="J104">
        <f>MIN(J$6,ROUND(AD103*(1+J$5),0))</f>
        <v/>
      </c>
      <c r="K104">
        <f>MIN(K$6,ROUND(AE103*(1+K$5),0))</f>
        <v/>
      </c>
      <c r="L104">
        <f>MIN(L$6,ROUND(AF103*(1+L$5),0))</f>
        <v/>
      </c>
      <c r="M104">
        <f>MAX(0,MIN(ROUND(W103*(1+C$5),0)-C104,$AJ104-0))</f>
        <v/>
      </c>
      <c r="N104">
        <f>MAX(0,MIN(ROUND(X103*(1+D$5),0)-D104,$AJ104-SUM($M104:M104)))</f>
        <v/>
      </c>
      <c r="O104">
        <f>MAX(0,MIN(ROUND(Y103*(1+E$5),0)-E104,$AJ104-SUM($M104:N104)))</f>
        <v/>
      </c>
      <c r="P104">
        <f>MAX(0,MIN(ROUND(Z103*(1+F$5),0)-F104,$AJ104-SUM($M104:O104)))</f>
        <v/>
      </c>
      <c r="Q104">
        <f>MAX(0,MIN(ROUND(AA103*(1+G$5),0)-G104,$AJ104-SUM($M104:P104)))</f>
        <v/>
      </c>
      <c r="R104">
        <f>MAX(0,MIN(ROUND(AB103*(1+H$5),0)-H104,$AJ104-SUM($M104:Q104)))</f>
        <v/>
      </c>
      <c r="S104">
        <f>MAX(0,MIN(ROUND(AC103*(1+I$5),0)-I104,$AJ104-SUM($M104:R104)))</f>
        <v/>
      </c>
      <c r="T104">
        <f>MAX(0,MIN(ROUND(AD103*(1+J$5),0)-J104,$AJ104-SUM($M104:S104)))</f>
        <v/>
      </c>
      <c r="U104">
        <f>MAX(0,MIN(ROUND(AE103*(1+K$5),0)-K104,$AJ104-SUM($M104:T104)))</f>
        <v/>
      </c>
      <c r="V104">
        <f>MAX(0,MIN(ROUND(AF103*(1+L$5),0)-L104,$AJ104-SUM($M104:U104)))</f>
        <v/>
      </c>
      <c r="W104">
        <f>MAX(0,ROUND(W103*(1+C$5),0)-C104-M104)</f>
        <v/>
      </c>
      <c r="X104">
        <f>MAX(0,ROUND(X103*(1+D$5),0)-D104-N104)</f>
        <v/>
      </c>
      <c r="Y104">
        <f>MAX(0,ROUND(Y103*(1+E$5),0)-E104-O104)</f>
        <v/>
      </c>
      <c r="Z104">
        <f>MAX(0,ROUND(Z103*(1+F$5),0)-F104-P104)</f>
        <v/>
      </c>
      <c r="AA104">
        <f>MAX(0,ROUND(AA103*(1+G$5),0)-G104-Q104)</f>
        <v/>
      </c>
      <c r="AB104">
        <f>MAX(0,ROUND(AB103*(1+H$5),0)-H104-R104)</f>
        <v/>
      </c>
      <c r="AC104">
        <f>MAX(0,ROUND(AC103*(1+I$5),0)-I104-S104)</f>
        <v/>
      </c>
      <c r="AD104">
        <f>MAX(0,ROUND(AD103*(1+J$5),0)-J104-T104)</f>
        <v/>
      </c>
      <c r="AE104">
        <f>MAX(0,ROUND(AE103*(1+K$5),0)-K104-U104)</f>
        <v/>
      </c>
      <c r="AF104">
        <f>MAX(0,ROUND(AF103*(1+L$5),0)-L104-V104)</f>
        <v/>
      </c>
      <c r="AG104">
        <f>AH104-(AI103-AI104)</f>
        <v/>
      </c>
      <c r="AH104">
        <f>SUM(C104:V104)</f>
        <v/>
      </c>
      <c r="AI104">
        <f>SUM(W104:AF104)</f>
        <v/>
      </c>
      <c r="AJ104">
        <f>0</f>
        <v/>
      </c>
      <c r="AK104">
        <f>IF(AI103&lt;=0,0,11-SUMPRODUCT(MAX((W103:AF103&gt;0)*(11-(COLUMN(W103:AF103)-COLUMN($V103))))))</f>
        <v/>
      </c>
    </row>
    <row r="105">
      <c r="A105" t="n">
        <v>95</v>
      </c>
      <c r="B105">
        <f>DATE(YEAR(InicioEf),MONTH(InicioEf)+A105-1,1)</f>
        <v/>
      </c>
      <c r="C105">
        <f>MIN(C$6,ROUND(W104*(1+C$5),0))</f>
        <v/>
      </c>
      <c r="D105">
        <f>MIN(D$6,ROUND(X104*(1+D$5),0))</f>
        <v/>
      </c>
      <c r="E105">
        <f>MIN(E$6,ROUND(Y104*(1+E$5),0))</f>
        <v/>
      </c>
      <c r="F105">
        <f>MIN(F$6,ROUND(Z104*(1+F$5),0))</f>
        <v/>
      </c>
      <c r="G105">
        <f>MIN(G$6,ROUND(AA104*(1+G$5),0))</f>
        <v/>
      </c>
      <c r="H105">
        <f>MIN(H$6,ROUND(AB104*(1+H$5),0))</f>
        <v/>
      </c>
      <c r="I105">
        <f>MIN(I$6,ROUND(AC104*(1+I$5),0))</f>
        <v/>
      </c>
      <c r="J105">
        <f>MIN(J$6,ROUND(AD104*(1+J$5),0))</f>
        <v/>
      </c>
      <c r="K105">
        <f>MIN(K$6,ROUND(AE104*(1+K$5),0))</f>
        <v/>
      </c>
      <c r="L105">
        <f>MIN(L$6,ROUND(AF104*(1+L$5),0))</f>
        <v/>
      </c>
      <c r="M105">
        <f>MAX(0,MIN(ROUND(W104*(1+C$5),0)-C105,$AJ105-0))</f>
        <v/>
      </c>
      <c r="N105">
        <f>MAX(0,MIN(ROUND(X104*(1+D$5),0)-D105,$AJ105-SUM($M105:M105)))</f>
        <v/>
      </c>
      <c r="O105">
        <f>MAX(0,MIN(ROUND(Y104*(1+E$5),0)-E105,$AJ105-SUM($M105:N105)))</f>
        <v/>
      </c>
      <c r="P105">
        <f>MAX(0,MIN(ROUND(Z104*(1+F$5),0)-F105,$AJ105-SUM($M105:O105)))</f>
        <v/>
      </c>
      <c r="Q105">
        <f>MAX(0,MIN(ROUND(AA104*(1+G$5),0)-G105,$AJ105-SUM($M105:P105)))</f>
        <v/>
      </c>
      <c r="R105">
        <f>MAX(0,MIN(ROUND(AB104*(1+H$5),0)-H105,$AJ105-SUM($M105:Q105)))</f>
        <v/>
      </c>
      <c r="S105">
        <f>MAX(0,MIN(ROUND(AC104*(1+I$5),0)-I105,$AJ105-SUM($M105:R105)))</f>
        <v/>
      </c>
      <c r="T105">
        <f>MAX(0,MIN(ROUND(AD104*(1+J$5),0)-J105,$AJ105-SUM($M105:S105)))</f>
        <v/>
      </c>
      <c r="U105">
        <f>MAX(0,MIN(ROUND(AE104*(1+K$5),0)-K105,$AJ105-SUM($M105:T105)))</f>
        <v/>
      </c>
      <c r="V105">
        <f>MAX(0,MIN(ROUND(AF104*(1+L$5),0)-L105,$AJ105-SUM($M105:U105)))</f>
        <v/>
      </c>
      <c r="W105">
        <f>MAX(0,ROUND(W104*(1+C$5),0)-C105-M105)</f>
        <v/>
      </c>
      <c r="X105">
        <f>MAX(0,ROUND(X104*(1+D$5),0)-D105-N105)</f>
        <v/>
      </c>
      <c r="Y105">
        <f>MAX(0,ROUND(Y104*(1+E$5),0)-E105-O105)</f>
        <v/>
      </c>
      <c r="Z105">
        <f>MAX(0,ROUND(Z104*(1+F$5),0)-F105-P105)</f>
        <v/>
      </c>
      <c r="AA105">
        <f>MAX(0,ROUND(AA104*(1+G$5),0)-G105-Q105)</f>
        <v/>
      </c>
      <c r="AB105">
        <f>MAX(0,ROUND(AB104*(1+H$5),0)-H105-R105)</f>
        <v/>
      </c>
      <c r="AC105">
        <f>MAX(0,ROUND(AC104*(1+I$5),0)-I105-S105)</f>
        <v/>
      </c>
      <c r="AD105">
        <f>MAX(0,ROUND(AD104*(1+J$5),0)-J105-T105)</f>
        <v/>
      </c>
      <c r="AE105">
        <f>MAX(0,ROUND(AE104*(1+K$5),0)-K105-U105)</f>
        <v/>
      </c>
      <c r="AF105">
        <f>MAX(0,ROUND(AF104*(1+L$5),0)-L105-V105)</f>
        <v/>
      </c>
      <c r="AG105">
        <f>AH105-(AI104-AI105)</f>
        <v/>
      </c>
      <c r="AH105">
        <f>SUM(C105:V105)</f>
        <v/>
      </c>
      <c r="AI105">
        <f>SUM(W105:AF105)</f>
        <v/>
      </c>
      <c r="AJ105">
        <f>0</f>
        <v/>
      </c>
      <c r="AK105">
        <f>IF(AI104&lt;=0,0,11-SUMPRODUCT(MAX((W104:AF104&gt;0)*(11-(COLUMN(W104:AF104)-COLUMN($V104))))))</f>
        <v/>
      </c>
    </row>
    <row r="106">
      <c r="A106" t="n">
        <v>96</v>
      </c>
      <c r="B106">
        <f>DATE(YEAR(InicioEf),MONTH(InicioEf)+A106-1,1)</f>
        <v/>
      </c>
      <c r="C106">
        <f>MIN(C$6,ROUND(W105*(1+C$5),0))</f>
        <v/>
      </c>
      <c r="D106">
        <f>MIN(D$6,ROUND(X105*(1+D$5),0))</f>
        <v/>
      </c>
      <c r="E106">
        <f>MIN(E$6,ROUND(Y105*(1+E$5),0))</f>
        <v/>
      </c>
      <c r="F106">
        <f>MIN(F$6,ROUND(Z105*(1+F$5),0))</f>
        <v/>
      </c>
      <c r="G106">
        <f>MIN(G$6,ROUND(AA105*(1+G$5),0))</f>
        <v/>
      </c>
      <c r="H106">
        <f>MIN(H$6,ROUND(AB105*(1+H$5),0))</f>
        <v/>
      </c>
      <c r="I106">
        <f>MIN(I$6,ROUND(AC105*(1+I$5),0))</f>
        <v/>
      </c>
      <c r="J106">
        <f>MIN(J$6,ROUND(AD105*(1+J$5),0))</f>
        <v/>
      </c>
      <c r="K106">
        <f>MIN(K$6,ROUND(AE105*(1+K$5),0))</f>
        <v/>
      </c>
      <c r="L106">
        <f>MIN(L$6,ROUND(AF105*(1+L$5),0))</f>
        <v/>
      </c>
      <c r="M106">
        <f>MAX(0,MIN(ROUND(W105*(1+C$5),0)-C106,$AJ106-0))</f>
        <v/>
      </c>
      <c r="N106">
        <f>MAX(0,MIN(ROUND(X105*(1+D$5),0)-D106,$AJ106-SUM($M106:M106)))</f>
        <v/>
      </c>
      <c r="O106">
        <f>MAX(0,MIN(ROUND(Y105*(1+E$5),0)-E106,$AJ106-SUM($M106:N106)))</f>
        <v/>
      </c>
      <c r="P106">
        <f>MAX(0,MIN(ROUND(Z105*(1+F$5),0)-F106,$AJ106-SUM($M106:O106)))</f>
        <v/>
      </c>
      <c r="Q106">
        <f>MAX(0,MIN(ROUND(AA105*(1+G$5),0)-G106,$AJ106-SUM($M106:P106)))</f>
        <v/>
      </c>
      <c r="R106">
        <f>MAX(0,MIN(ROUND(AB105*(1+H$5),0)-H106,$AJ106-SUM($M106:Q106)))</f>
        <v/>
      </c>
      <c r="S106">
        <f>MAX(0,MIN(ROUND(AC105*(1+I$5),0)-I106,$AJ106-SUM($M106:R106)))</f>
        <v/>
      </c>
      <c r="T106">
        <f>MAX(0,MIN(ROUND(AD105*(1+J$5),0)-J106,$AJ106-SUM($M106:S106)))</f>
        <v/>
      </c>
      <c r="U106">
        <f>MAX(0,MIN(ROUND(AE105*(1+K$5),0)-K106,$AJ106-SUM($M106:T106)))</f>
        <v/>
      </c>
      <c r="V106">
        <f>MAX(0,MIN(ROUND(AF105*(1+L$5),0)-L106,$AJ106-SUM($M106:U106)))</f>
        <v/>
      </c>
      <c r="W106">
        <f>MAX(0,ROUND(W105*(1+C$5),0)-C106-M106)</f>
        <v/>
      </c>
      <c r="X106">
        <f>MAX(0,ROUND(X105*(1+D$5),0)-D106-N106)</f>
        <v/>
      </c>
      <c r="Y106">
        <f>MAX(0,ROUND(Y105*(1+E$5),0)-E106-O106)</f>
        <v/>
      </c>
      <c r="Z106">
        <f>MAX(0,ROUND(Z105*(1+F$5),0)-F106-P106)</f>
        <v/>
      </c>
      <c r="AA106">
        <f>MAX(0,ROUND(AA105*(1+G$5),0)-G106-Q106)</f>
        <v/>
      </c>
      <c r="AB106">
        <f>MAX(0,ROUND(AB105*(1+H$5),0)-H106-R106)</f>
        <v/>
      </c>
      <c r="AC106">
        <f>MAX(0,ROUND(AC105*(1+I$5),0)-I106-S106)</f>
        <v/>
      </c>
      <c r="AD106">
        <f>MAX(0,ROUND(AD105*(1+J$5),0)-J106-T106)</f>
        <v/>
      </c>
      <c r="AE106">
        <f>MAX(0,ROUND(AE105*(1+K$5),0)-K106-U106)</f>
        <v/>
      </c>
      <c r="AF106">
        <f>MAX(0,ROUND(AF105*(1+L$5),0)-L106-V106)</f>
        <v/>
      </c>
      <c r="AG106">
        <f>AH106-(AI105-AI106)</f>
        <v/>
      </c>
      <c r="AH106">
        <f>SUM(C106:V106)</f>
        <v/>
      </c>
      <c r="AI106">
        <f>SUM(W106:AF106)</f>
        <v/>
      </c>
      <c r="AJ106">
        <f>0</f>
        <v/>
      </c>
      <c r="AK106">
        <f>IF(AI105&lt;=0,0,11-SUMPRODUCT(MAX((W105:AF105&gt;0)*(11-(COLUMN(W105:AF105)-COLUMN($V105))))))</f>
        <v/>
      </c>
    </row>
    <row r="107">
      <c r="A107" t="n">
        <v>97</v>
      </c>
      <c r="B107">
        <f>DATE(YEAR(InicioEf),MONTH(InicioEf)+A107-1,1)</f>
        <v/>
      </c>
      <c r="C107">
        <f>MIN(C$6,ROUND(W106*(1+C$5),0))</f>
        <v/>
      </c>
      <c r="D107">
        <f>MIN(D$6,ROUND(X106*(1+D$5),0))</f>
        <v/>
      </c>
      <c r="E107">
        <f>MIN(E$6,ROUND(Y106*(1+E$5),0))</f>
        <v/>
      </c>
      <c r="F107">
        <f>MIN(F$6,ROUND(Z106*(1+F$5),0))</f>
        <v/>
      </c>
      <c r="G107">
        <f>MIN(G$6,ROUND(AA106*(1+G$5),0))</f>
        <v/>
      </c>
      <c r="H107">
        <f>MIN(H$6,ROUND(AB106*(1+H$5),0))</f>
        <v/>
      </c>
      <c r="I107">
        <f>MIN(I$6,ROUND(AC106*(1+I$5),0))</f>
        <v/>
      </c>
      <c r="J107">
        <f>MIN(J$6,ROUND(AD106*(1+J$5),0))</f>
        <v/>
      </c>
      <c r="K107">
        <f>MIN(K$6,ROUND(AE106*(1+K$5),0))</f>
        <v/>
      </c>
      <c r="L107">
        <f>MIN(L$6,ROUND(AF106*(1+L$5),0))</f>
        <v/>
      </c>
      <c r="M107">
        <f>MAX(0,MIN(ROUND(W106*(1+C$5),0)-C107,$AJ107-0))</f>
        <v/>
      </c>
      <c r="N107">
        <f>MAX(0,MIN(ROUND(X106*(1+D$5),0)-D107,$AJ107-SUM($M107:M107)))</f>
        <v/>
      </c>
      <c r="O107">
        <f>MAX(0,MIN(ROUND(Y106*(1+E$5),0)-E107,$AJ107-SUM($M107:N107)))</f>
        <v/>
      </c>
      <c r="P107">
        <f>MAX(0,MIN(ROUND(Z106*(1+F$5),0)-F107,$AJ107-SUM($M107:O107)))</f>
        <v/>
      </c>
      <c r="Q107">
        <f>MAX(0,MIN(ROUND(AA106*(1+G$5),0)-G107,$AJ107-SUM($M107:P107)))</f>
        <v/>
      </c>
      <c r="R107">
        <f>MAX(0,MIN(ROUND(AB106*(1+H$5),0)-H107,$AJ107-SUM($M107:Q107)))</f>
        <v/>
      </c>
      <c r="S107">
        <f>MAX(0,MIN(ROUND(AC106*(1+I$5),0)-I107,$AJ107-SUM($M107:R107)))</f>
        <v/>
      </c>
      <c r="T107">
        <f>MAX(0,MIN(ROUND(AD106*(1+J$5),0)-J107,$AJ107-SUM($M107:S107)))</f>
        <v/>
      </c>
      <c r="U107">
        <f>MAX(0,MIN(ROUND(AE106*(1+K$5),0)-K107,$AJ107-SUM($M107:T107)))</f>
        <v/>
      </c>
      <c r="V107">
        <f>MAX(0,MIN(ROUND(AF106*(1+L$5),0)-L107,$AJ107-SUM($M107:U107)))</f>
        <v/>
      </c>
      <c r="W107">
        <f>MAX(0,ROUND(W106*(1+C$5),0)-C107-M107)</f>
        <v/>
      </c>
      <c r="X107">
        <f>MAX(0,ROUND(X106*(1+D$5),0)-D107-N107)</f>
        <v/>
      </c>
      <c r="Y107">
        <f>MAX(0,ROUND(Y106*(1+E$5),0)-E107-O107)</f>
        <v/>
      </c>
      <c r="Z107">
        <f>MAX(0,ROUND(Z106*(1+F$5),0)-F107-P107)</f>
        <v/>
      </c>
      <c r="AA107">
        <f>MAX(0,ROUND(AA106*(1+G$5),0)-G107-Q107)</f>
        <v/>
      </c>
      <c r="AB107">
        <f>MAX(0,ROUND(AB106*(1+H$5),0)-H107-R107)</f>
        <v/>
      </c>
      <c r="AC107">
        <f>MAX(0,ROUND(AC106*(1+I$5),0)-I107-S107)</f>
        <v/>
      </c>
      <c r="AD107">
        <f>MAX(0,ROUND(AD106*(1+J$5),0)-J107-T107)</f>
        <v/>
      </c>
      <c r="AE107">
        <f>MAX(0,ROUND(AE106*(1+K$5),0)-K107-U107)</f>
        <v/>
      </c>
      <c r="AF107">
        <f>MAX(0,ROUND(AF106*(1+L$5),0)-L107-V107)</f>
        <v/>
      </c>
      <c r="AG107">
        <f>AH107-(AI106-AI107)</f>
        <v/>
      </c>
      <c r="AH107">
        <f>SUM(C107:V107)</f>
        <v/>
      </c>
      <c r="AI107">
        <f>SUM(W107:AF107)</f>
        <v/>
      </c>
      <c r="AJ107">
        <f>0</f>
        <v/>
      </c>
      <c r="AK107">
        <f>IF(AI106&lt;=0,0,11-SUMPRODUCT(MAX((W106:AF106&gt;0)*(11-(COLUMN(W106:AF106)-COLUMN($V106))))))</f>
        <v/>
      </c>
    </row>
    <row r="108">
      <c r="A108" t="n">
        <v>98</v>
      </c>
      <c r="B108">
        <f>DATE(YEAR(InicioEf),MONTH(InicioEf)+A108-1,1)</f>
        <v/>
      </c>
      <c r="C108">
        <f>MIN(C$6,ROUND(W107*(1+C$5),0))</f>
        <v/>
      </c>
      <c r="D108">
        <f>MIN(D$6,ROUND(X107*(1+D$5),0))</f>
        <v/>
      </c>
      <c r="E108">
        <f>MIN(E$6,ROUND(Y107*(1+E$5),0))</f>
        <v/>
      </c>
      <c r="F108">
        <f>MIN(F$6,ROUND(Z107*(1+F$5),0))</f>
        <v/>
      </c>
      <c r="G108">
        <f>MIN(G$6,ROUND(AA107*(1+G$5),0))</f>
        <v/>
      </c>
      <c r="H108">
        <f>MIN(H$6,ROUND(AB107*(1+H$5),0))</f>
        <v/>
      </c>
      <c r="I108">
        <f>MIN(I$6,ROUND(AC107*(1+I$5),0))</f>
        <v/>
      </c>
      <c r="J108">
        <f>MIN(J$6,ROUND(AD107*(1+J$5),0))</f>
        <v/>
      </c>
      <c r="K108">
        <f>MIN(K$6,ROUND(AE107*(1+K$5),0))</f>
        <v/>
      </c>
      <c r="L108">
        <f>MIN(L$6,ROUND(AF107*(1+L$5),0))</f>
        <v/>
      </c>
      <c r="M108">
        <f>MAX(0,MIN(ROUND(W107*(1+C$5),0)-C108,$AJ108-0))</f>
        <v/>
      </c>
      <c r="N108">
        <f>MAX(0,MIN(ROUND(X107*(1+D$5),0)-D108,$AJ108-SUM($M108:M108)))</f>
        <v/>
      </c>
      <c r="O108">
        <f>MAX(0,MIN(ROUND(Y107*(1+E$5),0)-E108,$AJ108-SUM($M108:N108)))</f>
        <v/>
      </c>
      <c r="P108">
        <f>MAX(0,MIN(ROUND(Z107*(1+F$5),0)-F108,$AJ108-SUM($M108:O108)))</f>
        <v/>
      </c>
      <c r="Q108">
        <f>MAX(0,MIN(ROUND(AA107*(1+G$5),0)-G108,$AJ108-SUM($M108:P108)))</f>
        <v/>
      </c>
      <c r="R108">
        <f>MAX(0,MIN(ROUND(AB107*(1+H$5),0)-H108,$AJ108-SUM($M108:Q108)))</f>
        <v/>
      </c>
      <c r="S108">
        <f>MAX(0,MIN(ROUND(AC107*(1+I$5),0)-I108,$AJ108-SUM($M108:R108)))</f>
        <v/>
      </c>
      <c r="T108">
        <f>MAX(0,MIN(ROUND(AD107*(1+J$5),0)-J108,$AJ108-SUM($M108:S108)))</f>
        <v/>
      </c>
      <c r="U108">
        <f>MAX(0,MIN(ROUND(AE107*(1+K$5),0)-K108,$AJ108-SUM($M108:T108)))</f>
        <v/>
      </c>
      <c r="V108">
        <f>MAX(0,MIN(ROUND(AF107*(1+L$5),0)-L108,$AJ108-SUM($M108:U108)))</f>
        <v/>
      </c>
      <c r="W108">
        <f>MAX(0,ROUND(W107*(1+C$5),0)-C108-M108)</f>
        <v/>
      </c>
      <c r="X108">
        <f>MAX(0,ROUND(X107*(1+D$5),0)-D108-N108)</f>
        <v/>
      </c>
      <c r="Y108">
        <f>MAX(0,ROUND(Y107*(1+E$5),0)-E108-O108)</f>
        <v/>
      </c>
      <c r="Z108">
        <f>MAX(0,ROUND(Z107*(1+F$5),0)-F108-P108)</f>
        <v/>
      </c>
      <c r="AA108">
        <f>MAX(0,ROUND(AA107*(1+G$5),0)-G108-Q108)</f>
        <v/>
      </c>
      <c r="AB108">
        <f>MAX(0,ROUND(AB107*(1+H$5),0)-H108-R108)</f>
        <v/>
      </c>
      <c r="AC108">
        <f>MAX(0,ROUND(AC107*(1+I$5),0)-I108-S108)</f>
        <v/>
      </c>
      <c r="AD108">
        <f>MAX(0,ROUND(AD107*(1+J$5),0)-J108-T108)</f>
        <v/>
      </c>
      <c r="AE108">
        <f>MAX(0,ROUND(AE107*(1+K$5),0)-K108-U108)</f>
        <v/>
      </c>
      <c r="AF108">
        <f>MAX(0,ROUND(AF107*(1+L$5),0)-L108-V108)</f>
        <v/>
      </c>
      <c r="AG108">
        <f>AH108-(AI107-AI108)</f>
        <v/>
      </c>
      <c r="AH108">
        <f>SUM(C108:V108)</f>
        <v/>
      </c>
      <c r="AI108">
        <f>SUM(W108:AF108)</f>
        <v/>
      </c>
      <c r="AJ108">
        <f>0</f>
        <v/>
      </c>
      <c r="AK108">
        <f>IF(AI107&lt;=0,0,11-SUMPRODUCT(MAX((W107:AF107&gt;0)*(11-(COLUMN(W107:AF107)-COLUMN($V107))))))</f>
        <v/>
      </c>
    </row>
    <row r="109">
      <c r="A109" t="n">
        <v>99</v>
      </c>
      <c r="B109">
        <f>DATE(YEAR(InicioEf),MONTH(InicioEf)+A109-1,1)</f>
        <v/>
      </c>
      <c r="C109">
        <f>MIN(C$6,ROUND(W108*(1+C$5),0))</f>
        <v/>
      </c>
      <c r="D109">
        <f>MIN(D$6,ROUND(X108*(1+D$5),0))</f>
        <v/>
      </c>
      <c r="E109">
        <f>MIN(E$6,ROUND(Y108*(1+E$5),0))</f>
        <v/>
      </c>
      <c r="F109">
        <f>MIN(F$6,ROUND(Z108*(1+F$5),0))</f>
        <v/>
      </c>
      <c r="G109">
        <f>MIN(G$6,ROUND(AA108*(1+G$5),0))</f>
        <v/>
      </c>
      <c r="H109">
        <f>MIN(H$6,ROUND(AB108*(1+H$5),0))</f>
        <v/>
      </c>
      <c r="I109">
        <f>MIN(I$6,ROUND(AC108*(1+I$5),0))</f>
        <v/>
      </c>
      <c r="J109">
        <f>MIN(J$6,ROUND(AD108*(1+J$5),0))</f>
        <v/>
      </c>
      <c r="K109">
        <f>MIN(K$6,ROUND(AE108*(1+K$5),0))</f>
        <v/>
      </c>
      <c r="L109">
        <f>MIN(L$6,ROUND(AF108*(1+L$5),0))</f>
        <v/>
      </c>
      <c r="M109">
        <f>MAX(0,MIN(ROUND(W108*(1+C$5),0)-C109,$AJ109-0))</f>
        <v/>
      </c>
      <c r="N109">
        <f>MAX(0,MIN(ROUND(X108*(1+D$5),0)-D109,$AJ109-SUM($M109:M109)))</f>
        <v/>
      </c>
      <c r="O109">
        <f>MAX(0,MIN(ROUND(Y108*(1+E$5),0)-E109,$AJ109-SUM($M109:N109)))</f>
        <v/>
      </c>
      <c r="P109">
        <f>MAX(0,MIN(ROUND(Z108*(1+F$5),0)-F109,$AJ109-SUM($M109:O109)))</f>
        <v/>
      </c>
      <c r="Q109">
        <f>MAX(0,MIN(ROUND(AA108*(1+G$5),0)-G109,$AJ109-SUM($M109:P109)))</f>
        <v/>
      </c>
      <c r="R109">
        <f>MAX(0,MIN(ROUND(AB108*(1+H$5),0)-H109,$AJ109-SUM($M109:Q109)))</f>
        <v/>
      </c>
      <c r="S109">
        <f>MAX(0,MIN(ROUND(AC108*(1+I$5),0)-I109,$AJ109-SUM($M109:R109)))</f>
        <v/>
      </c>
      <c r="T109">
        <f>MAX(0,MIN(ROUND(AD108*(1+J$5),0)-J109,$AJ109-SUM($M109:S109)))</f>
        <v/>
      </c>
      <c r="U109">
        <f>MAX(0,MIN(ROUND(AE108*(1+K$5),0)-K109,$AJ109-SUM($M109:T109)))</f>
        <v/>
      </c>
      <c r="V109">
        <f>MAX(0,MIN(ROUND(AF108*(1+L$5),0)-L109,$AJ109-SUM($M109:U109)))</f>
        <v/>
      </c>
      <c r="W109">
        <f>MAX(0,ROUND(W108*(1+C$5),0)-C109-M109)</f>
        <v/>
      </c>
      <c r="X109">
        <f>MAX(0,ROUND(X108*(1+D$5),0)-D109-N109)</f>
        <v/>
      </c>
      <c r="Y109">
        <f>MAX(0,ROUND(Y108*(1+E$5),0)-E109-O109)</f>
        <v/>
      </c>
      <c r="Z109">
        <f>MAX(0,ROUND(Z108*(1+F$5),0)-F109-P109)</f>
        <v/>
      </c>
      <c r="AA109">
        <f>MAX(0,ROUND(AA108*(1+G$5),0)-G109-Q109)</f>
        <v/>
      </c>
      <c r="AB109">
        <f>MAX(0,ROUND(AB108*(1+H$5),0)-H109-R109)</f>
        <v/>
      </c>
      <c r="AC109">
        <f>MAX(0,ROUND(AC108*(1+I$5),0)-I109-S109)</f>
        <v/>
      </c>
      <c r="AD109">
        <f>MAX(0,ROUND(AD108*(1+J$5),0)-J109-T109)</f>
        <v/>
      </c>
      <c r="AE109">
        <f>MAX(0,ROUND(AE108*(1+K$5),0)-K109-U109)</f>
        <v/>
      </c>
      <c r="AF109">
        <f>MAX(0,ROUND(AF108*(1+L$5),0)-L109-V109)</f>
        <v/>
      </c>
      <c r="AG109">
        <f>AH109-(AI108-AI109)</f>
        <v/>
      </c>
      <c r="AH109">
        <f>SUM(C109:V109)</f>
        <v/>
      </c>
      <c r="AI109">
        <f>SUM(W109:AF109)</f>
        <v/>
      </c>
      <c r="AJ109">
        <f>0</f>
        <v/>
      </c>
      <c r="AK109">
        <f>IF(AI108&lt;=0,0,11-SUMPRODUCT(MAX((W108:AF108&gt;0)*(11-(COLUMN(W108:AF108)-COLUMN($V108))))))</f>
        <v/>
      </c>
    </row>
    <row r="110">
      <c r="A110" t="n">
        <v>100</v>
      </c>
      <c r="B110">
        <f>DATE(YEAR(InicioEf),MONTH(InicioEf)+A110-1,1)</f>
        <v/>
      </c>
      <c r="C110">
        <f>MIN(C$6,ROUND(W109*(1+C$5),0))</f>
        <v/>
      </c>
      <c r="D110">
        <f>MIN(D$6,ROUND(X109*(1+D$5),0))</f>
        <v/>
      </c>
      <c r="E110">
        <f>MIN(E$6,ROUND(Y109*(1+E$5),0))</f>
        <v/>
      </c>
      <c r="F110">
        <f>MIN(F$6,ROUND(Z109*(1+F$5),0))</f>
        <v/>
      </c>
      <c r="G110">
        <f>MIN(G$6,ROUND(AA109*(1+G$5),0))</f>
        <v/>
      </c>
      <c r="H110">
        <f>MIN(H$6,ROUND(AB109*(1+H$5),0))</f>
        <v/>
      </c>
      <c r="I110">
        <f>MIN(I$6,ROUND(AC109*(1+I$5),0))</f>
        <v/>
      </c>
      <c r="J110">
        <f>MIN(J$6,ROUND(AD109*(1+J$5),0))</f>
        <v/>
      </c>
      <c r="K110">
        <f>MIN(K$6,ROUND(AE109*(1+K$5),0))</f>
        <v/>
      </c>
      <c r="L110">
        <f>MIN(L$6,ROUND(AF109*(1+L$5),0))</f>
        <v/>
      </c>
      <c r="M110">
        <f>MAX(0,MIN(ROUND(W109*(1+C$5),0)-C110,$AJ110-0))</f>
        <v/>
      </c>
      <c r="N110">
        <f>MAX(0,MIN(ROUND(X109*(1+D$5),0)-D110,$AJ110-SUM($M110:M110)))</f>
        <v/>
      </c>
      <c r="O110">
        <f>MAX(0,MIN(ROUND(Y109*(1+E$5),0)-E110,$AJ110-SUM($M110:N110)))</f>
        <v/>
      </c>
      <c r="P110">
        <f>MAX(0,MIN(ROUND(Z109*(1+F$5),0)-F110,$AJ110-SUM($M110:O110)))</f>
        <v/>
      </c>
      <c r="Q110">
        <f>MAX(0,MIN(ROUND(AA109*(1+G$5),0)-G110,$AJ110-SUM($M110:P110)))</f>
        <v/>
      </c>
      <c r="R110">
        <f>MAX(0,MIN(ROUND(AB109*(1+H$5),0)-H110,$AJ110-SUM($M110:Q110)))</f>
        <v/>
      </c>
      <c r="S110">
        <f>MAX(0,MIN(ROUND(AC109*(1+I$5),0)-I110,$AJ110-SUM($M110:R110)))</f>
        <v/>
      </c>
      <c r="T110">
        <f>MAX(0,MIN(ROUND(AD109*(1+J$5),0)-J110,$AJ110-SUM($M110:S110)))</f>
        <v/>
      </c>
      <c r="U110">
        <f>MAX(0,MIN(ROUND(AE109*(1+K$5),0)-K110,$AJ110-SUM($M110:T110)))</f>
        <v/>
      </c>
      <c r="V110">
        <f>MAX(0,MIN(ROUND(AF109*(1+L$5),0)-L110,$AJ110-SUM($M110:U110)))</f>
        <v/>
      </c>
      <c r="W110">
        <f>MAX(0,ROUND(W109*(1+C$5),0)-C110-M110)</f>
        <v/>
      </c>
      <c r="X110">
        <f>MAX(0,ROUND(X109*(1+D$5),0)-D110-N110)</f>
        <v/>
      </c>
      <c r="Y110">
        <f>MAX(0,ROUND(Y109*(1+E$5),0)-E110-O110)</f>
        <v/>
      </c>
      <c r="Z110">
        <f>MAX(0,ROUND(Z109*(1+F$5),0)-F110-P110)</f>
        <v/>
      </c>
      <c r="AA110">
        <f>MAX(0,ROUND(AA109*(1+G$5),0)-G110-Q110)</f>
        <v/>
      </c>
      <c r="AB110">
        <f>MAX(0,ROUND(AB109*(1+H$5),0)-H110-R110)</f>
        <v/>
      </c>
      <c r="AC110">
        <f>MAX(0,ROUND(AC109*(1+I$5),0)-I110-S110)</f>
        <v/>
      </c>
      <c r="AD110">
        <f>MAX(0,ROUND(AD109*(1+J$5),0)-J110-T110)</f>
        <v/>
      </c>
      <c r="AE110">
        <f>MAX(0,ROUND(AE109*(1+K$5),0)-K110-U110)</f>
        <v/>
      </c>
      <c r="AF110">
        <f>MAX(0,ROUND(AF109*(1+L$5),0)-L110-V110)</f>
        <v/>
      </c>
      <c r="AG110">
        <f>AH110-(AI109-AI110)</f>
        <v/>
      </c>
      <c r="AH110">
        <f>SUM(C110:V110)</f>
        <v/>
      </c>
      <c r="AI110">
        <f>SUM(W110:AF110)</f>
        <v/>
      </c>
      <c r="AJ110">
        <f>0</f>
        <v/>
      </c>
      <c r="AK110">
        <f>IF(AI109&lt;=0,0,11-SUMPRODUCT(MAX((W109:AF109&gt;0)*(11-(COLUMN(W109:AF109)-COLUMN($V109))))))</f>
        <v/>
      </c>
    </row>
    <row r="111">
      <c r="A111" t="n">
        <v>101</v>
      </c>
      <c r="B111">
        <f>DATE(YEAR(InicioEf),MONTH(InicioEf)+A111-1,1)</f>
        <v/>
      </c>
      <c r="C111">
        <f>MIN(C$6,ROUND(W110*(1+C$5),0))</f>
        <v/>
      </c>
      <c r="D111">
        <f>MIN(D$6,ROUND(X110*(1+D$5),0))</f>
        <v/>
      </c>
      <c r="E111">
        <f>MIN(E$6,ROUND(Y110*(1+E$5),0))</f>
        <v/>
      </c>
      <c r="F111">
        <f>MIN(F$6,ROUND(Z110*(1+F$5),0))</f>
        <v/>
      </c>
      <c r="G111">
        <f>MIN(G$6,ROUND(AA110*(1+G$5),0))</f>
        <v/>
      </c>
      <c r="H111">
        <f>MIN(H$6,ROUND(AB110*(1+H$5),0))</f>
        <v/>
      </c>
      <c r="I111">
        <f>MIN(I$6,ROUND(AC110*(1+I$5),0))</f>
        <v/>
      </c>
      <c r="J111">
        <f>MIN(J$6,ROUND(AD110*(1+J$5),0))</f>
        <v/>
      </c>
      <c r="K111">
        <f>MIN(K$6,ROUND(AE110*(1+K$5),0))</f>
        <v/>
      </c>
      <c r="L111">
        <f>MIN(L$6,ROUND(AF110*(1+L$5),0))</f>
        <v/>
      </c>
      <c r="M111">
        <f>MAX(0,MIN(ROUND(W110*(1+C$5),0)-C111,$AJ111-0))</f>
        <v/>
      </c>
      <c r="N111">
        <f>MAX(0,MIN(ROUND(X110*(1+D$5),0)-D111,$AJ111-SUM($M111:M111)))</f>
        <v/>
      </c>
      <c r="O111">
        <f>MAX(0,MIN(ROUND(Y110*(1+E$5),0)-E111,$AJ111-SUM($M111:N111)))</f>
        <v/>
      </c>
      <c r="P111">
        <f>MAX(0,MIN(ROUND(Z110*(1+F$5),0)-F111,$AJ111-SUM($M111:O111)))</f>
        <v/>
      </c>
      <c r="Q111">
        <f>MAX(0,MIN(ROUND(AA110*(1+G$5),0)-G111,$AJ111-SUM($M111:P111)))</f>
        <v/>
      </c>
      <c r="R111">
        <f>MAX(0,MIN(ROUND(AB110*(1+H$5),0)-H111,$AJ111-SUM($M111:Q111)))</f>
        <v/>
      </c>
      <c r="S111">
        <f>MAX(0,MIN(ROUND(AC110*(1+I$5),0)-I111,$AJ111-SUM($M111:R111)))</f>
        <v/>
      </c>
      <c r="T111">
        <f>MAX(0,MIN(ROUND(AD110*(1+J$5),0)-J111,$AJ111-SUM($M111:S111)))</f>
        <v/>
      </c>
      <c r="U111">
        <f>MAX(0,MIN(ROUND(AE110*(1+K$5),0)-K111,$AJ111-SUM($M111:T111)))</f>
        <v/>
      </c>
      <c r="V111">
        <f>MAX(0,MIN(ROUND(AF110*(1+L$5),0)-L111,$AJ111-SUM($M111:U111)))</f>
        <v/>
      </c>
      <c r="W111">
        <f>MAX(0,ROUND(W110*(1+C$5),0)-C111-M111)</f>
        <v/>
      </c>
      <c r="X111">
        <f>MAX(0,ROUND(X110*(1+D$5),0)-D111-N111)</f>
        <v/>
      </c>
      <c r="Y111">
        <f>MAX(0,ROUND(Y110*(1+E$5),0)-E111-O111)</f>
        <v/>
      </c>
      <c r="Z111">
        <f>MAX(0,ROUND(Z110*(1+F$5),0)-F111-P111)</f>
        <v/>
      </c>
      <c r="AA111">
        <f>MAX(0,ROUND(AA110*(1+G$5),0)-G111-Q111)</f>
        <v/>
      </c>
      <c r="AB111">
        <f>MAX(0,ROUND(AB110*(1+H$5),0)-H111-R111)</f>
        <v/>
      </c>
      <c r="AC111">
        <f>MAX(0,ROUND(AC110*(1+I$5),0)-I111-S111)</f>
        <v/>
      </c>
      <c r="AD111">
        <f>MAX(0,ROUND(AD110*(1+J$5),0)-J111-T111)</f>
        <v/>
      </c>
      <c r="AE111">
        <f>MAX(0,ROUND(AE110*(1+K$5),0)-K111-U111)</f>
        <v/>
      </c>
      <c r="AF111">
        <f>MAX(0,ROUND(AF110*(1+L$5),0)-L111-V111)</f>
        <v/>
      </c>
      <c r="AG111">
        <f>AH111-(AI110-AI111)</f>
        <v/>
      </c>
      <c r="AH111">
        <f>SUM(C111:V111)</f>
        <v/>
      </c>
      <c r="AI111">
        <f>SUM(W111:AF111)</f>
        <v/>
      </c>
      <c r="AJ111">
        <f>0</f>
        <v/>
      </c>
      <c r="AK111">
        <f>IF(AI110&lt;=0,0,11-SUMPRODUCT(MAX((W110:AF110&gt;0)*(11-(COLUMN(W110:AF110)-COLUMN($V110))))))</f>
        <v/>
      </c>
    </row>
    <row r="112">
      <c r="A112" t="n">
        <v>102</v>
      </c>
      <c r="B112">
        <f>DATE(YEAR(InicioEf),MONTH(InicioEf)+A112-1,1)</f>
        <v/>
      </c>
      <c r="C112">
        <f>MIN(C$6,ROUND(W111*(1+C$5),0))</f>
        <v/>
      </c>
      <c r="D112">
        <f>MIN(D$6,ROUND(X111*(1+D$5),0))</f>
        <v/>
      </c>
      <c r="E112">
        <f>MIN(E$6,ROUND(Y111*(1+E$5),0))</f>
        <v/>
      </c>
      <c r="F112">
        <f>MIN(F$6,ROUND(Z111*(1+F$5),0))</f>
        <v/>
      </c>
      <c r="G112">
        <f>MIN(G$6,ROUND(AA111*(1+G$5),0))</f>
        <v/>
      </c>
      <c r="H112">
        <f>MIN(H$6,ROUND(AB111*(1+H$5),0))</f>
        <v/>
      </c>
      <c r="I112">
        <f>MIN(I$6,ROUND(AC111*(1+I$5),0))</f>
        <v/>
      </c>
      <c r="J112">
        <f>MIN(J$6,ROUND(AD111*(1+J$5),0))</f>
        <v/>
      </c>
      <c r="K112">
        <f>MIN(K$6,ROUND(AE111*(1+K$5),0))</f>
        <v/>
      </c>
      <c r="L112">
        <f>MIN(L$6,ROUND(AF111*(1+L$5),0))</f>
        <v/>
      </c>
      <c r="M112">
        <f>MAX(0,MIN(ROUND(W111*(1+C$5),0)-C112,$AJ112-0))</f>
        <v/>
      </c>
      <c r="N112">
        <f>MAX(0,MIN(ROUND(X111*(1+D$5),0)-D112,$AJ112-SUM($M112:M112)))</f>
        <v/>
      </c>
      <c r="O112">
        <f>MAX(0,MIN(ROUND(Y111*(1+E$5),0)-E112,$AJ112-SUM($M112:N112)))</f>
        <v/>
      </c>
      <c r="P112">
        <f>MAX(0,MIN(ROUND(Z111*(1+F$5),0)-F112,$AJ112-SUM($M112:O112)))</f>
        <v/>
      </c>
      <c r="Q112">
        <f>MAX(0,MIN(ROUND(AA111*(1+G$5),0)-G112,$AJ112-SUM($M112:P112)))</f>
        <v/>
      </c>
      <c r="R112">
        <f>MAX(0,MIN(ROUND(AB111*(1+H$5),0)-H112,$AJ112-SUM($M112:Q112)))</f>
        <v/>
      </c>
      <c r="S112">
        <f>MAX(0,MIN(ROUND(AC111*(1+I$5),0)-I112,$AJ112-SUM($M112:R112)))</f>
        <v/>
      </c>
      <c r="T112">
        <f>MAX(0,MIN(ROUND(AD111*(1+J$5),0)-J112,$AJ112-SUM($M112:S112)))</f>
        <v/>
      </c>
      <c r="U112">
        <f>MAX(0,MIN(ROUND(AE111*(1+K$5),0)-K112,$AJ112-SUM($M112:T112)))</f>
        <v/>
      </c>
      <c r="V112">
        <f>MAX(0,MIN(ROUND(AF111*(1+L$5),0)-L112,$AJ112-SUM($M112:U112)))</f>
        <v/>
      </c>
      <c r="W112">
        <f>MAX(0,ROUND(W111*(1+C$5),0)-C112-M112)</f>
        <v/>
      </c>
      <c r="X112">
        <f>MAX(0,ROUND(X111*(1+D$5),0)-D112-N112)</f>
        <v/>
      </c>
      <c r="Y112">
        <f>MAX(0,ROUND(Y111*(1+E$5),0)-E112-O112)</f>
        <v/>
      </c>
      <c r="Z112">
        <f>MAX(0,ROUND(Z111*(1+F$5),0)-F112-P112)</f>
        <v/>
      </c>
      <c r="AA112">
        <f>MAX(0,ROUND(AA111*(1+G$5),0)-G112-Q112)</f>
        <v/>
      </c>
      <c r="AB112">
        <f>MAX(0,ROUND(AB111*(1+H$5),0)-H112-R112)</f>
        <v/>
      </c>
      <c r="AC112">
        <f>MAX(0,ROUND(AC111*(1+I$5),0)-I112-S112)</f>
        <v/>
      </c>
      <c r="AD112">
        <f>MAX(0,ROUND(AD111*(1+J$5),0)-J112-T112)</f>
        <v/>
      </c>
      <c r="AE112">
        <f>MAX(0,ROUND(AE111*(1+K$5),0)-K112-U112)</f>
        <v/>
      </c>
      <c r="AF112">
        <f>MAX(0,ROUND(AF111*(1+L$5),0)-L112-V112)</f>
        <v/>
      </c>
      <c r="AG112">
        <f>AH112-(AI111-AI112)</f>
        <v/>
      </c>
      <c r="AH112">
        <f>SUM(C112:V112)</f>
        <v/>
      </c>
      <c r="AI112">
        <f>SUM(W112:AF112)</f>
        <v/>
      </c>
      <c r="AJ112">
        <f>0</f>
        <v/>
      </c>
      <c r="AK112">
        <f>IF(AI111&lt;=0,0,11-SUMPRODUCT(MAX((W111:AF111&gt;0)*(11-(COLUMN(W111:AF111)-COLUMN($V111))))))</f>
        <v/>
      </c>
    </row>
    <row r="113">
      <c r="A113" t="n">
        <v>103</v>
      </c>
      <c r="B113">
        <f>DATE(YEAR(InicioEf),MONTH(InicioEf)+A113-1,1)</f>
        <v/>
      </c>
      <c r="C113">
        <f>MIN(C$6,ROUND(W112*(1+C$5),0))</f>
        <v/>
      </c>
      <c r="D113">
        <f>MIN(D$6,ROUND(X112*(1+D$5),0))</f>
        <v/>
      </c>
      <c r="E113">
        <f>MIN(E$6,ROUND(Y112*(1+E$5),0))</f>
        <v/>
      </c>
      <c r="F113">
        <f>MIN(F$6,ROUND(Z112*(1+F$5),0))</f>
        <v/>
      </c>
      <c r="G113">
        <f>MIN(G$6,ROUND(AA112*(1+G$5),0))</f>
        <v/>
      </c>
      <c r="H113">
        <f>MIN(H$6,ROUND(AB112*(1+H$5),0))</f>
        <v/>
      </c>
      <c r="I113">
        <f>MIN(I$6,ROUND(AC112*(1+I$5),0))</f>
        <v/>
      </c>
      <c r="J113">
        <f>MIN(J$6,ROUND(AD112*(1+J$5),0))</f>
        <v/>
      </c>
      <c r="K113">
        <f>MIN(K$6,ROUND(AE112*(1+K$5),0))</f>
        <v/>
      </c>
      <c r="L113">
        <f>MIN(L$6,ROUND(AF112*(1+L$5),0))</f>
        <v/>
      </c>
      <c r="M113">
        <f>MAX(0,MIN(ROUND(W112*(1+C$5),0)-C113,$AJ113-0))</f>
        <v/>
      </c>
      <c r="N113">
        <f>MAX(0,MIN(ROUND(X112*(1+D$5),0)-D113,$AJ113-SUM($M113:M113)))</f>
        <v/>
      </c>
      <c r="O113">
        <f>MAX(0,MIN(ROUND(Y112*(1+E$5),0)-E113,$AJ113-SUM($M113:N113)))</f>
        <v/>
      </c>
      <c r="P113">
        <f>MAX(0,MIN(ROUND(Z112*(1+F$5),0)-F113,$AJ113-SUM($M113:O113)))</f>
        <v/>
      </c>
      <c r="Q113">
        <f>MAX(0,MIN(ROUND(AA112*(1+G$5),0)-G113,$AJ113-SUM($M113:P113)))</f>
        <v/>
      </c>
      <c r="R113">
        <f>MAX(0,MIN(ROUND(AB112*(1+H$5),0)-H113,$AJ113-SUM($M113:Q113)))</f>
        <v/>
      </c>
      <c r="S113">
        <f>MAX(0,MIN(ROUND(AC112*(1+I$5),0)-I113,$AJ113-SUM($M113:R113)))</f>
        <v/>
      </c>
      <c r="T113">
        <f>MAX(0,MIN(ROUND(AD112*(1+J$5),0)-J113,$AJ113-SUM($M113:S113)))</f>
        <v/>
      </c>
      <c r="U113">
        <f>MAX(0,MIN(ROUND(AE112*(1+K$5),0)-K113,$AJ113-SUM($M113:T113)))</f>
        <v/>
      </c>
      <c r="V113">
        <f>MAX(0,MIN(ROUND(AF112*(1+L$5),0)-L113,$AJ113-SUM($M113:U113)))</f>
        <v/>
      </c>
      <c r="W113">
        <f>MAX(0,ROUND(W112*(1+C$5),0)-C113-M113)</f>
        <v/>
      </c>
      <c r="X113">
        <f>MAX(0,ROUND(X112*(1+D$5),0)-D113-N113)</f>
        <v/>
      </c>
      <c r="Y113">
        <f>MAX(0,ROUND(Y112*(1+E$5),0)-E113-O113)</f>
        <v/>
      </c>
      <c r="Z113">
        <f>MAX(0,ROUND(Z112*(1+F$5),0)-F113-P113)</f>
        <v/>
      </c>
      <c r="AA113">
        <f>MAX(0,ROUND(AA112*(1+G$5),0)-G113-Q113)</f>
        <v/>
      </c>
      <c r="AB113">
        <f>MAX(0,ROUND(AB112*(1+H$5),0)-H113-R113)</f>
        <v/>
      </c>
      <c r="AC113">
        <f>MAX(0,ROUND(AC112*(1+I$5),0)-I113-S113)</f>
        <v/>
      </c>
      <c r="AD113">
        <f>MAX(0,ROUND(AD112*(1+J$5),0)-J113-T113)</f>
        <v/>
      </c>
      <c r="AE113">
        <f>MAX(0,ROUND(AE112*(1+K$5),0)-K113-U113)</f>
        <v/>
      </c>
      <c r="AF113">
        <f>MAX(0,ROUND(AF112*(1+L$5),0)-L113-V113)</f>
        <v/>
      </c>
      <c r="AG113">
        <f>AH113-(AI112-AI113)</f>
        <v/>
      </c>
      <c r="AH113">
        <f>SUM(C113:V113)</f>
        <v/>
      </c>
      <c r="AI113">
        <f>SUM(W113:AF113)</f>
        <v/>
      </c>
      <c r="AJ113">
        <f>0</f>
        <v/>
      </c>
      <c r="AK113">
        <f>IF(AI112&lt;=0,0,11-SUMPRODUCT(MAX((W112:AF112&gt;0)*(11-(COLUMN(W112:AF112)-COLUMN($V112))))))</f>
        <v/>
      </c>
    </row>
    <row r="114">
      <c r="A114" t="n">
        <v>104</v>
      </c>
      <c r="B114">
        <f>DATE(YEAR(InicioEf),MONTH(InicioEf)+A114-1,1)</f>
        <v/>
      </c>
      <c r="C114">
        <f>MIN(C$6,ROUND(W113*(1+C$5),0))</f>
        <v/>
      </c>
      <c r="D114">
        <f>MIN(D$6,ROUND(X113*(1+D$5),0))</f>
        <v/>
      </c>
      <c r="E114">
        <f>MIN(E$6,ROUND(Y113*(1+E$5),0))</f>
        <v/>
      </c>
      <c r="F114">
        <f>MIN(F$6,ROUND(Z113*(1+F$5),0))</f>
        <v/>
      </c>
      <c r="G114">
        <f>MIN(G$6,ROUND(AA113*(1+G$5),0))</f>
        <v/>
      </c>
      <c r="H114">
        <f>MIN(H$6,ROUND(AB113*(1+H$5),0))</f>
        <v/>
      </c>
      <c r="I114">
        <f>MIN(I$6,ROUND(AC113*(1+I$5),0))</f>
        <v/>
      </c>
      <c r="J114">
        <f>MIN(J$6,ROUND(AD113*(1+J$5),0))</f>
        <v/>
      </c>
      <c r="K114">
        <f>MIN(K$6,ROUND(AE113*(1+K$5),0))</f>
        <v/>
      </c>
      <c r="L114">
        <f>MIN(L$6,ROUND(AF113*(1+L$5),0))</f>
        <v/>
      </c>
      <c r="M114">
        <f>MAX(0,MIN(ROUND(W113*(1+C$5),0)-C114,$AJ114-0))</f>
        <v/>
      </c>
      <c r="N114">
        <f>MAX(0,MIN(ROUND(X113*(1+D$5),0)-D114,$AJ114-SUM($M114:M114)))</f>
        <v/>
      </c>
      <c r="O114">
        <f>MAX(0,MIN(ROUND(Y113*(1+E$5),0)-E114,$AJ114-SUM($M114:N114)))</f>
        <v/>
      </c>
      <c r="P114">
        <f>MAX(0,MIN(ROUND(Z113*(1+F$5),0)-F114,$AJ114-SUM($M114:O114)))</f>
        <v/>
      </c>
      <c r="Q114">
        <f>MAX(0,MIN(ROUND(AA113*(1+G$5),0)-G114,$AJ114-SUM($M114:P114)))</f>
        <v/>
      </c>
      <c r="R114">
        <f>MAX(0,MIN(ROUND(AB113*(1+H$5),0)-H114,$AJ114-SUM($M114:Q114)))</f>
        <v/>
      </c>
      <c r="S114">
        <f>MAX(0,MIN(ROUND(AC113*(1+I$5),0)-I114,$AJ114-SUM($M114:R114)))</f>
        <v/>
      </c>
      <c r="T114">
        <f>MAX(0,MIN(ROUND(AD113*(1+J$5),0)-J114,$AJ114-SUM($M114:S114)))</f>
        <v/>
      </c>
      <c r="U114">
        <f>MAX(0,MIN(ROUND(AE113*(1+K$5),0)-K114,$AJ114-SUM($M114:T114)))</f>
        <v/>
      </c>
      <c r="V114">
        <f>MAX(0,MIN(ROUND(AF113*(1+L$5),0)-L114,$AJ114-SUM($M114:U114)))</f>
        <v/>
      </c>
      <c r="W114">
        <f>MAX(0,ROUND(W113*(1+C$5),0)-C114-M114)</f>
        <v/>
      </c>
      <c r="X114">
        <f>MAX(0,ROUND(X113*(1+D$5),0)-D114-N114)</f>
        <v/>
      </c>
      <c r="Y114">
        <f>MAX(0,ROUND(Y113*(1+E$5),0)-E114-O114)</f>
        <v/>
      </c>
      <c r="Z114">
        <f>MAX(0,ROUND(Z113*(1+F$5),0)-F114-P114)</f>
        <v/>
      </c>
      <c r="AA114">
        <f>MAX(0,ROUND(AA113*(1+G$5),0)-G114-Q114)</f>
        <v/>
      </c>
      <c r="AB114">
        <f>MAX(0,ROUND(AB113*(1+H$5),0)-H114-R114)</f>
        <v/>
      </c>
      <c r="AC114">
        <f>MAX(0,ROUND(AC113*(1+I$5),0)-I114-S114)</f>
        <v/>
      </c>
      <c r="AD114">
        <f>MAX(0,ROUND(AD113*(1+J$5),0)-J114-T114)</f>
        <v/>
      </c>
      <c r="AE114">
        <f>MAX(0,ROUND(AE113*(1+K$5),0)-K114-U114)</f>
        <v/>
      </c>
      <c r="AF114">
        <f>MAX(0,ROUND(AF113*(1+L$5),0)-L114-V114)</f>
        <v/>
      </c>
      <c r="AG114">
        <f>AH114-(AI113-AI114)</f>
        <v/>
      </c>
      <c r="AH114">
        <f>SUM(C114:V114)</f>
        <v/>
      </c>
      <c r="AI114">
        <f>SUM(W114:AF114)</f>
        <v/>
      </c>
      <c r="AJ114">
        <f>0</f>
        <v/>
      </c>
      <c r="AK114">
        <f>IF(AI113&lt;=0,0,11-SUMPRODUCT(MAX((W113:AF113&gt;0)*(11-(COLUMN(W113:AF113)-COLUMN($V113))))))</f>
        <v/>
      </c>
    </row>
    <row r="115">
      <c r="A115" t="n">
        <v>105</v>
      </c>
      <c r="B115">
        <f>DATE(YEAR(InicioEf),MONTH(InicioEf)+A115-1,1)</f>
        <v/>
      </c>
      <c r="C115">
        <f>MIN(C$6,ROUND(W114*(1+C$5),0))</f>
        <v/>
      </c>
      <c r="D115">
        <f>MIN(D$6,ROUND(X114*(1+D$5),0))</f>
        <v/>
      </c>
      <c r="E115">
        <f>MIN(E$6,ROUND(Y114*(1+E$5),0))</f>
        <v/>
      </c>
      <c r="F115">
        <f>MIN(F$6,ROUND(Z114*(1+F$5),0))</f>
        <v/>
      </c>
      <c r="G115">
        <f>MIN(G$6,ROUND(AA114*(1+G$5),0))</f>
        <v/>
      </c>
      <c r="H115">
        <f>MIN(H$6,ROUND(AB114*(1+H$5),0))</f>
        <v/>
      </c>
      <c r="I115">
        <f>MIN(I$6,ROUND(AC114*(1+I$5),0))</f>
        <v/>
      </c>
      <c r="J115">
        <f>MIN(J$6,ROUND(AD114*(1+J$5),0))</f>
        <v/>
      </c>
      <c r="K115">
        <f>MIN(K$6,ROUND(AE114*(1+K$5),0))</f>
        <v/>
      </c>
      <c r="L115">
        <f>MIN(L$6,ROUND(AF114*(1+L$5),0))</f>
        <v/>
      </c>
      <c r="M115">
        <f>MAX(0,MIN(ROUND(W114*(1+C$5),0)-C115,$AJ115-0))</f>
        <v/>
      </c>
      <c r="N115">
        <f>MAX(0,MIN(ROUND(X114*(1+D$5),0)-D115,$AJ115-SUM($M115:M115)))</f>
        <v/>
      </c>
      <c r="O115">
        <f>MAX(0,MIN(ROUND(Y114*(1+E$5),0)-E115,$AJ115-SUM($M115:N115)))</f>
        <v/>
      </c>
      <c r="P115">
        <f>MAX(0,MIN(ROUND(Z114*(1+F$5),0)-F115,$AJ115-SUM($M115:O115)))</f>
        <v/>
      </c>
      <c r="Q115">
        <f>MAX(0,MIN(ROUND(AA114*(1+G$5),0)-G115,$AJ115-SUM($M115:P115)))</f>
        <v/>
      </c>
      <c r="R115">
        <f>MAX(0,MIN(ROUND(AB114*(1+H$5),0)-H115,$AJ115-SUM($M115:Q115)))</f>
        <v/>
      </c>
      <c r="S115">
        <f>MAX(0,MIN(ROUND(AC114*(1+I$5),0)-I115,$AJ115-SUM($M115:R115)))</f>
        <v/>
      </c>
      <c r="T115">
        <f>MAX(0,MIN(ROUND(AD114*(1+J$5),0)-J115,$AJ115-SUM($M115:S115)))</f>
        <v/>
      </c>
      <c r="U115">
        <f>MAX(0,MIN(ROUND(AE114*(1+K$5),0)-K115,$AJ115-SUM($M115:T115)))</f>
        <v/>
      </c>
      <c r="V115">
        <f>MAX(0,MIN(ROUND(AF114*(1+L$5),0)-L115,$AJ115-SUM($M115:U115)))</f>
        <v/>
      </c>
      <c r="W115">
        <f>MAX(0,ROUND(W114*(1+C$5),0)-C115-M115)</f>
        <v/>
      </c>
      <c r="X115">
        <f>MAX(0,ROUND(X114*(1+D$5),0)-D115-N115)</f>
        <v/>
      </c>
      <c r="Y115">
        <f>MAX(0,ROUND(Y114*(1+E$5),0)-E115-O115)</f>
        <v/>
      </c>
      <c r="Z115">
        <f>MAX(0,ROUND(Z114*(1+F$5),0)-F115-P115)</f>
        <v/>
      </c>
      <c r="AA115">
        <f>MAX(0,ROUND(AA114*(1+G$5),0)-G115-Q115)</f>
        <v/>
      </c>
      <c r="AB115">
        <f>MAX(0,ROUND(AB114*(1+H$5),0)-H115-R115)</f>
        <v/>
      </c>
      <c r="AC115">
        <f>MAX(0,ROUND(AC114*(1+I$5),0)-I115-S115)</f>
        <v/>
      </c>
      <c r="AD115">
        <f>MAX(0,ROUND(AD114*(1+J$5),0)-J115-T115)</f>
        <v/>
      </c>
      <c r="AE115">
        <f>MAX(0,ROUND(AE114*(1+K$5),0)-K115-U115)</f>
        <v/>
      </c>
      <c r="AF115">
        <f>MAX(0,ROUND(AF114*(1+L$5),0)-L115-V115)</f>
        <v/>
      </c>
      <c r="AG115">
        <f>AH115-(AI114-AI115)</f>
        <v/>
      </c>
      <c r="AH115">
        <f>SUM(C115:V115)</f>
        <v/>
      </c>
      <c r="AI115">
        <f>SUM(W115:AF115)</f>
        <v/>
      </c>
      <c r="AJ115">
        <f>0</f>
        <v/>
      </c>
      <c r="AK115">
        <f>IF(AI114&lt;=0,0,11-SUMPRODUCT(MAX((W114:AF114&gt;0)*(11-(COLUMN(W114:AF114)-COLUMN($V114))))))</f>
        <v/>
      </c>
    </row>
    <row r="116">
      <c r="A116" t="n">
        <v>106</v>
      </c>
      <c r="B116">
        <f>DATE(YEAR(InicioEf),MONTH(InicioEf)+A116-1,1)</f>
        <v/>
      </c>
      <c r="C116">
        <f>MIN(C$6,ROUND(W115*(1+C$5),0))</f>
        <v/>
      </c>
      <c r="D116">
        <f>MIN(D$6,ROUND(X115*(1+D$5),0))</f>
        <v/>
      </c>
      <c r="E116">
        <f>MIN(E$6,ROUND(Y115*(1+E$5),0))</f>
        <v/>
      </c>
      <c r="F116">
        <f>MIN(F$6,ROUND(Z115*(1+F$5),0))</f>
        <v/>
      </c>
      <c r="G116">
        <f>MIN(G$6,ROUND(AA115*(1+G$5),0))</f>
        <v/>
      </c>
      <c r="H116">
        <f>MIN(H$6,ROUND(AB115*(1+H$5),0))</f>
        <v/>
      </c>
      <c r="I116">
        <f>MIN(I$6,ROUND(AC115*(1+I$5),0))</f>
        <v/>
      </c>
      <c r="J116">
        <f>MIN(J$6,ROUND(AD115*(1+J$5),0))</f>
        <v/>
      </c>
      <c r="K116">
        <f>MIN(K$6,ROUND(AE115*(1+K$5),0))</f>
        <v/>
      </c>
      <c r="L116">
        <f>MIN(L$6,ROUND(AF115*(1+L$5),0))</f>
        <v/>
      </c>
      <c r="M116">
        <f>MAX(0,MIN(ROUND(W115*(1+C$5),0)-C116,$AJ116-0))</f>
        <v/>
      </c>
      <c r="N116">
        <f>MAX(0,MIN(ROUND(X115*(1+D$5),0)-D116,$AJ116-SUM($M116:M116)))</f>
        <v/>
      </c>
      <c r="O116">
        <f>MAX(0,MIN(ROUND(Y115*(1+E$5),0)-E116,$AJ116-SUM($M116:N116)))</f>
        <v/>
      </c>
      <c r="P116">
        <f>MAX(0,MIN(ROUND(Z115*(1+F$5),0)-F116,$AJ116-SUM($M116:O116)))</f>
        <v/>
      </c>
      <c r="Q116">
        <f>MAX(0,MIN(ROUND(AA115*(1+G$5),0)-G116,$AJ116-SUM($M116:P116)))</f>
        <v/>
      </c>
      <c r="R116">
        <f>MAX(0,MIN(ROUND(AB115*(1+H$5),0)-H116,$AJ116-SUM($M116:Q116)))</f>
        <v/>
      </c>
      <c r="S116">
        <f>MAX(0,MIN(ROUND(AC115*(1+I$5),0)-I116,$AJ116-SUM($M116:R116)))</f>
        <v/>
      </c>
      <c r="T116">
        <f>MAX(0,MIN(ROUND(AD115*(1+J$5),0)-J116,$AJ116-SUM($M116:S116)))</f>
        <v/>
      </c>
      <c r="U116">
        <f>MAX(0,MIN(ROUND(AE115*(1+K$5),0)-K116,$AJ116-SUM($M116:T116)))</f>
        <v/>
      </c>
      <c r="V116">
        <f>MAX(0,MIN(ROUND(AF115*(1+L$5),0)-L116,$AJ116-SUM($M116:U116)))</f>
        <v/>
      </c>
      <c r="W116">
        <f>MAX(0,ROUND(W115*(1+C$5),0)-C116-M116)</f>
        <v/>
      </c>
      <c r="X116">
        <f>MAX(0,ROUND(X115*(1+D$5),0)-D116-N116)</f>
        <v/>
      </c>
      <c r="Y116">
        <f>MAX(0,ROUND(Y115*(1+E$5),0)-E116-O116)</f>
        <v/>
      </c>
      <c r="Z116">
        <f>MAX(0,ROUND(Z115*(1+F$5),0)-F116-P116)</f>
        <v/>
      </c>
      <c r="AA116">
        <f>MAX(0,ROUND(AA115*(1+G$5),0)-G116-Q116)</f>
        <v/>
      </c>
      <c r="AB116">
        <f>MAX(0,ROUND(AB115*(1+H$5),0)-H116-R116)</f>
        <v/>
      </c>
      <c r="AC116">
        <f>MAX(0,ROUND(AC115*(1+I$5),0)-I116-S116)</f>
        <v/>
      </c>
      <c r="AD116">
        <f>MAX(0,ROUND(AD115*(1+J$5),0)-J116-T116)</f>
        <v/>
      </c>
      <c r="AE116">
        <f>MAX(0,ROUND(AE115*(1+K$5),0)-K116-U116)</f>
        <v/>
      </c>
      <c r="AF116">
        <f>MAX(0,ROUND(AF115*(1+L$5),0)-L116-V116)</f>
        <v/>
      </c>
      <c r="AG116">
        <f>AH116-(AI115-AI116)</f>
        <v/>
      </c>
      <c r="AH116">
        <f>SUM(C116:V116)</f>
        <v/>
      </c>
      <c r="AI116">
        <f>SUM(W116:AF116)</f>
        <v/>
      </c>
      <c r="AJ116">
        <f>0</f>
        <v/>
      </c>
      <c r="AK116">
        <f>IF(AI115&lt;=0,0,11-SUMPRODUCT(MAX((W115:AF115&gt;0)*(11-(COLUMN(W115:AF115)-COLUMN($V115))))))</f>
        <v/>
      </c>
    </row>
    <row r="117">
      <c r="A117" t="n">
        <v>107</v>
      </c>
      <c r="B117">
        <f>DATE(YEAR(InicioEf),MONTH(InicioEf)+A117-1,1)</f>
        <v/>
      </c>
      <c r="C117">
        <f>MIN(C$6,ROUND(W116*(1+C$5),0))</f>
        <v/>
      </c>
      <c r="D117">
        <f>MIN(D$6,ROUND(X116*(1+D$5),0))</f>
        <v/>
      </c>
      <c r="E117">
        <f>MIN(E$6,ROUND(Y116*(1+E$5),0))</f>
        <v/>
      </c>
      <c r="F117">
        <f>MIN(F$6,ROUND(Z116*(1+F$5),0))</f>
        <v/>
      </c>
      <c r="G117">
        <f>MIN(G$6,ROUND(AA116*(1+G$5),0))</f>
        <v/>
      </c>
      <c r="H117">
        <f>MIN(H$6,ROUND(AB116*(1+H$5),0))</f>
        <v/>
      </c>
      <c r="I117">
        <f>MIN(I$6,ROUND(AC116*(1+I$5),0))</f>
        <v/>
      </c>
      <c r="J117">
        <f>MIN(J$6,ROUND(AD116*(1+J$5),0))</f>
        <v/>
      </c>
      <c r="K117">
        <f>MIN(K$6,ROUND(AE116*(1+K$5),0))</f>
        <v/>
      </c>
      <c r="L117">
        <f>MIN(L$6,ROUND(AF116*(1+L$5),0))</f>
        <v/>
      </c>
      <c r="M117">
        <f>MAX(0,MIN(ROUND(W116*(1+C$5),0)-C117,$AJ117-0))</f>
        <v/>
      </c>
      <c r="N117">
        <f>MAX(0,MIN(ROUND(X116*(1+D$5),0)-D117,$AJ117-SUM($M117:M117)))</f>
        <v/>
      </c>
      <c r="O117">
        <f>MAX(0,MIN(ROUND(Y116*(1+E$5),0)-E117,$AJ117-SUM($M117:N117)))</f>
        <v/>
      </c>
      <c r="P117">
        <f>MAX(0,MIN(ROUND(Z116*(1+F$5),0)-F117,$AJ117-SUM($M117:O117)))</f>
        <v/>
      </c>
      <c r="Q117">
        <f>MAX(0,MIN(ROUND(AA116*(1+G$5),0)-G117,$AJ117-SUM($M117:P117)))</f>
        <v/>
      </c>
      <c r="R117">
        <f>MAX(0,MIN(ROUND(AB116*(1+H$5),0)-H117,$AJ117-SUM($M117:Q117)))</f>
        <v/>
      </c>
      <c r="S117">
        <f>MAX(0,MIN(ROUND(AC116*(1+I$5),0)-I117,$AJ117-SUM($M117:R117)))</f>
        <v/>
      </c>
      <c r="T117">
        <f>MAX(0,MIN(ROUND(AD116*(1+J$5),0)-J117,$AJ117-SUM($M117:S117)))</f>
        <v/>
      </c>
      <c r="U117">
        <f>MAX(0,MIN(ROUND(AE116*(1+K$5),0)-K117,$AJ117-SUM($M117:T117)))</f>
        <v/>
      </c>
      <c r="V117">
        <f>MAX(0,MIN(ROUND(AF116*(1+L$5),0)-L117,$AJ117-SUM($M117:U117)))</f>
        <v/>
      </c>
      <c r="W117">
        <f>MAX(0,ROUND(W116*(1+C$5),0)-C117-M117)</f>
        <v/>
      </c>
      <c r="X117">
        <f>MAX(0,ROUND(X116*(1+D$5),0)-D117-N117)</f>
        <v/>
      </c>
      <c r="Y117">
        <f>MAX(0,ROUND(Y116*(1+E$5),0)-E117-O117)</f>
        <v/>
      </c>
      <c r="Z117">
        <f>MAX(0,ROUND(Z116*(1+F$5),0)-F117-P117)</f>
        <v/>
      </c>
      <c r="AA117">
        <f>MAX(0,ROUND(AA116*(1+G$5),0)-G117-Q117)</f>
        <v/>
      </c>
      <c r="AB117">
        <f>MAX(0,ROUND(AB116*(1+H$5),0)-H117-R117)</f>
        <v/>
      </c>
      <c r="AC117">
        <f>MAX(0,ROUND(AC116*(1+I$5),0)-I117-S117)</f>
        <v/>
      </c>
      <c r="AD117">
        <f>MAX(0,ROUND(AD116*(1+J$5),0)-J117-T117)</f>
        <v/>
      </c>
      <c r="AE117">
        <f>MAX(0,ROUND(AE116*(1+K$5),0)-K117-U117)</f>
        <v/>
      </c>
      <c r="AF117">
        <f>MAX(0,ROUND(AF116*(1+L$5),0)-L117-V117)</f>
        <v/>
      </c>
      <c r="AG117">
        <f>AH117-(AI116-AI117)</f>
        <v/>
      </c>
      <c r="AH117">
        <f>SUM(C117:V117)</f>
        <v/>
      </c>
      <c r="AI117">
        <f>SUM(W117:AF117)</f>
        <v/>
      </c>
      <c r="AJ117">
        <f>0</f>
        <v/>
      </c>
      <c r="AK117">
        <f>IF(AI116&lt;=0,0,11-SUMPRODUCT(MAX((W116:AF116&gt;0)*(11-(COLUMN(W116:AF116)-COLUMN($V116))))))</f>
        <v/>
      </c>
    </row>
    <row r="118">
      <c r="A118" t="n">
        <v>108</v>
      </c>
      <c r="B118">
        <f>DATE(YEAR(InicioEf),MONTH(InicioEf)+A118-1,1)</f>
        <v/>
      </c>
      <c r="C118">
        <f>MIN(C$6,ROUND(W117*(1+C$5),0))</f>
        <v/>
      </c>
      <c r="D118">
        <f>MIN(D$6,ROUND(X117*(1+D$5),0))</f>
        <v/>
      </c>
      <c r="E118">
        <f>MIN(E$6,ROUND(Y117*(1+E$5),0))</f>
        <v/>
      </c>
      <c r="F118">
        <f>MIN(F$6,ROUND(Z117*(1+F$5),0))</f>
        <v/>
      </c>
      <c r="G118">
        <f>MIN(G$6,ROUND(AA117*(1+G$5),0))</f>
        <v/>
      </c>
      <c r="H118">
        <f>MIN(H$6,ROUND(AB117*(1+H$5),0))</f>
        <v/>
      </c>
      <c r="I118">
        <f>MIN(I$6,ROUND(AC117*(1+I$5),0))</f>
        <v/>
      </c>
      <c r="J118">
        <f>MIN(J$6,ROUND(AD117*(1+J$5),0))</f>
        <v/>
      </c>
      <c r="K118">
        <f>MIN(K$6,ROUND(AE117*(1+K$5),0))</f>
        <v/>
      </c>
      <c r="L118">
        <f>MIN(L$6,ROUND(AF117*(1+L$5),0))</f>
        <v/>
      </c>
      <c r="M118">
        <f>MAX(0,MIN(ROUND(W117*(1+C$5),0)-C118,$AJ118-0))</f>
        <v/>
      </c>
      <c r="N118">
        <f>MAX(0,MIN(ROUND(X117*(1+D$5),0)-D118,$AJ118-SUM($M118:M118)))</f>
        <v/>
      </c>
      <c r="O118">
        <f>MAX(0,MIN(ROUND(Y117*(1+E$5),0)-E118,$AJ118-SUM($M118:N118)))</f>
        <v/>
      </c>
      <c r="P118">
        <f>MAX(0,MIN(ROUND(Z117*(1+F$5),0)-F118,$AJ118-SUM($M118:O118)))</f>
        <v/>
      </c>
      <c r="Q118">
        <f>MAX(0,MIN(ROUND(AA117*(1+G$5),0)-G118,$AJ118-SUM($M118:P118)))</f>
        <v/>
      </c>
      <c r="R118">
        <f>MAX(0,MIN(ROUND(AB117*(1+H$5),0)-H118,$AJ118-SUM($M118:Q118)))</f>
        <v/>
      </c>
      <c r="S118">
        <f>MAX(0,MIN(ROUND(AC117*(1+I$5),0)-I118,$AJ118-SUM($M118:R118)))</f>
        <v/>
      </c>
      <c r="T118">
        <f>MAX(0,MIN(ROUND(AD117*(1+J$5),0)-J118,$AJ118-SUM($M118:S118)))</f>
        <v/>
      </c>
      <c r="U118">
        <f>MAX(0,MIN(ROUND(AE117*(1+K$5),0)-K118,$AJ118-SUM($M118:T118)))</f>
        <v/>
      </c>
      <c r="V118">
        <f>MAX(0,MIN(ROUND(AF117*(1+L$5),0)-L118,$AJ118-SUM($M118:U118)))</f>
        <v/>
      </c>
      <c r="W118">
        <f>MAX(0,ROUND(W117*(1+C$5),0)-C118-M118)</f>
        <v/>
      </c>
      <c r="X118">
        <f>MAX(0,ROUND(X117*(1+D$5),0)-D118-N118)</f>
        <v/>
      </c>
      <c r="Y118">
        <f>MAX(0,ROUND(Y117*(1+E$5),0)-E118-O118)</f>
        <v/>
      </c>
      <c r="Z118">
        <f>MAX(0,ROUND(Z117*(1+F$5),0)-F118-P118)</f>
        <v/>
      </c>
      <c r="AA118">
        <f>MAX(0,ROUND(AA117*(1+G$5),0)-G118-Q118)</f>
        <v/>
      </c>
      <c r="AB118">
        <f>MAX(0,ROUND(AB117*(1+H$5),0)-H118-R118)</f>
        <v/>
      </c>
      <c r="AC118">
        <f>MAX(0,ROUND(AC117*(1+I$5),0)-I118-S118)</f>
        <v/>
      </c>
      <c r="AD118">
        <f>MAX(0,ROUND(AD117*(1+J$5),0)-J118-T118)</f>
        <v/>
      </c>
      <c r="AE118">
        <f>MAX(0,ROUND(AE117*(1+K$5),0)-K118-U118)</f>
        <v/>
      </c>
      <c r="AF118">
        <f>MAX(0,ROUND(AF117*(1+L$5),0)-L118-V118)</f>
        <v/>
      </c>
      <c r="AG118">
        <f>AH118-(AI117-AI118)</f>
        <v/>
      </c>
      <c r="AH118">
        <f>SUM(C118:V118)</f>
        <v/>
      </c>
      <c r="AI118">
        <f>SUM(W118:AF118)</f>
        <v/>
      </c>
      <c r="AJ118">
        <f>0</f>
        <v/>
      </c>
      <c r="AK118">
        <f>IF(AI117&lt;=0,0,11-SUMPRODUCT(MAX((W117:AF117&gt;0)*(11-(COLUMN(W117:AF117)-COLUMN($V117))))))</f>
        <v/>
      </c>
    </row>
    <row r="119">
      <c r="A119" t="n">
        <v>109</v>
      </c>
      <c r="B119">
        <f>DATE(YEAR(InicioEf),MONTH(InicioEf)+A119-1,1)</f>
        <v/>
      </c>
      <c r="C119">
        <f>MIN(C$6,ROUND(W118*(1+C$5),0))</f>
        <v/>
      </c>
      <c r="D119">
        <f>MIN(D$6,ROUND(X118*(1+D$5),0))</f>
        <v/>
      </c>
      <c r="E119">
        <f>MIN(E$6,ROUND(Y118*(1+E$5),0))</f>
        <v/>
      </c>
      <c r="F119">
        <f>MIN(F$6,ROUND(Z118*(1+F$5),0))</f>
        <v/>
      </c>
      <c r="G119">
        <f>MIN(G$6,ROUND(AA118*(1+G$5),0))</f>
        <v/>
      </c>
      <c r="H119">
        <f>MIN(H$6,ROUND(AB118*(1+H$5),0))</f>
        <v/>
      </c>
      <c r="I119">
        <f>MIN(I$6,ROUND(AC118*(1+I$5),0))</f>
        <v/>
      </c>
      <c r="J119">
        <f>MIN(J$6,ROUND(AD118*(1+J$5),0))</f>
        <v/>
      </c>
      <c r="K119">
        <f>MIN(K$6,ROUND(AE118*(1+K$5),0))</f>
        <v/>
      </c>
      <c r="L119">
        <f>MIN(L$6,ROUND(AF118*(1+L$5),0))</f>
        <v/>
      </c>
      <c r="M119">
        <f>MAX(0,MIN(ROUND(W118*(1+C$5),0)-C119,$AJ119-0))</f>
        <v/>
      </c>
      <c r="N119">
        <f>MAX(0,MIN(ROUND(X118*(1+D$5),0)-D119,$AJ119-SUM($M119:M119)))</f>
        <v/>
      </c>
      <c r="O119">
        <f>MAX(0,MIN(ROUND(Y118*(1+E$5),0)-E119,$AJ119-SUM($M119:N119)))</f>
        <v/>
      </c>
      <c r="P119">
        <f>MAX(0,MIN(ROUND(Z118*(1+F$5),0)-F119,$AJ119-SUM($M119:O119)))</f>
        <v/>
      </c>
      <c r="Q119">
        <f>MAX(0,MIN(ROUND(AA118*(1+G$5),0)-G119,$AJ119-SUM($M119:P119)))</f>
        <v/>
      </c>
      <c r="R119">
        <f>MAX(0,MIN(ROUND(AB118*(1+H$5),0)-H119,$AJ119-SUM($M119:Q119)))</f>
        <v/>
      </c>
      <c r="S119">
        <f>MAX(0,MIN(ROUND(AC118*(1+I$5),0)-I119,$AJ119-SUM($M119:R119)))</f>
        <v/>
      </c>
      <c r="T119">
        <f>MAX(0,MIN(ROUND(AD118*(1+J$5),0)-J119,$AJ119-SUM($M119:S119)))</f>
        <v/>
      </c>
      <c r="U119">
        <f>MAX(0,MIN(ROUND(AE118*(1+K$5),0)-K119,$AJ119-SUM($M119:T119)))</f>
        <v/>
      </c>
      <c r="V119">
        <f>MAX(0,MIN(ROUND(AF118*(1+L$5),0)-L119,$AJ119-SUM($M119:U119)))</f>
        <v/>
      </c>
      <c r="W119">
        <f>MAX(0,ROUND(W118*(1+C$5),0)-C119-M119)</f>
        <v/>
      </c>
      <c r="X119">
        <f>MAX(0,ROUND(X118*(1+D$5),0)-D119-N119)</f>
        <v/>
      </c>
      <c r="Y119">
        <f>MAX(0,ROUND(Y118*(1+E$5),0)-E119-O119)</f>
        <v/>
      </c>
      <c r="Z119">
        <f>MAX(0,ROUND(Z118*(1+F$5),0)-F119-P119)</f>
        <v/>
      </c>
      <c r="AA119">
        <f>MAX(0,ROUND(AA118*(1+G$5),0)-G119-Q119)</f>
        <v/>
      </c>
      <c r="AB119">
        <f>MAX(0,ROUND(AB118*(1+H$5),0)-H119-R119)</f>
        <v/>
      </c>
      <c r="AC119">
        <f>MAX(0,ROUND(AC118*(1+I$5),0)-I119-S119)</f>
        <v/>
      </c>
      <c r="AD119">
        <f>MAX(0,ROUND(AD118*(1+J$5),0)-J119-T119)</f>
        <v/>
      </c>
      <c r="AE119">
        <f>MAX(0,ROUND(AE118*(1+K$5),0)-K119-U119)</f>
        <v/>
      </c>
      <c r="AF119">
        <f>MAX(0,ROUND(AF118*(1+L$5),0)-L119-V119)</f>
        <v/>
      </c>
      <c r="AG119">
        <f>AH119-(AI118-AI119)</f>
        <v/>
      </c>
      <c r="AH119">
        <f>SUM(C119:V119)</f>
        <v/>
      </c>
      <c r="AI119">
        <f>SUM(W119:AF119)</f>
        <v/>
      </c>
      <c r="AJ119">
        <f>0</f>
        <v/>
      </c>
      <c r="AK119">
        <f>IF(AI118&lt;=0,0,11-SUMPRODUCT(MAX((W118:AF118&gt;0)*(11-(COLUMN(W118:AF118)-COLUMN($V118))))))</f>
        <v/>
      </c>
    </row>
    <row r="120">
      <c r="A120" t="n">
        <v>110</v>
      </c>
      <c r="B120">
        <f>DATE(YEAR(InicioEf),MONTH(InicioEf)+A120-1,1)</f>
        <v/>
      </c>
      <c r="C120">
        <f>MIN(C$6,ROUND(W119*(1+C$5),0))</f>
        <v/>
      </c>
      <c r="D120">
        <f>MIN(D$6,ROUND(X119*(1+D$5),0))</f>
        <v/>
      </c>
      <c r="E120">
        <f>MIN(E$6,ROUND(Y119*(1+E$5),0))</f>
        <v/>
      </c>
      <c r="F120">
        <f>MIN(F$6,ROUND(Z119*(1+F$5),0))</f>
        <v/>
      </c>
      <c r="G120">
        <f>MIN(G$6,ROUND(AA119*(1+G$5),0))</f>
        <v/>
      </c>
      <c r="H120">
        <f>MIN(H$6,ROUND(AB119*(1+H$5),0))</f>
        <v/>
      </c>
      <c r="I120">
        <f>MIN(I$6,ROUND(AC119*(1+I$5),0))</f>
        <v/>
      </c>
      <c r="J120">
        <f>MIN(J$6,ROUND(AD119*(1+J$5),0))</f>
        <v/>
      </c>
      <c r="K120">
        <f>MIN(K$6,ROUND(AE119*(1+K$5),0))</f>
        <v/>
      </c>
      <c r="L120">
        <f>MIN(L$6,ROUND(AF119*(1+L$5),0))</f>
        <v/>
      </c>
      <c r="M120">
        <f>MAX(0,MIN(ROUND(W119*(1+C$5),0)-C120,$AJ120-0))</f>
        <v/>
      </c>
      <c r="N120">
        <f>MAX(0,MIN(ROUND(X119*(1+D$5),0)-D120,$AJ120-SUM($M120:M120)))</f>
        <v/>
      </c>
      <c r="O120">
        <f>MAX(0,MIN(ROUND(Y119*(1+E$5),0)-E120,$AJ120-SUM($M120:N120)))</f>
        <v/>
      </c>
      <c r="P120">
        <f>MAX(0,MIN(ROUND(Z119*(1+F$5),0)-F120,$AJ120-SUM($M120:O120)))</f>
        <v/>
      </c>
      <c r="Q120">
        <f>MAX(0,MIN(ROUND(AA119*(1+G$5),0)-G120,$AJ120-SUM($M120:P120)))</f>
        <v/>
      </c>
      <c r="R120">
        <f>MAX(0,MIN(ROUND(AB119*(1+H$5),0)-H120,$AJ120-SUM($M120:Q120)))</f>
        <v/>
      </c>
      <c r="S120">
        <f>MAX(0,MIN(ROUND(AC119*(1+I$5),0)-I120,$AJ120-SUM($M120:R120)))</f>
        <v/>
      </c>
      <c r="T120">
        <f>MAX(0,MIN(ROUND(AD119*(1+J$5),0)-J120,$AJ120-SUM($M120:S120)))</f>
        <v/>
      </c>
      <c r="U120">
        <f>MAX(0,MIN(ROUND(AE119*(1+K$5),0)-K120,$AJ120-SUM($M120:T120)))</f>
        <v/>
      </c>
      <c r="V120">
        <f>MAX(0,MIN(ROUND(AF119*(1+L$5),0)-L120,$AJ120-SUM($M120:U120)))</f>
        <v/>
      </c>
      <c r="W120">
        <f>MAX(0,ROUND(W119*(1+C$5),0)-C120-M120)</f>
        <v/>
      </c>
      <c r="X120">
        <f>MAX(0,ROUND(X119*(1+D$5),0)-D120-N120)</f>
        <v/>
      </c>
      <c r="Y120">
        <f>MAX(0,ROUND(Y119*(1+E$5),0)-E120-O120)</f>
        <v/>
      </c>
      <c r="Z120">
        <f>MAX(0,ROUND(Z119*(1+F$5),0)-F120-P120)</f>
        <v/>
      </c>
      <c r="AA120">
        <f>MAX(0,ROUND(AA119*(1+G$5),0)-G120-Q120)</f>
        <v/>
      </c>
      <c r="AB120">
        <f>MAX(0,ROUND(AB119*(1+H$5),0)-H120-R120)</f>
        <v/>
      </c>
      <c r="AC120">
        <f>MAX(0,ROUND(AC119*(1+I$5),0)-I120-S120)</f>
        <v/>
      </c>
      <c r="AD120">
        <f>MAX(0,ROUND(AD119*(1+J$5),0)-J120-T120)</f>
        <v/>
      </c>
      <c r="AE120">
        <f>MAX(0,ROUND(AE119*(1+K$5),0)-K120-U120)</f>
        <v/>
      </c>
      <c r="AF120">
        <f>MAX(0,ROUND(AF119*(1+L$5),0)-L120-V120)</f>
        <v/>
      </c>
      <c r="AG120">
        <f>AH120-(AI119-AI120)</f>
        <v/>
      </c>
      <c r="AH120">
        <f>SUM(C120:V120)</f>
        <v/>
      </c>
      <c r="AI120">
        <f>SUM(W120:AF120)</f>
        <v/>
      </c>
      <c r="AJ120">
        <f>0</f>
        <v/>
      </c>
      <c r="AK120">
        <f>IF(AI119&lt;=0,0,11-SUMPRODUCT(MAX((W119:AF119&gt;0)*(11-(COLUMN(W119:AF119)-COLUMN($V119))))))</f>
        <v/>
      </c>
    </row>
    <row r="121">
      <c r="A121" t="n">
        <v>111</v>
      </c>
      <c r="B121">
        <f>DATE(YEAR(InicioEf),MONTH(InicioEf)+A121-1,1)</f>
        <v/>
      </c>
      <c r="C121">
        <f>MIN(C$6,ROUND(W120*(1+C$5),0))</f>
        <v/>
      </c>
      <c r="D121">
        <f>MIN(D$6,ROUND(X120*(1+D$5),0))</f>
        <v/>
      </c>
      <c r="E121">
        <f>MIN(E$6,ROUND(Y120*(1+E$5),0))</f>
        <v/>
      </c>
      <c r="F121">
        <f>MIN(F$6,ROUND(Z120*(1+F$5),0))</f>
        <v/>
      </c>
      <c r="G121">
        <f>MIN(G$6,ROUND(AA120*(1+G$5),0))</f>
        <v/>
      </c>
      <c r="H121">
        <f>MIN(H$6,ROUND(AB120*(1+H$5),0))</f>
        <v/>
      </c>
      <c r="I121">
        <f>MIN(I$6,ROUND(AC120*(1+I$5),0))</f>
        <v/>
      </c>
      <c r="J121">
        <f>MIN(J$6,ROUND(AD120*(1+J$5),0))</f>
        <v/>
      </c>
      <c r="K121">
        <f>MIN(K$6,ROUND(AE120*(1+K$5),0))</f>
        <v/>
      </c>
      <c r="L121">
        <f>MIN(L$6,ROUND(AF120*(1+L$5),0))</f>
        <v/>
      </c>
      <c r="M121">
        <f>MAX(0,MIN(ROUND(W120*(1+C$5),0)-C121,$AJ121-0))</f>
        <v/>
      </c>
      <c r="N121">
        <f>MAX(0,MIN(ROUND(X120*(1+D$5),0)-D121,$AJ121-SUM($M121:M121)))</f>
        <v/>
      </c>
      <c r="O121">
        <f>MAX(0,MIN(ROUND(Y120*(1+E$5),0)-E121,$AJ121-SUM($M121:N121)))</f>
        <v/>
      </c>
      <c r="P121">
        <f>MAX(0,MIN(ROUND(Z120*(1+F$5),0)-F121,$AJ121-SUM($M121:O121)))</f>
        <v/>
      </c>
      <c r="Q121">
        <f>MAX(0,MIN(ROUND(AA120*(1+G$5),0)-G121,$AJ121-SUM($M121:P121)))</f>
        <v/>
      </c>
      <c r="R121">
        <f>MAX(0,MIN(ROUND(AB120*(1+H$5),0)-H121,$AJ121-SUM($M121:Q121)))</f>
        <v/>
      </c>
      <c r="S121">
        <f>MAX(0,MIN(ROUND(AC120*(1+I$5),0)-I121,$AJ121-SUM($M121:R121)))</f>
        <v/>
      </c>
      <c r="T121">
        <f>MAX(0,MIN(ROUND(AD120*(1+J$5),0)-J121,$AJ121-SUM($M121:S121)))</f>
        <v/>
      </c>
      <c r="U121">
        <f>MAX(0,MIN(ROUND(AE120*(1+K$5),0)-K121,$AJ121-SUM($M121:T121)))</f>
        <v/>
      </c>
      <c r="V121">
        <f>MAX(0,MIN(ROUND(AF120*(1+L$5),0)-L121,$AJ121-SUM($M121:U121)))</f>
        <v/>
      </c>
      <c r="W121">
        <f>MAX(0,ROUND(W120*(1+C$5),0)-C121-M121)</f>
        <v/>
      </c>
      <c r="X121">
        <f>MAX(0,ROUND(X120*(1+D$5),0)-D121-N121)</f>
        <v/>
      </c>
      <c r="Y121">
        <f>MAX(0,ROUND(Y120*(1+E$5),0)-E121-O121)</f>
        <v/>
      </c>
      <c r="Z121">
        <f>MAX(0,ROUND(Z120*(1+F$5),0)-F121-P121)</f>
        <v/>
      </c>
      <c r="AA121">
        <f>MAX(0,ROUND(AA120*(1+G$5),0)-G121-Q121)</f>
        <v/>
      </c>
      <c r="AB121">
        <f>MAX(0,ROUND(AB120*(1+H$5),0)-H121-R121)</f>
        <v/>
      </c>
      <c r="AC121">
        <f>MAX(0,ROUND(AC120*(1+I$5),0)-I121-S121)</f>
        <v/>
      </c>
      <c r="AD121">
        <f>MAX(0,ROUND(AD120*(1+J$5),0)-J121-T121)</f>
        <v/>
      </c>
      <c r="AE121">
        <f>MAX(0,ROUND(AE120*(1+K$5),0)-K121-U121)</f>
        <v/>
      </c>
      <c r="AF121">
        <f>MAX(0,ROUND(AF120*(1+L$5),0)-L121-V121)</f>
        <v/>
      </c>
      <c r="AG121">
        <f>AH121-(AI120-AI121)</f>
        <v/>
      </c>
      <c r="AH121">
        <f>SUM(C121:V121)</f>
        <v/>
      </c>
      <c r="AI121">
        <f>SUM(W121:AF121)</f>
        <v/>
      </c>
      <c r="AJ121">
        <f>0</f>
        <v/>
      </c>
      <c r="AK121">
        <f>IF(AI120&lt;=0,0,11-SUMPRODUCT(MAX((W120:AF120&gt;0)*(11-(COLUMN(W120:AF120)-COLUMN($V120))))))</f>
        <v/>
      </c>
    </row>
    <row r="122">
      <c r="A122" t="n">
        <v>112</v>
      </c>
      <c r="B122">
        <f>DATE(YEAR(InicioEf),MONTH(InicioEf)+A122-1,1)</f>
        <v/>
      </c>
      <c r="C122">
        <f>MIN(C$6,ROUND(W121*(1+C$5),0))</f>
        <v/>
      </c>
      <c r="D122">
        <f>MIN(D$6,ROUND(X121*(1+D$5),0))</f>
        <v/>
      </c>
      <c r="E122">
        <f>MIN(E$6,ROUND(Y121*(1+E$5),0))</f>
        <v/>
      </c>
      <c r="F122">
        <f>MIN(F$6,ROUND(Z121*(1+F$5),0))</f>
        <v/>
      </c>
      <c r="G122">
        <f>MIN(G$6,ROUND(AA121*(1+G$5),0))</f>
        <v/>
      </c>
      <c r="H122">
        <f>MIN(H$6,ROUND(AB121*(1+H$5),0))</f>
        <v/>
      </c>
      <c r="I122">
        <f>MIN(I$6,ROUND(AC121*(1+I$5),0))</f>
        <v/>
      </c>
      <c r="J122">
        <f>MIN(J$6,ROUND(AD121*(1+J$5),0))</f>
        <v/>
      </c>
      <c r="K122">
        <f>MIN(K$6,ROUND(AE121*(1+K$5),0))</f>
        <v/>
      </c>
      <c r="L122">
        <f>MIN(L$6,ROUND(AF121*(1+L$5),0))</f>
        <v/>
      </c>
      <c r="M122">
        <f>MAX(0,MIN(ROUND(W121*(1+C$5),0)-C122,$AJ122-0))</f>
        <v/>
      </c>
      <c r="N122">
        <f>MAX(0,MIN(ROUND(X121*(1+D$5),0)-D122,$AJ122-SUM($M122:M122)))</f>
        <v/>
      </c>
      <c r="O122">
        <f>MAX(0,MIN(ROUND(Y121*(1+E$5),0)-E122,$AJ122-SUM($M122:N122)))</f>
        <v/>
      </c>
      <c r="P122">
        <f>MAX(0,MIN(ROUND(Z121*(1+F$5),0)-F122,$AJ122-SUM($M122:O122)))</f>
        <v/>
      </c>
      <c r="Q122">
        <f>MAX(0,MIN(ROUND(AA121*(1+G$5),0)-G122,$AJ122-SUM($M122:P122)))</f>
        <v/>
      </c>
      <c r="R122">
        <f>MAX(0,MIN(ROUND(AB121*(1+H$5),0)-H122,$AJ122-SUM($M122:Q122)))</f>
        <v/>
      </c>
      <c r="S122">
        <f>MAX(0,MIN(ROUND(AC121*(1+I$5),0)-I122,$AJ122-SUM($M122:R122)))</f>
        <v/>
      </c>
      <c r="T122">
        <f>MAX(0,MIN(ROUND(AD121*(1+J$5),0)-J122,$AJ122-SUM($M122:S122)))</f>
        <v/>
      </c>
      <c r="U122">
        <f>MAX(0,MIN(ROUND(AE121*(1+K$5),0)-K122,$AJ122-SUM($M122:T122)))</f>
        <v/>
      </c>
      <c r="V122">
        <f>MAX(0,MIN(ROUND(AF121*(1+L$5),0)-L122,$AJ122-SUM($M122:U122)))</f>
        <v/>
      </c>
      <c r="W122">
        <f>MAX(0,ROUND(W121*(1+C$5),0)-C122-M122)</f>
        <v/>
      </c>
      <c r="X122">
        <f>MAX(0,ROUND(X121*(1+D$5),0)-D122-N122)</f>
        <v/>
      </c>
      <c r="Y122">
        <f>MAX(0,ROUND(Y121*(1+E$5),0)-E122-O122)</f>
        <v/>
      </c>
      <c r="Z122">
        <f>MAX(0,ROUND(Z121*(1+F$5),0)-F122-P122)</f>
        <v/>
      </c>
      <c r="AA122">
        <f>MAX(0,ROUND(AA121*(1+G$5),0)-G122-Q122)</f>
        <v/>
      </c>
      <c r="AB122">
        <f>MAX(0,ROUND(AB121*(1+H$5),0)-H122-R122)</f>
        <v/>
      </c>
      <c r="AC122">
        <f>MAX(0,ROUND(AC121*(1+I$5),0)-I122-S122)</f>
        <v/>
      </c>
      <c r="AD122">
        <f>MAX(0,ROUND(AD121*(1+J$5),0)-J122-T122)</f>
        <v/>
      </c>
      <c r="AE122">
        <f>MAX(0,ROUND(AE121*(1+K$5),0)-K122-U122)</f>
        <v/>
      </c>
      <c r="AF122">
        <f>MAX(0,ROUND(AF121*(1+L$5),0)-L122-V122)</f>
        <v/>
      </c>
      <c r="AG122">
        <f>AH122-(AI121-AI122)</f>
        <v/>
      </c>
      <c r="AH122">
        <f>SUM(C122:V122)</f>
        <v/>
      </c>
      <c r="AI122">
        <f>SUM(W122:AF122)</f>
        <v/>
      </c>
      <c r="AJ122">
        <f>0</f>
        <v/>
      </c>
      <c r="AK122">
        <f>IF(AI121&lt;=0,0,11-SUMPRODUCT(MAX((W121:AF121&gt;0)*(11-(COLUMN(W121:AF121)-COLUMN($V121))))))</f>
        <v/>
      </c>
    </row>
    <row r="123">
      <c r="A123" t="n">
        <v>113</v>
      </c>
      <c r="B123">
        <f>DATE(YEAR(InicioEf),MONTH(InicioEf)+A123-1,1)</f>
        <v/>
      </c>
      <c r="C123">
        <f>MIN(C$6,ROUND(W122*(1+C$5),0))</f>
        <v/>
      </c>
      <c r="D123">
        <f>MIN(D$6,ROUND(X122*(1+D$5),0))</f>
        <v/>
      </c>
      <c r="E123">
        <f>MIN(E$6,ROUND(Y122*(1+E$5),0))</f>
        <v/>
      </c>
      <c r="F123">
        <f>MIN(F$6,ROUND(Z122*(1+F$5),0))</f>
        <v/>
      </c>
      <c r="G123">
        <f>MIN(G$6,ROUND(AA122*(1+G$5),0))</f>
        <v/>
      </c>
      <c r="H123">
        <f>MIN(H$6,ROUND(AB122*(1+H$5),0))</f>
        <v/>
      </c>
      <c r="I123">
        <f>MIN(I$6,ROUND(AC122*(1+I$5),0))</f>
        <v/>
      </c>
      <c r="J123">
        <f>MIN(J$6,ROUND(AD122*(1+J$5),0))</f>
        <v/>
      </c>
      <c r="K123">
        <f>MIN(K$6,ROUND(AE122*(1+K$5),0))</f>
        <v/>
      </c>
      <c r="L123">
        <f>MIN(L$6,ROUND(AF122*(1+L$5),0))</f>
        <v/>
      </c>
      <c r="M123">
        <f>MAX(0,MIN(ROUND(W122*(1+C$5),0)-C123,$AJ123-0))</f>
        <v/>
      </c>
      <c r="N123">
        <f>MAX(0,MIN(ROUND(X122*(1+D$5),0)-D123,$AJ123-SUM($M123:M123)))</f>
        <v/>
      </c>
      <c r="O123">
        <f>MAX(0,MIN(ROUND(Y122*(1+E$5),0)-E123,$AJ123-SUM($M123:N123)))</f>
        <v/>
      </c>
      <c r="P123">
        <f>MAX(0,MIN(ROUND(Z122*(1+F$5),0)-F123,$AJ123-SUM($M123:O123)))</f>
        <v/>
      </c>
      <c r="Q123">
        <f>MAX(0,MIN(ROUND(AA122*(1+G$5),0)-G123,$AJ123-SUM($M123:P123)))</f>
        <v/>
      </c>
      <c r="R123">
        <f>MAX(0,MIN(ROUND(AB122*(1+H$5),0)-H123,$AJ123-SUM($M123:Q123)))</f>
        <v/>
      </c>
      <c r="S123">
        <f>MAX(0,MIN(ROUND(AC122*(1+I$5),0)-I123,$AJ123-SUM($M123:R123)))</f>
        <v/>
      </c>
      <c r="T123">
        <f>MAX(0,MIN(ROUND(AD122*(1+J$5),0)-J123,$AJ123-SUM($M123:S123)))</f>
        <v/>
      </c>
      <c r="U123">
        <f>MAX(0,MIN(ROUND(AE122*(1+K$5),0)-K123,$AJ123-SUM($M123:T123)))</f>
        <v/>
      </c>
      <c r="V123">
        <f>MAX(0,MIN(ROUND(AF122*(1+L$5),0)-L123,$AJ123-SUM($M123:U123)))</f>
        <v/>
      </c>
      <c r="W123">
        <f>MAX(0,ROUND(W122*(1+C$5),0)-C123-M123)</f>
        <v/>
      </c>
      <c r="X123">
        <f>MAX(0,ROUND(X122*(1+D$5),0)-D123-N123)</f>
        <v/>
      </c>
      <c r="Y123">
        <f>MAX(0,ROUND(Y122*(1+E$5),0)-E123-O123)</f>
        <v/>
      </c>
      <c r="Z123">
        <f>MAX(0,ROUND(Z122*(1+F$5),0)-F123-P123)</f>
        <v/>
      </c>
      <c r="AA123">
        <f>MAX(0,ROUND(AA122*(1+G$5),0)-G123-Q123)</f>
        <v/>
      </c>
      <c r="AB123">
        <f>MAX(0,ROUND(AB122*(1+H$5),0)-H123-R123)</f>
        <v/>
      </c>
      <c r="AC123">
        <f>MAX(0,ROUND(AC122*(1+I$5),0)-I123-S123)</f>
        <v/>
      </c>
      <c r="AD123">
        <f>MAX(0,ROUND(AD122*(1+J$5),0)-J123-T123)</f>
        <v/>
      </c>
      <c r="AE123">
        <f>MAX(0,ROUND(AE122*(1+K$5),0)-K123-U123)</f>
        <v/>
      </c>
      <c r="AF123">
        <f>MAX(0,ROUND(AF122*(1+L$5),0)-L123-V123)</f>
        <v/>
      </c>
      <c r="AG123">
        <f>AH123-(AI122-AI123)</f>
        <v/>
      </c>
      <c r="AH123">
        <f>SUM(C123:V123)</f>
        <v/>
      </c>
      <c r="AI123">
        <f>SUM(W123:AF123)</f>
        <v/>
      </c>
      <c r="AJ123">
        <f>0</f>
        <v/>
      </c>
      <c r="AK123">
        <f>IF(AI122&lt;=0,0,11-SUMPRODUCT(MAX((W122:AF122&gt;0)*(11-(COLUMN(W122:AF122)-COLUMN($V122))))))</f>
        <v/>
      </c>
    </row>
    <row r="124">
      <c r="A124" t="n">
        <v>114</v>
      </c>
      <c r="B124">
        <f>DATE(YEAR(InicioEf),MONTH(InicioEf)+A124-1,1)</f>
        <v/>
      </c>
      <c r="C124">
        <f>MIN(C$6,ROUND(W123*(1+C$5),0))</f>
        <v/>
      </c>
      <c r="D124">
        <f>MIN(D$6,ROUND(X123*(1+D$5),0))</f>
        <v/>
      </c>
      <c r="E124">
        <f>MIN(E$6,ROUND(Y123*(1+E$5),0))</f>
        <v/>
      </c>
      <c r="F124">
        <f>MIN(F$6,ROUND(Z123*(1+F$5),0))</f>
        <v/>
      </c>
      <c r="G124">
        <f>MIN(G$6,ROUND(AA123*(1+G$5),0))</f>
        <v/>
      </c>
      <c r="H124">
        <f>MIN(H$6,ROUND(AB123*(1+H$5),0))</f>
        <v/>
      </c>
      <c r="I124">
        <f>MIN(I$6,ROUND(AC123*(1+I$5),0))</f>
        <v/>
      </c>
      <c r="J124">
        <f>MIN(J$6,ROUND(AD123*(1+J$5),0))</f>
        <v/>
      </c>
      <c r="K124">
        <f>MIN(K$6,ROUND(AE123*(1+K$5),0))</f>
        <v/>
      </c>
      <c r="L124">
        <f>MIN(L$6,ROUND(AF123*(1+L$5),0))</f>
        <v/>
      </c>
      <c r="M124">
        <f>MAX(0,MIN(ROUND(W123*(1+C$5),0)-C124,$AJ124-0))</f>
        <v/>
      </c>
      <c r="N124">
        <f>MAX(0,MIN(ROUND(X123*(1+D$5),0)-D124,$AJ124-SUM($M124:M124)))</f>
        <v/>
      </c>
      <c r="O124">
        <f>MAX(0,MIN(ROUND(Y123*(1+E$5),0)-E124,$AJ124-SUM($M124:N124)))</f>
        <v/>
      </c>
      <c r="P124">
        <f>MAX(0,MIN(ROUND(Z123*(1+F$5),0)-F124,$AJ124-SUM($M124:O124)))</f>
        <v/>
      </c>
      <c r="Q124">
        <f>MAX(0,MIN(ROUND(AA123*(1+G$5),0)-G124,$AJ124-SUM($M124:P124)))</f>
        <v/>
      </c>
      <c r="R124">
        <f>MAX(0,MIN(ROUND(AB123*(1+H$5),0)-H124,$AJ124-SUM($M124:Q124)))</f>
        <v/>
      </c>
      <c r="S124">
        <f>MAX(0,MIN(ROUND(AC123*(1+I$5),0)-I124,$AJ124-SUM($M124:R124)))</f>
        <v/>
      </c>
      <c r="T124">
        <f>MAX(0,MIN(ROUND(AD123*(1+J$5),0)-J124,$AJ124-SUM($M124:S124)))</f>
        <v/>
      </c>
      <c r="U124">
        <f>MAX(0,MIN(ROUND(AE123*(1+K$5),0)-K124,$AJ124-SUM($M124:T124)))</f>
        <v/>
      </c>
      <c r="V124">
        <f>MAX(0,MIN(ROUND(AF123*(1+L$5),0)-L124,$AJ124-SUM($M124:U124)))</f>
        <v/>
      </c>
      <c r="W124">
        <f>MAX(0,ROUND(W123*(1+C$5),0)-C124-M124)</f>
        <v/>
      </c>
      <c r="X124">
        <f>MAX(0,ROUND(X123*(1+D$5),0)-D124-N124)</f>
        <v/>
      </c>
      <c r="Y124">
        <f>MAX(0,ROUND(Y123*(1+E$5),0)-E124-O124)</f>
        <v/>
      </c>
      <c r="Z124">
        <f>MAX(0,ROUND(Z123*(1+F$5),0)-F124-P124)</f>
        <v/>
      </c>
      <c r="AA124">
        <f>MAX(0,ROUND(AA123*(1+G$5),0)-G124-Q124)</f>
        <v/>
      </c>
      <c r="AB124">
        <f>MAX(0,ROUND(AB123*(1+H$5),0)-H124-R124)</f>
        <v/>
      </c>
      <c r="AC124">
        <f>MAX(0,ROUND(AC123*(1+I$5),0)-I124-S124)</f>
        <v/>
      </c>
      <c r="AD124">
        <f>MAX(0,ROUND(AD123*(1+J$5),0)-J124-T124)</f>
        <v/>
      </c>
      <c r="AE124">
        <f>MAX(0,ROUND(AE123*(1+K$5),0)-K124-U124)</f>
        <v/>
      </c>
      <c r="AF124">
        <f>MAX(0,ROUND(AF123*(1+L$5),0)-L124-V124)</f>
        <v/>
      </c>
      <c r="AG124">
        <f>AH124-(AI123-AI124)</f>
        <v/>
      </c>
      <c r="AH124">
        <f>SUM(C124:V124)</f>
        <v/>
      </c>
      <c r="AI124">
        <f>SUM(W124:AF124)</f>
        <v/>
      </c>
      <c r="AJ124">
        <f>0</f>
        <v/>
      </c>
      <c r="AK124">
        <f>IF(AI123&lt;=0,0,11-SUMPRODUCT(MAX((W123:AF123&gt;0)*(11-(COLUMN(W123:AF123)-COLUMN($V123))))))</f>
        <v/>
      </c>
    </row>
    <row r="125">
      <c r="A125" t="n">
        <v>115</v>
      </c>
      <c r="B125">
        <f>DATE(YEAR(InicioEf),MONTH(InicioEf)+A125-1,1)</f>
        <v/>
      </c>
      <c r="C125">
        <f>MIN(C$6,ROUND(W124*(1+C$5),0))</f>
        <v/>
      </c>
      <c r="D125">
        <f>MIN(D$6,ROUND(X124*(1+D$5),0))</f>
        <v/>
      </c>
      <c r="E125">
        <f>MIN(E$6,ROUND(Y124*(1+E$5),0))</f>
        <v/>
      </c>
      <c r="F125">
        <f>MIN(F$6,ROUND(Z124*(1+F$5),0))</f>
        <v/>
      </c>
      <c r="G125">
        <f>MIN(G$6,ROUND(AA124*(1+G$5),0))</f>
        <v/>
      </c>
      <c r="H125">
        <f>MIN(H$6,ROUND(AB124*(1+H$5),0))</f>
        <v/>
      </c>
      <c r="I125">
        <f>MIN(I$6,ROUND(AC124*(1+I$5),0))</f>
        <v/>
      </c>
      <c r="J125">
        <f>MIN(J$6,ROUND(AD124*(1+J$5),0))</f>
        <v/>
      </c>
      <c r="K125">
        <f>MIN(K$6,ROUND(AE124*(1+K$5),0))</f>
        <v/>
      </c>
      <c r="L125">
        <f>MIN(L$6,ROUND(AF124*(1+L$5),0))</f>
        <v/>
      </c>
      <c r="M125">
        <f>MAX(0,MIN(ROUND(W124*(1+C$5),0)-C125,$AJ125-0))</f>
        <v/>
      </c>
      <c r="N125">
        <f>MAX(0,MIN(ROUND(X124*(1+D$5),0)-D125,$AJ125-SUM($M125:M125)))</f>
        <v/>
      </c>
      <c r="O125">
        <f>MAX(0,MIN(ROUND(Y124*(1+E$5),0)-E125,$AJ125-SUM($M125:N125)))</f>
        <v/>
      </c>
      <c r="P125">
        <f>MAX(0,MIN(ROUND(Z124*(1+F$5),0)-F125,$AJ125-SUM($M125:O125)))</f>
        <v/>
      </c>
      <c r="Q125">
        <f>MAX(0,MIN(ROUND(AA124*(1+G$5),0)-G125,$AJ125-SUM($M125:P125)))</f>
        <v/>
      </c>
      <c r="R125">
        <f>MAX(0,MIN(ROUND(AB124*(1+H$5),0)-H125,$AJ125-SUM($M125:Q125)))</f>
        <v/>
      </c>
      <c r="S125">
        <f>MAX(0,MIN(ROUND(AC124*(1+I$5),0)-I125,$AJ125-SUM($M125:R125)))</f>
        <v/>
      </c>
      <c r="T125">
        <f>MAX(0,MIN(ROUND(AD124*(1+J$5),0)-J125,$AJ125-SUM($M125:S125)))</f>
        <v/>
      </c>
      <c r="U125">
        <f>MAX(0,MIN(ROUND(AE124*(1+K$5),0)-K125,$AJ125-SUM($M125:T125)))</f>
        <v/>
      </c>
      <c r="V125">
        <f>MAX(0,MIN(ROUND(AF124*(1+L$5),0)-L125,$AJ125-SUM($M125:U125)))</f>
        <v/>
      </c>
      <c r="W125">
        <f>MAX(0,ROUND(W124*(1+C$5),0)-C125-M125)</f>
        <v/>
      </c>
      <c r="X125">
        <f>MAX(0,ROUND(X124*(1+D$5),0)-D125-N125)</f>
        <v/>
      </c>
      <c r="Y125">
        <f>MAX(0,ROUND(Y124*(1+E$5),0)-E125-O125)</f>
        <v/>
      </c>
      <c r="Z125">
        <f>MAX(0,ROUND(Z124*(1+F$5),0)-F125-P125)</f>
        <v/>
      </c>
      <c r="AA125">
        <f>MAX(0,ROUND(AA124*(1+G$5),0)-G125-Q125)</f>
        <v/>
      </c>
      <c r="AB125">
        <f>MAX(0,ROUND(AB124*(1+H$5),0)-H125-R125)</f>
        <v/>
      </c>
      <c r="AC125">
        <f>MAX(0,ROUND(AC124*(1+I$5),0)-I125-S125)</f>
        <v/>
      </c>
      <c r="AD125">
        <f>MAX(0,ROUND(AD124*(1+J$5),0)-J125-T125)</f>
        <v/>
      </c>
      <c r="AE125">
        <f>MAX(0,ROUND(AE124*(1+K$5),0)-K125-U125)</f>
        <v/>
      </c>
      <c r="AF125">
        <f>MAX(0,ROUND(AF124*(1+L$5),0)-L125-V125)</f>
        <v/>
      </c>
      <c r="AG125">
        <f>AH125-(AI124-AI125)</f>
        <v/>
      </c>
      <c r="AH125">
        <f>SUM(C125:V125)</f>
        <v/>
      </c>
      <c r="AI125">
        <f>SUM(W125:AF125)</f>
        <v/>
      </c>
      <c r="AJ125">
        <f>0</f>
        <v/>
      </c>
      <c r="AK125">
        <f>IF(AI124&lt;=0,0,11-SUMPRODUCT(MAX((W124:AF124&gt;0)*(11-(COLUMN(W124:AF124)-COLUMN($V124))))))</f>
        <v/>
      </c>
    </row>
    <row r="126">
      <c r="A126" t="n">
        <v>116</v>
      </c>
      <c r="B126">
        <f>DATE(YEAR(InicioEf),MONTH(InicioEf)+A126-1,1)</f>
        <v/>
      </c>
      <c r="C126">
        <f>MIN(C$6,ROUND(W125*(1+C$5),0))</f>
        <v/>
      </c>
      <c r="D126">
        <f>MIN(D$6,ROUND(X125*(1+D$5),0))</f>
        <v/>
      </c>
      <c r="E126">
        <f>MIN(E$6,ROUND(Y125*(1+E$5),0))</f>
        <v/>
      </c>
      <c r="F126">
        <f>MIN(F$6,ROUND(Z125*(1+F$5),0))</f>
        <v/>
      </c>
      <c r="G126">
        <f>MIN(G$6,ROUND(AA125*(1+G$5),0))</f>
        <v/>
      </c>
      <c r="H126">
        <f>MIN(H$6,ROUND(AB125*(1+H$5),0))</f>
        <v/>
      </c>
      <c r="I126">
        <f>MIN(I$6,ROUND(AC125*(1+I$5),0))</f>
        <v/>
      </c>
      <c r="J126">
        <f>MIN(J$6,ROUND(AD125*(1+J$5),0))</f>
        <v/>
      </c>
      <c r="K126">
        <f>MIN(K$6,ROUND(AE125*(1+K$5),0))</f>
        <v/>
      </c>
      <c r="L126">
        <f>MIN(L$6,ROUND(AF125*(1+L$5),0))</f>
        <v/>
      </c>
      <c r="M126">
        <f>MAX(0,MIN(ROUND(W125*(1+C$5),0)-C126,$AJ126-0))</f>
        <v/>
      </c>
      <c r="N126">
        <f>MAX(0,MIN(ROUND(X125*(1+D$5),0)-D126,$AJ126-SUM($M126:M126)))</f>
        <v/>
      </c>
      <c r="O126">
        <f>MAX(0,MIN(ROUND(Y125*(1+E$5),0)-E126,$AJ126-SUM($M126:N126)))</f>
        <v/>
      </c>
      <c r="P126">
        <f>MAX(0,MIN(ROUND(Z125*(1+F$5),0)-F126,$AJ126-SUM($M126:O126)))</f>
        <v/>
      </c>
      <c r="Q126">
        <f>MAX(0,MIN(ROUND(AA125*(1+G$5),0)-G126,$AJ126-SUM($M126:P126)))</f>
        <v/>
      </c>
      <c r="R126">
        <f>MAX(0,MIN(ROUND(AB125*(1+H$5),0)-H126,$AJ126-SUM($M126:Q126)))</f>
        <v/>
      </c>
      <c r="S126">
        <f>MAX(0,MIN(ROUND(AC125*(1+I$5),0)-I126,$AJ126-SUM($M126:R126)))</f>
        <v/>
      </c>
      <c r="T126">
        <f>MAX(0,MIN(ROUND(AD125*(1+J$5),0)-J126,$AJ126-SUM($M126:S126)))</f>
        <v/>
      </c>
      <c r="U126">
        <f>MAX(0,MIN(ROUND(AE125*(1+K$5),0)-K126,$AJ126-SUM($M126:T126)))</f>
        <v/>
      </c>
      <c r="V126">
        <f>MAX(0,MIN(ROUND(AF125*(1+L$5),0)-L126,$AJ126-SUM($M126:U126)))</f>
        <v/>
      </c>
      <c r="W126">
        <f>MAX(0,ROUND(W125*(1+C$5),0)-C126-M126)</f>
        <v/>
      </c>
      <c r="X126">
        <f>MAX(0,ROUND(X125*(1+D$5),0)-D126-N126)</f>
        <v/>
      </c>
      <c r="Y126">
        <f>MAX(0,ROUND(Y125*(1+E$5),0)-E126-O126)</f>
        <v/>
      </c>
      <c r="Z126">
        <f>MAX(0,ROUND(Z125*(1+F$5),0)-F126-P126)</f>
        <v/>
      </c>
      <c r="AA126">
        <f>MAX(0,ROUND(AA125*(1+G$5),0)-G126-Q126)</f>
        <v/>
      </c>
      <c r="AB126">
        <f>MAX(0,ROUND(AB125*(1+H$5),0)-H126-R126)</f>
        <v/>
      </c>
      <c r="AC126">
        <f>MAX(0,ROUND(AC125*(1+I$5),0)-I126-S126)</f>
        <v/>
      </c>
      <c r="AD126">
        <f>MAX(0,ROUND(AD125*(1+J$5),0)-J126-T126)</f>
        <v/>
      </c>
      <c r="AE126">
        <f>MAX(0,ROUND(AE125*(1+K$5),0)-K126-U126)</f>
        <v/>
      </c>
      <c r="AF126">
        <f>MAX(0,ROUND(AF125*(1+L$5),0)-L126-V126)</f>
        <v/>
      </c>
      <c r="AG126">
        <f>AH126-(AI125-AI126)</f>
        <v/>
      </c>
      <c r="AH126">
        <f>SUM(C126:V126)</f>
        <v/>
      </c>
      <c r="AI126">
        <f>SUM(W126:AF126)</f>
        <v/>
      </c>
      <c r="AJ126">
        <f>0</f>
        <v/>
      </c>
      <c r="AK126">
        <f>IF(AI125&lt;=0,0,11-SUMPRODUCT(MAX((W125:AF125&gt;0)*(11-(COLUMN(W125:AF125)-COLUMN($V125))))))</f>
        <v/>
      </c>
    </row>
    <row r="127">
      <c r="A127" t="n">
        <v>117</v>
      </c>
      <c r="B127">
        <f>DATE(YEAR(InicioEf),MONTH(InicioEf)+A127-1,1)</f>
        <v/>
      </c>
      <c r="C127">
        <f>MIN(C$6,ROUND(W126*(1+C$5),0))</f>
        <v/>
      </c>
      <c r="D127">
        <f>MIN(D$6,ROUND(X126*(1+D$5),0))</f>
        <v/>
      </c>
      <c r="E127">
        <f>MIN(E$6,ROUND(Y126*(1+E$5),0))</f>
        <v/>
      </c>
      <c r="F127">
        <f>MIN(F$6,ROUND(Z126*(1+F$5),0))</f>
        <v/>
      </c>
      <c r="G127">
        <f>MIN(G$6,ROUND(AA126*(1+G$5),0))</f>
        <v/>
      </c>
      <c r="H127">
        <f>MIN(H$6,ROUND(AB126*(1+H$5),0))</f>
        <v/>
      </c>
      <c r="I127">
        <f>MIN(I$6,ROUND(AC126*(1+I$5),0))</f>
        <v/>
      </c>
      <c r="J127">
        <f>MIN(J$6,ROUND(AD126*(1+J$5),0))</f>
        <v/>
      </c>
      <c r="K127">
        <f>MIN(K$6,ROUND(AE126*(1+K$5),0))</f>
        <v/>
      </c>
      <c r="L127">
        <f>MIN(L$6,ROUND(AF126*(1+L$5),0))</f>
        <v/>
      </c>
      <c r="M127">
        <f>MAX(0,MIN(ROUND(W126*(1+C$5),0)-C127,$AJ127-0))</f>
        <v/>
      </c>
      <c r="N127">
        <f>MAX(0,MIN(ROUND(X126*(1+D$5),0)-D127,$AJ127-SUM($M127:M127)))</f>
        <v/>
      </c>
      <c r="O127">
        <f>MAX(0,MIN(ROUND(Y126*(1+E$5),0)-E127,$AJ127-SUM($M127:N127)))</f>
        <v/>
      </c>
      <c r="P127">
        <f>MAX(0,MIN(ROUND(Z126*(1+F$5),0)-F127,$AJ127-SUM($M127:O127)))</f>
        <v/>
      </c>
      <c r="Q127">
        <f>MAX(0,MIN(ROUND(AA126*(1+G$5),0)-G127,$AJ127-SUM($M127:P127)))</f>
        <v/>
      </c>
      <c r="R127">
        <f>MAX(0,MIN(ROUND(AB126*(1+H$5),0)-H127,$AJ127-SUM($M127:Q127)))</f>
        <v/>
      </c>
      <c r="S127">
        <f>MAX(0,MIN(ROUND(AC126*(1+I$5),0)-I127,$AJ127-SUM($M127:R127)))</f>
        <v/>
      </c>
      <c r="T127">
        <f>MAX(0,MIN(ROUND(AD126*(1+J$5),0)-J127,$AJ127-SUM($M127:S127)))</f>
        <v/>
      </c>
      <c r="U127">
        <f>MAX(0,MIN(ROUND(AE126*(1+K$5),0)-K127,$AJ127-SUM($M127:T127)))</f>
        <v/>
      </c>
      <c r="V127">
        <f>MAX(0,MIN(ROUND(AF126*(1+L$5),0)-L127,$AJ127-SUM($M127:U127)))</f>
        <v/>
      </c>
      <c r="W127">
        <f>MAX(0,ROUND(W126*(1+C$5),0)-C127-M127)</f>
        <v/>
      </c>
      <c r="X127">
        <f>MAX(0,ROUND(X126*(1+D$5),0)-D127-N127)</f>
        <v/>
      </c>
      <c r="Y127">
        <f>MAX(0,ROUND(Y126*(1+E$5),0)-E127-O127)</f>
        <v/>
      </c>
      <c r="Z127">
        <f>MAX(0,ROUND(Z126*(1+F$5),0)-F127-P127)</f>
        <v/>
      </c>
      <c r="AA127">
        <f>MAX(0,ROUND(AA126*(1+G$5),0)-G127-Q127)</f>
        <v/>
      </c>
      <c r="AB127">
        <f>MAX(0,ROUND(AB126*(1+H$5),0)-H127-R127)</f>
        <v/>
      </c>
      <c r="AC127">
        <f>MAX(0,ROUND(AC126*(1+I$5),0)-I127-S127)</f>
        <v/>
      </c>
      <c r="AD127">
        <f>MAX(0,ROUND(AD126*(1+J$5),0)-J127-T127)</f>
        <v/>
      </c>
      <c r="AE127">
        <f>MAX(0,ROUND(AE126*(1+K$5),0)-K127-U127)</f>
        <v/>
      </c>
      <c r="AF127">
        <f>MAX(0,ROUND(AF126*(1+L$5),0)-L127-V127)</f>
        <v/>
      </c>
      <c r="AG127">
        <f>AH127-(AI126-AI127)</f>
        <v/>
      </c>
      <c r="AH127">
        <f>SUM(C127:V127)</f>
        <v/>
      </c>
      <c r="AI127">
        <f>SUM(W127:AF127)</f>
        <v/>
      </c>
      <c r="AJ127">
        <f>0</f>
        <v/>
      </c>
      <c r="AK127">
        <f>IF(AI126&lt;=0,0,11-SUMPRODUCT(MAX((W126:AF126&gt;0)*(11-(COLUMN(W126:AF126)-COLUMN($V126))))))</f>
        <v/>
      </c>
    </row>
    <row r="128">
      <c r="A128" t="n">
        <v>118</v>
      </c>
      <c r="B128">
        <f>DATE(YEAR(InicioEf),MONTH(InicioEf)+A128-1,1)</f>
        <v/>
      </c>
      <c r="C128">
        <f>MIN(C$6,ROUND(W127*(1+C$5),0))</f>
        <v/>
      </c>
      <c r="D128">
        <f>MIN(D$6,ROUND(X127*(1+D$5),0))</f>
        <v/>
      </c>
      <c r="E128">
        <f>MIN(E$6,ROUND(Y127*(1+E$5),0))</f>
        <v/>
      </c>
      <c r="F128">
        <f>MIN(F$6,ROUND(Z127*(1+F$5),0))</f>
        <v/>
      </c>
      <c r="G128">
        <f>MIN(G$6,ROUND(AA127*(1+G$5),0))</f>
        <v/>
      </c>
      <c r="H128">
        <f>MIN(H$6,ROUND(AB127*(1+H$5),0))</f>
        <v/>
      </c>
      <c r="I128">
        <f>MIN(I$6,ROUND(AC127*(1+I$5),0))</f>
        <v/>
      </c>
      <c r="J128">
        <f>MIN(J$6,ROUND(AD127*(1+J$5),0))</f>
        <v/>
      </c>
      <c r="K128">
        <f>MIN(K$6,ROUND(AE127*(1+K$5),0))</f>
        <v/>
      </c>
      <c r="L128">
        <f>MIN(L$6,ROUND(AF127*(1+L$5),0))</f>
        <v/>
      </c>
      <c r="M128">
        <f>MAX(0,MIN(ROUND(W127*(1+C$5),0)-C128,$AJ128-0))</f>
        <v/>
      </c>
      <c r="N128">
        <f>MAX(0,MIN(ROUND(X127*(1+D$5),0)-D128,$AJ128-SUM($M128:M128)))</f>
        <v/>
      </c>
      <c r="O128">
        <f>MAX(0,MIN(ROUND(Y127*(1+E$5),0)-E128,$AJ128-SUM($M128:N128)))</f>
        <v/>
      </c>
      <c r="P128">
        <f>MAX(0,MIN(ROUND(Z127*(1+F$5),0)-F128,$AJ128-SUM($M128:O128)))</f>
        <v/>
      </c>
      <c r="Q128">
        <f>MAX(0,MIN(ROUND(AA127*(1+G$5),0)-G128,$AJ128-SUM($M128:P128)))</f>
        <v/>
      </c>
      <c r="R128">
        <f>MAX(0,MIN(ROUND(AB127*(1+H$5),0)-H128,$AJ128-SUM($M128:Q128)))</f>
        <v/>
      </c>
      <c r="S128">
        <f>MAX(0,MIN(ROUND(AC127*(1+I$5),0)-I128,$AJ128-SUM($M128:R128)))</f>
        <v/>
      </c>
      <c r="T128">
        <f>MAX(0,MIN(ROUND(AD127*(1+J$5),0)-J128,$AJ128-SUM($M128:S128)))</f>
        <v/>
      </c>
      <c r="U128">
        <f>MAX(0,MIN(ROUND(AE127*(1+K$5),0)-K128,$AJ128-SUM($M128:T128)))</f>
        <v/>
      </c>
      <c r="V128">
        <f>MAX(0,MIN(ROUND(AF127*(1+L$5),0)-L128,$AJ128-SUM($M128:U128)))</f>
        <v/>
      </c>
      <c r="W128">
        <f>MAX(0,ROUND(W127*(1+C$5),0)-C128-M128)</f>
        <v/>
      </c>
      <c r="X128">
        <f>MAX(0,ROUND(X127*(1+D$5),0)-D128-N128)</f>
        <v/>
      </c>
      <c r="Y128">
        <f>MAX(0,ROUND(Y127*(1+E$5),0)-E128-O128)</f>
        <v/>
      </c>
      <c r="Z128">
        <f>MAX(0,ROUND(Z127*(1+F$5),0)-F128-P128)</f>
        <v/>
      </c>
      <c r="AA128">
        <f>MAX(0,ROUND(AA127*(1+G$5),0)-G128-Q128)</f>
        <v/>
      </c>
      <c r="AB128">
        <f>MAX(0,ROUND(AB127*(1+H$5),0)-H128-R128)</f>
        <v/>
      </c>
      <c r="AC128">
        <f>MAX(0,ROUND(AC127*(1+I$5),0)-I128-S128)</f>
        <v/>
      </c>
      <c r="AD128">
        <f>MAX(0,ROUND(AD127*(1+J$5),0)-J128-T128)</f>
        <v/>
      </c>
      <c r="AE128">
        <f>MAX(0,ROUND(AE127*(1+K$5),0)-K128-U128)</f>
        <v/>
      </c>
      <c r="AF128">
        <f>MAX(0,ROUND(AF127*(1+L$5),0)-L128-V128)</f>
        <v/>
      </c>
      <c r="AG128">
        <f>AH128-(AI127-AI128)</f>
        <v/>
      </c>
      <c r="AH128">
        <f>SUM(C128:V128)</f>
        <v/>
      </c>
      <c r="AI128">
        <f>SUM(W128:AF128)</f>
        <v/>
      </c>
      <c r="AJ128">
        <f>0</f>
        <v/>
      </c>
      <c r="AK128">
        <f>IF(AI127&lt;=0,0,11-SUMPRODUCT(MAX((W127:AF127&gt;0)*(11-(COLUMN(W127:AF127)-COLUMN($V127))))))</f>
        <v/>
      </c>
    </row>
    <row r="129">
      <c r="A129" t="n">
        <v>119</v>
      </c>
      <c r="B129">
        <f>DATE(YEAR(InicioEf),MONTH(InicioEf)+A129-1,1)</f>
        <v/>
      </c>
      <c r="C129">
        <f>MIN(C$6,ROUND(W128*(1+C$5),0))</f>
        <v/>
      </c>
      <c r="D129">
        <f>MIN(D$6,ROUND(X128*(1+D$5),0))</f>
        <v/>
      </c>
      <c r="E129">
        <f>MIN(E$6,ROUND(Y128*(1+E$5),0))</f>
        <v/>
      </c>
      <c r="F129">
        <f>MIN(F$6,ROUND(Z128*(1+F$5),0))</f>
        <v/>
      </c>
      <c r="G129">
        <f>MIN(G$6,ROUND(AA128*(1+G$5),0))</f>
        <v/>
      </c>
      <c r="H129">
        <f>MIN(H$6,ROUND(AB128*(1+H$5),0))</f>
        <v/>
      </c>
      <c r="I129">
        <f>MIN(I$6,ROUND(AC128*(1+I$5),0))</f>
        <v/>
      </c>
      <c r="J129">
        <f>MIN(J$6,ROUND(AD128*(1+J$5),0))</f>
        <v/>
      </c>
      <c r="K129">
        <f>MIN(K$6,ROUND(AE128*(1+K$5),0))</f>
        <v/>
      </c>
      <c r="L129">
        <f>MIN(L$6,ROUND(AF128*(1+L$5),0))</f>
        <v/>
      </c>
      <c r="M129">
        <f>MAX(0,MIN(ROUND(W128*(1+C$5),0)-C129,$AJ129-0))</f>
        <v/>
      </c>
      <c r="N129">
        <f>MAX(0,MIN(ROUND(X128*(1+D$5),0)-D129,$AJ129-SUM($M129:M129)))</f>
        <v/>
      </c>
      <c r="O129">
        <f>MAX(0,MIN(ROUND(Y128*(1+E$5),0)-E129,$AJ129-SUM($M129:N129)))</f>
        <v/>
      </c>
      <c r="P129">
        <f>MAX(0,MIN(ROUND(Z128*(1+F$5),0)-F129,$AJ129-SUM($M129:O129)))</f>
        <v/>
      </c>
      <c r="Q129">
        <f>MAX(0,MIN(ROUND(AA128*(1+G$5),0)-G129,$AJ129-SUM($M129:P129)))</f>
        <v/>
      </c>
      <c r="R129">
        <f>MAX(0,MIN(ROUND(AB128*(1+H$5),0)-H129,$AJ129-SUM($M129:Q129)))</f>
        <v/>
      </c>
      <c r="S129">
        <f>MAX(0,MIN(ROUND(AC128*(1+I$5),0)-I129,$AJ129-SUM($M129:R129)))</f>
        <v/>
      </c>
      <c r="T129">
        <f>MAX(0,MIN(ROUND(AD128*(1+J$5),0)-J129,$AJ129-SUM($M129:S129)))</f>
        <v/>
      </c>
      <c r="U129">
        <f>MAX(0,MIN(ROUND(AE128*(1+K$5),0)-K129,$AJ129-SUM($M129:T129)))</f>
        <v/>
      </c>
      <c r="V129">
        <f>MAX(0,MIN(ROUND(AF128*(1+L$5),0)-L129,$AJ129-SUM($M129:U129)))</f>
        <v/>
      </c>
      <c r="W129">
        <f>MAX(0,ROUND(W128*(1+C$5),0)-C129-M129)</f>
        <v/>
      </c>
      <c r="X129">
        <f>MAX(0,ROUND(X128*(1+D$5),0)-D129-N129)</f>
        <v/>
      </c>
      <c r="Y129">
        <f>MAX(0,ROUND(Y128*(1+E$5),0)-E129-O129)</f>
        <v/>
      </c>
      <c r="Z129">
        <f>MAX(0,ROUND(Z128*(1+F$5),0)-F129-P129)</f>
        <v/>
      </c>
      <c r="AA129">
        <f>MAX(0,ROUND(AA128*(1+G$5),0)-G129-Q129)</f>
        <v/>
      </c>
      <c r="AB129">
        <f>MAX(0,ROUND(AB128*(1+H$5),0)-H129-R129)</f>
        <v/>
      </c>
      <c r="AC129">
        <f>MAX(0,ROUND(AC128*(1+I$5),0)-I129-S129)</f>
        <v/>
      </c>
      <c r="AD129">
        <f>MAX(0,ROUND(AD128*(1+J$5),0)-J129-T129)</f>
        <v/>
      </c>
      <c r="AE129">
        <f>MAX(0,ROUND(AE128*(1+K$5),0)-K129-U129)</f>
        <v/>
      </c>
      <c r="AF129">
        <f>MAX(0,ROUND(AF128*(1+L$5),0)-L129-V129)</f>
        <v/>
      </c>
      <c r="AG129">
        <f>AH129-(AI128-AI129)</f>
        <v/>
      </c>
      <c r="AH129">
        <f>SUM(C129:V129)</f>
        <v/>
      </c>
      <c r="AI129">
        <f>SUM(W129:AF129)</f>
        <v/>
      </c>
      <c r="AJ129">
        <f>0</f>
        <v/>
      </c>
      <c r="AK129">
        <f>IF(AI128&lt;=0,0,11-SUMPRODUCT(MAX((W128:AF128&gt;0)*(11-(COLUMN(W128:AF128)-COLUMN($V128))))))</f>
        <v/>
      </c>
    </row>
    <row r="130">
      <c r="A130" t="n">
        <v>120</v>
      </c>
      <c r="B130">
        <f>DATE(YEAR(InicioEf),MONTH(InicioEf)+A130-1,1)</f>
        <v/>
      </c>
      <c r="C130">
        <f>MIN(C$6,ROUND(W129*(1+C$5),0))</f>
        <v/>
      </c>
      <c r="D130">
        <f>MIN(D$6,ROUND(X129*(1+D$5),0))</f>
        <v/>
      </c>
      <c r="E130">
        <f>MIN(E$6,ROUND(Y129*(1+E$5),0))</f>
        <v/>
      </c>
      <c r="F130">
        <f>MIN(F$6,ROUND(Z129*(1+F$5),0))</f>
        <v/>
      </c>
      <c r="G130">
        <f>MIN(G$6,ROUND(AA129*(1+G$5),0))</f>
        <v/>
      </c>
      <c r="H130">
        <f>MIN(H$6,ROUND(AB129*(1+H$5),0))</f>
        <v/>
      </c>
      <c r="I130">
        <f>MIN(I$6,ROUND(AC129*(1+I$5),0))</f>
        <v/>
      </c>
      <c r="J130">
        <f>MIN(J$6,ROUND(AD129*(1+J$5),0))</f>
        <v/>
      </c>
      <c r="K130">
        <f>MIN(K$6,ROUND(AE129*(1+K$5),0))</f>
        <v/>
      </c>
      <c r="L130">
        <f>MIN(L$6,ROUND(AF129*(1+L$5),0))</f>
        <v/>
      </c>
      <c r="M130">
        <f>MAX(0,MIN(ROUND(W129*(1+C$5),0)-C130,$AJ130-0))</f>
        <v/>
      </c>
      <c r="N130">
        <f>MAX(0,MIN(ROUND(X129*(1+D$5),0)-D130,$AJ130-SUM($M130:M130)))</f>
        <v/>
      </c>
      <c r="O130">
        <f>MAX(0,MIN(ROUND(Y129*(1+E$5),0)-E130,$AJ130-SUM($M130:N130)))</f>
        <v/>
      </c>
      <c r="P130">
        <f>MAX(0,MIN(ROUND(Z129*(1+F$5),0)-F130,$AJ130-SUM($M130:O130)))</f>
        <v/>
      </c>
      <c r="Q130">
        <f>MAX(0,MIN(ROUND(AA129*(1+G$5),0)-G130,$AJ130-SUM($M130:P130)))</f>
        <v/>
      </c>
      <c r="R130">
        <f>MAX(0,MIN(ROUND(AB129*(1+H$5),0)-H130,$AJ130-SUM($M130:Q130)))</f>
        <v/>
      </c>
      <c r="S130">
        <f>MAX(0,MIN(ROUND(AC129*(1+I$5),0)-I130,$AJ130-SUM($M130:R130)))</f>
        <v/>
      </c>
      <c r="T130">
        <f>MAX(0,MIN(ROUND(AD129*(1+J$5),0)-J130,$AJ130-SUM($M130:S130)))</f>
        <v/>
      </c>
      <c r="U130">
        <f>MAX(0,MIN(ROUND(AE129*(1+K$5),0)-K130,$AJ130-SUM($M130:T130)))</f>
        <v/>
      </c>
      <c r="V130">
        <f>MAX(0,MIN(ROUND(AF129*(1+L$5),0)-L130,$AJ130-SUM($M130:U130)))</f>
        <v/>
      </c>
      <c r="W130">
        <f>MAX(0,ROUND(W129*(1+C$5),0)-C130-M130)</f>
        <v/>
      </c>
      <c r="X130">
        <f>MAX(0,ROUND(X129*(1+D$5),0)-D130-N130)</f>
        <v/>
      </c>
      <c r="Y130">
        <f>MAX(0,ROUND(Y129*(1+E$5),0)-E130-O130)</f>
        <v/>
      </c>
      <c r="Z130">
        <f>MAX(0,ROUND(Z129*(1+F$5),0)-F130-P130)</f>
        <v/>
      </c>
      <c r="AA130">
        <f>MAX(0,ROUND(AA129*(1+G$5),0)-G130-Q130)</f>
        <v/>
      </c>
      <c r="AB130">
        <f>MAX(0,ROUND(AB129*(1+H$5),0)-H130-R130)</f>
        <v/>
      </c>
      <c r="AC130">
        <f>MAX(0,ROUND(AC129*(1+I$5),0)-I130-S130)</f>
        <v/>
      </c>
      <c r="AD130">
        <f>MAX(0,ROUND(AD129*(1+J$5),0)-J130-T130)</f>
        <v/>
      </c>
      <c r="AE130">
        <f>MAX(0,ROUND(AE129*(1+K$5),0)-K130-U130)</f>
        <v/>
      </c>
      <c r="AF130">
        <f>MAX(0,ROUND(AF129*(1+L$5),0)-L130-V130)</f>
        <v/>
      </c>
      <c r="AG130">
        <f>AH130-(AI129-AI130)</f>
        <v/>
      </c>
      <c r="AH130">
        <f>SUM(C130:V130)</f>
        <v/>
      </c>
      <c r="AI130">
        <f>SUM(W130:AF130)</f>
        <v/>
      </c>
      <c r="AJ130">
        <f>0</f>
        <v/>
      </c>
      <c r="AK130">
        <f>IF(AI129&lt;=0,0,11-SUMPRODUCT(MAX((W129:AF129&gt;0)*(11-(COLUMN(W129:AF129)-COLUMN($V129))))))</f>
        <v/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MIX SHOP DIGITAL</dc:creator>
  <dc:title xmlns:dc="http://purl.org/dc/elements/1.1/">Planificador para Salir de Deudas – Mix Shop Digital</dc:title>
  <dc:subject xmlns:dc="http://purl.org/dc/elements/1.1/">Versión gratuita</dc:subject>
  <dcterms:created xmlns:dcterms="http://purl.org/dc/terms/" xmlns:xsi="http://www.w3.org/2001/XMLSchema-instance" xsi:type="dcterms:W3CDTF">2026-10-30T18:04:53Z</dcterms:created>
  <dcterms:modified xmlns:dcterms="http://purl.org/dc/terms/" xmlns:xsi="http://www.w3.org/2001/XMLSchema-instance" xsi:type="dcterms:W3CDTF">2026-10-30T18:04:53Z</dcterms:modified>
</cp:coreProperties>
</file>