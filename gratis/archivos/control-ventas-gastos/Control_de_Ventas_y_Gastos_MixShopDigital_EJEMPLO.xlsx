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89C1" lockStructure="1"/>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MOVIMIENTOS" sheetId="2" state="visible" r:id="rId2"/>
    <sheet xmlns:r="http://schemas.openxmlformats.org/officeDocument/2006/relationships" name="AJUSTES" sheetId="3" state="visible" r:id="rId3"/>
    <sheet xmlns:r="http://schemas.openxmlformats.org/officeDocument/2006/relationships" name="AYUDA" sheetId="4" state="visible" r:id="rId4"/>
  </sheets>
  <definedNames>
    <definedName name="NombreNegocio">'AJUSTES'!$C$7</definedName>
    <definedName name="AnioCtl">'AJUSTES'!$C$8</definedName>
    <definedName name="Moneda">'AJUSTES'!$C$9</definedName>
    <definedName name="MetaMes">'AJUSTES'!$C$10</definedName>
    <definedName name="CatIng">'AJUSTES'!$B$15:$B$20</definedName>
    <definedName name="CatGas">'AJUSTES'!$C$15:$C$24</definedName>
    <definedName name="MesN">'PANEL'!$P$6</definedName>
    <definedName name="FIni">'PANEL'!$P$7</definedName>
    <definedName name="FFin">'PANEL'!$P$8</definedName>
    <definedName name="_xlnm.Print_Area" localSheetId="0">'PANEL'!$A$1:$M$67</definedName>
    <definedName name="_xlnm._FilterDatabase" localSheetId="1" hidden="1">'MOVIMIENTOS'!$B$6:$F$406</definedName>
    <definedName name="_xlnm.Print_Titles" localSheetId="1">'MOVIMIENTOS'!$6:$6</definedName>
    <definedName name="_xlnm.Print_Area" localSheetId="1">'MOVIMIENTOS'!$A$1:$F$410</definedName>
    <definedName name="_xlnm.Print_Area" localSheetId="2">'AJUSTES'!$A$1:$D$30</definedName>
    <definedName name="_xlnm.Print_Area" localSheetId="3">'AYUDA'!$A$1:$H$35</definedName>
  </definedNames>
  <calcPr calcId="124519" fullCalcOnLoad="1"/>
</workbook>
</file>

<file path=xl/styles.xml><?xml version="1.0" encoding="utf-8"?>
<styleSheet xmlns="http://schemas.openxmlformats.org/spreadsheetml/2006/main">
  <numFmts count="5">
    <numFmt numFmtId="164" formatCode="dd/mm/yyyy"/>
    <numFmt numFmtId="165" formatCode="#,##0;[Red]-#,##0;&quot;-&quot;"/>
    <numFmt numFmtId="166" formatCode="0.0%;[Red]-0.0%;&quot;-&quot;"/>
    <numFmt numFmtId="167" formatCode="0%;-0%;0%"/>
    <numFmt numFmtId="168" formatCode="0.0%;-0.0%;&quot;-&quot;"/>
  </numFmts>
  <fonts count="27">
    <font>
      <name val="Calibri"/>
      <family val="2"/>
      <color theme="1"/>
      <sz val="11"/>
      <scheme val="minor"/>
    </font>
    <font>
      <name val="Arial"/>
      <b val="1"/>
      <color rgb="00FFFFFF"/>
      <sz val="16"/>
    </font>
    <font>
      <name val="Arial"/>
      <b val="1"/>
      <color rgb="00FFE0A3"/>
      <sz val="13"/>
    </font>
    <font>
      <name val="Arial"/>
      <i val="1"/>
      <color rgb="00FFFFFF"/>
      <sz val="9"/>
    </font>
    <font>
      <name val="Arial"/>
      <color rgb="00FFFFFF"/>
      <sz val="9"/>
    </font>
    <font>
      <name val="Arial"/>
      <color rgb="00000000"/>
      <sz val="10"/>
    </font>
    <font>
      <name val="Arial"/>
      <b val="1"/>
      <color rgb="002A9D8F"/>
      <sz val="9"/>
      <u val="single"/>
    </font>
    <font>
      <name val="Arial"/>
      <i val="1"/>
      <color rgb="005C6B73"/>
      <sz val="9"/>
    </font>
    <font>
      <name val="Arial"/>
      <b val="1"/>
      <color rgb="00FFFFFF"/>
      <sz val="11"/>
    </font>
    <font>
      <name val="Arial"/>
      <b val="1"/>
      <color rgb="00000000"/>
      <sz val="10"/>
    </font>
    <font>
      <name val="Arial"/>
      <b val="1"/>
      <color rgb="000F4C5C"/>
      <sz val="10"/>
    </font>
    <font>
      <name val="Arial"/>
      <b val="1"/>
      <color rgb="000F4C5C"/>
      <sz val="9"/>
    </font>
    <font>
      <name val="Arial"/>
      <color rgb="005C6B73"/>
      <sz val="8"/>
    </font>
    <font>
      <name val="Arial"/>
      <b val="1"/>
      <color rgb="00FFFFFF"/>
      <sz val="10"/>
    </font>
    <font>
      <name val="Arial"/>
      <color rgb="00000000"/>
      <sz val="9"/>
    </font>
    <font>
      <name val="Arial"/>
      <b val="1"/>
      <color rgb="005C6B73"/>
      <sz val="8"/>
    </font>
    <font>
      <name val="Arial"/>
      <b val="1"/>
      <color rgb="001B7F72"/>
      <sz val="20"/>
    </font>
    <font>
      <name val="Arial"/>
      <b val="1"/>
      <color rgb="00C8452B"/>
      <sz val="20"/>
    </font>
    <font>
      <name val="Arial"/>
      <b val="1"/>
      <color rgb="000F4C5C"/>
      <sz val="20"/>
    </font>
    <font>
      <name val="Arial"/>
      <b val="1"/>
      <color rgb="00E9A23B"/>
      <sz val="20"/>
    </font>
    <font>
      <name val="Arial"/>
      <b val="1"/>
      <color rgb="00000000"/>
      <sz val="11"/>
    </font>
    <font>
      <name val="Arial"/>
      <color rgb="005C6B73"/>
      <sz val="10"/>
    </font>
    <font>
      <name val="Arial"/>
      <b val="1"/>
      <color rgb="001B7F72"/>
      <sz val="16"/>
    </font>
    <font>
      <name val="Arial"/>
      <b val="1"/>
      <color rgb="00C8452B"/>
      <sz val="11"/>
    </font>
    <font>
      <name val="Arial"/>
      <b val="1"/>
      <color rgb="000F4C5C"/>
      <sz val="16"/>
    </font>
    <font>
      <name val="Arial"/>
      <b val="1"/>
      <color rgb="000F4C5C"/>
      <sz val="14"/>
    </font>
    <font>
      <name val="Arial"/>
      <b val="1"/>
      <color rgb="002A9D8F"/>
      <sz val="11"/>
      <u val="single"/>
    </font>
  </fonts>
  <fills count="12">
    <fill>
      <patternFill/>
    </fill>
    <fill>
      <patternFill patternType="gray125"/>
    </fill>
    <fill>
      <patternFill patternType="solid">
        <fgColor rgb="000F4C5C"/>
        <bgColor rgb="000F4C5C"/>
      </patternFill>
    </fill>
    <fill>
      <patternFill patternType="solid">
        <fgColor rgb="002A9D8F"/>
        <bgColor rgb="002A9D8F"/>
      </patternFill>
    </fill>
    <fill>
      <patternFill patternType="solid">
        <fgColor rgb="00E9A23B"/>
        <bgColor rgb="00E9A23B"/>
      </patternFill>
    </fill>
    <fill>
      <patternFill patternType="solid">
        <fgColor rgb="00FFF3CC"/>
        <bgColor rgb="00FFF3CC"/>
      </patternFill>
    </fill>
    <fill>
      <patternFill patternType="solid">
        <fgColor rgb="00DCEBE8"/>
        <bgColor rgb="00DCEBE8"/>
      </patternFill>
    </fill>
    <fill>
      <patternFill patternType="solid">
        <fgColor rgb="00EEF3F2"/>
        <bgColor rgb="00EEF3F2"/>
      </patternFill>
    </fill>
    <fill>
      <patternFill patternType="solid">
        <fgColor rgb="00F2F8F7"/>
        <bgColor rgb="00F2F8F7"/>
      </patternFill>
    </fill>
    <fill>
      <patternFill patternType="solid">
        <fgColor rgb="00FFFFFF"/>
        <bgColor rgb="00FFFFFF"/>
      </patternFill>
    </fill>
    <fill>
      <patternFill patternType="solid">
        <fgColor rgb="00E76F51"/>
        <bgColor rgb="00E76F51"/>
      </patternFill>
    </fill>
    <fill>
      <patternFill patternType="solid">
        <fgColor rgb="00FBE3DA"/>
        <bgColor rgb="00FBE3DA"/>
      </patternFill>
    </fill>
  </fills>
  <borders count="6">
    <border>
      <left/>
      <right/>
      <top/>
      <bottom/>
      <diagonal/>
    </border>
    <border>
      <left style="thin">
        <color rgb="00C9D3EA"/>
      </left>
      <right style="thin">
        <color rgb="00C9D3EA"/>
      </right>
      <top style="thin">
        <color rgb="00C9D3EA"/>
      </top>
      <bottom style="thin">
        <color rgb="00C9D3EA"/>
      </bottom>
    </border>
    <border>
      <left style="thick">
        <color rgb="00E9A23B"/>
      </left>
    </border>
    <border>
      <left style="thick">
        <color rgb="002A9D8F"/>
      </left>
    </border>
    <border>
      <left style="thick">
        <color rgb="00E76F51"/>
      </left>
    </border>
    <border>
      <left style="thick">
        <color rgb="000F4C5C"/>
      </left>
    </border>
  </borders>
  <cellStyleXfs count="1">
    <xf numFmtId="0" fontId="0" fillId="0" borderId="0"/>
  </cellStyleXfs>
  <cellXfs count="69">
    <xf numFmtId="0" fontId="0" fillId="0" borderId="0" pivotButton="0" quotePrefix="0" xfId="0"/>
    <xf numFmtId="0" fontId="1" fillId="2" borderId="0" applyAlignment="1" pivotButton="0" quotePrefix="0" xfId="0">
      <alignment horizontal="left" vertical="center"/>
    </xf>
    <xf numFmtId="0" fontId="2" fillId="2" borderId="0" applyAlignment="1" pivotButton="0" quotePrefix="0" xfId="0">
      <alignment horizontal="right" vertical="center"/>
    </xf>
    <xf numFmtId="0" fontId="3" fillId="3" borderId="0" applyAlignment="1" pivotButton="0" quotePrefix="0" xfId="0">
      <alignment horizontal="left" vertical="center"/>
    </xf>
    <xf numFmtId="0" fontId="4" fillId="3" borderId="0" applyAlignment="1" pivotButton="0" quotePrefix="0" xfId="0">
      <alignment horizontal="right" vertical="center"/>
    </xf>
    <xf numFmtId="0" fontId="5" fillId="4" borderId="0" applyAlignment="1" pivotButton="0" quotePrefix="0" xfId="0">
      <alignment vertical="center"/>
    </xf>
    <xf numFmtId="0" fontId="7" fillId="0" borderId="0" applyAlignment="1" pivotButton="0" quotePrefix="0" xfId="0">
      <alignment horizontal="left" vertical="center"/>
    </xf>
    <xf numFmtId="0" fontId="13" fillId="4" borderId="1" applyAlignment="1" pivotButton="0" quotePrefix="0" xfId="0">
      <alignment horizontal="center" vertical="center"/>
    </xf>
    <xf numFmtId="0" fontId="13" fillId="2" borderId="1" applyAlignment="1" pivotButton="0" quotePrefix="0" xfId="0">
      <alignment horizontal="center" vertical="center"/>
    </xf>
    <xf numFmtId="0" fontId="10" fillId="0" borderId="0" applyAlignment="1" pivotButton="0" quotePrefix="0" xfId="0">
      <alignment horizontal="right" vertical="center"/>
    </xf>
    <xf numFmtId="0" fontId="9" fillId="5" borderId="1" applyAlignment="1" applyProtection="1" pivotButton="0" quotePrefix="0" xfId="0">
      <alignment horizontal="center" vertical="center"/>
      <protection locked="0" hidden="0"/>
    </xf>
    <xf numFmtId="0" fontId="15" fillId="8" borderId="3" applyAlignment="1" pivotButton="0" quotePrefix="0" xfId="0">
      <alignment horizontal="center" vertical="center"/>
    </xf>
    <xf numFmtId="0" fontId="15" fillId="8" borderId="4" applyAlignment="1" pivotButton="0" quotePrefix="0" xfId="0">
      <alignment horizontal="center" vertical="center"/>
    </xf>
    <xf numFmtId="0" fontId="15" fillId="8" borderId="5" applyAlignment="1" pivotButton="0" quotePrefix="0" xfId="0">
      <alignment horizontal="center" vertical="center"/>
    </xf>
    <xf numFmtId="0" fontId="15" fillId="8" borderId="2" applyAlignment="1" pivotButton="0" quotePrefix="0" xfId="0">
      <alignment horizontal="center" vertical="center"/>
    </xf>
    <xf numFmtId="165" fontId="16" fillId="8" borderId="3" applyAlignment="1" pivotButton="0" quotePrefix="0" xfId="0">
      <alignment horizontal="center" vertical="center"/>
    </xf>
    <xf numFmtId="165" fontId="17" fillId="8" borderId="4" applyAlignment="1" pivotButton="0" quotePrefix="0" xfId="0">
      <alignment horizontal="center" vertical="center"/>
    </xf>
    <xf numFmtId="165" fontId="18" fillId="8" borderId="5" applyAlignment="1" pivotButton="0" quotePrefix="0" xfId="0">
      <alignment horizontal="center" vertical="center"/>
    </xf>
    <xf numFmtId="166" fontId="19" fillId="8" borderId="2" applyAlignment="1" pivotButton="0" quotePrefix="0" xfId="0">
      <alignment horizontal="center" vertical="center"/>
    </xf>
    <xf numFmtId="0" fontId="12" fillId="8" borderId="3" applyAlignment="1" pivotButton="0" quotePrefix="0" xfId="0">
      <alignment horizontal="center" vertical="center"/>
    </xf>
    <xf numFmtId="0" fontId="12" fillId="8" borderId="4" applyAlignment="1" pivotButton="0" quotePrefix="0" xfId="0">
      <alignment horizontal="center" vertical="center"/>
    </xf>
    <xf numFmtId="0" fontId="12" fillId="8" borderId="5" applyAlignment="1" pivotButton="0" quotePrefix="0" xfId="0">
      <alignment horizontal="center" vertical="center"/>
    </xf>
    <xf numFmtId="0" fontId="12" fillId="8" borderId="2" applyAlignment="1" pivotButton="0" quotePrefix="0" xfId="0">
      <alignment horizontal="center" vertical="center"/>
    </xf>
    <xf numFmtId="0" fontId="20" fillId="0" borderId="1" applyAlignment="1" pivotButton="0" quotePrefix="0" xfId="0">
      <alignment horizontal="center" vertical="center"/>
    </xf>
    <xf numFmtId="165" fontId="9" fillId="7" borderId="1" applyAlignment="1" pivotButton="0" quotePrefix="0" xfId="0">
      <alignment horizontal="center" vertical="center"/>
    </xf>
    <xf numFmtId="167" fontId="10" fillId="9" borderId="1" applyAlignment="1" pivotButton="0" quotePrefix="0" xfId="0">
      <alignment horizontal="center" vertical="center"/>
    </xf>
    <xf numFmtId="0" fontId="8" fillId="2" borderId="0" applyAlignment="1" pivotButton="0" quotePrefix="0" xfId="0">
      <alignment horizontal="left" vertical="center"/>
    </xf>
    <xf numFmtId="0" fontId="10" fillId="6" borderId="1" applyAlignment="1" pivotButton="0" quotePrefix="0" xfId="0">
      <alignment horizontal="center" vertical="center"/>
    </xf>
    <xf numFmtId="0" fontId="9" fillId="9" borderId="1" applyAlignment="1" pivotButton="0" quotePrefix="0" xfId="0">
      <alignment horizontal="left" vertical="center"/>
    </xf>
    <xf numFmtId="165" fontId="5" fillId="9" borderId="1" applyAlignment="1" pivotButton="0" quotePrefix="0" xfId="0">
      <alignment horizontal="right" vertical="center"/>
    </xf>
    <xf numFmtId="165" fontId="9" fillId="9" borderId="1" applyAlignment="1" pivotButton="0" quotePrefix="0" xfId="0">
      <alignment horizontal="right" vertical="center"/>
    </xf>
    <xf numFmtId="165" fontId="21" fillId="9" borderId="1" applyAlignment="1" pivotButton="0" quotePrefix="0" xfId="0">
      <alignment horizontal="right" vertical="center"/>
    </xf>
    <xf numFmtId="0" fontId="9" fillId="8" borderId="1" applyAlignment="1" pivotButton="0" quotePrefix="0" xfId="0">
      <alignment horizontal="left" vertical="center"/>
    </xf>
    <xf numFmtId="165" fontId="5" fillId="8" borderId="1" applyAlignment="1" pivotButton="0" quotePrefix="0" xfId="0">
      <alignment horizontal="right" vertical="center"/>
    </xf>
    <xf numFmtId="165" fontId="9" fillId="8" borderId="1" applyAlignment="1" pivotButton="0" quotePrefix="0" xfId="0">
      <alignment horizontal="right" vertical="center"/>
    </xf>
    <xf numFmtId="165" fontId="21" fillId="8" borderId="1" applyAlignment="1" pivotButton="0" quotePrefix="0" xfId="0">
      <alignment horizontal="right" vertical="center"/>
    </xf>
    <xf numFmtId="0" fontId="13" fillId="2" borderId="1" applyAlignment="1" pivotButton="0" quotePrefix="0" xfId="0">
      <alignment horizontal="left" vertical="center"/>
    </xf>
    <xf numFmtId="165" fontId="9" fillId="6" borderId="1" applyAlignment="1" pivotButton="0" quotePrefix="0" xfId="0">
      <alignment horizontal="right" vertical="center"/>
    </xf>
    <xf numFmtId="0" fontId="8" fillId="10" borderId="0" applyAlignment="1" pivotButton="0" quotePrefix="0" xfId="0">
      <alignment horizontal="left" vertical="center"/>
    </xf>
    <xf numFmtId="0" fontId="14" fillId="9" borderId="1" applyAlignment="1" pivotButton="0" quotePrefix="0" xfId="0">
      <alignment vertical="center"/>
    </xf>
    <xf numFmtId="165" fontId="14" fillId="9" borderId="1" applyAlignment="1" pivotButton="0" quotePrefix="0" xfId="0">
      <alignment horizontal="right" vertical="center"/>
    </xf>
    <xf numFmtId="168" fontId="14" fillId="9" borderId="1" applyAlignment="1" pivotButton="0" quotePrefix="0" xfId="0">
      <alignment horizontal="right" vertical="center"/>
    </xf>
    <xf numFmtId="0" fontId="7" fillId="9" borderId="1" applyAlignment="1" pivotButton="0" quotePrefix="0" xfId="0">
      <alignment vertical="center"/>
    </xf>
    <xf numFmtId="0" fontId="13" fillId="10" borderId="1" applyAlignment="1" pivotButton="0" quotePrefix="0" xfId="0">
      <alignment vertical="center"/>
    </xf>
    <xf numFmtId="165" fontId="9" fillId="11" borderId="1" applyAlignment="1" pivotButton="0" quotePrefix="0" xfId="0">
      <alignment horizontal="right" vertical="center"/>
    </xf>
    <xf numFmtId="9" fontId="9" fillId="11" borderId="1" applyAlignment="1" pivotButton="0" quotePrefix="0" xfId="0">
      <alignment horizontal="right" vertical="center"/>
    </xf>
    <xf numFmtId="0" fontId="8" fillId="3" borderId="0" applyAlignment="1" pivotButton="0" quotePrefix="0" xfId="0">
      <alignment horizontal="left" vertical="center"/>
    </xf>
    <xf numFmtId="0" fontId="22" fillId="8" borderId="2" applyAlignment="1" pivotButton="0" quotePrefix="0" xfId="0">
      <alignment horizontal="center" vertical="center"/>
    </xf>
    <xf numFmtId="0" fontId="23" fillId="8" borderId="2" applyAlignment="1" pivotButton="0" quotePrefix="0" xfId="0">
      <alignment horizontal="center" vertical="center"/>
    </xf>
    <xf numFmtId="165" fontId="24" fillId="8" borderId="2" applyAlignment="1" pivotButton="0" quotePrefix="0" xfId="0">
      <alignment horizontal="center" vertical="center"/>
    </xf>
    <xf numFmtId="165" fontId="25" fillId="8" borderId="2" applyAlignment="1" pivotButton="0" quotePrefix="0" xfId="0">
      <alignment horizontal="center" vertical="center"/>
    </xf>
    <xf numFmtId="0" fontId="7" fillId="0" borderId="0" applyAlignment="1" pivotButton="0" quotePrefix="0" xfId="0">
      <alignment horizontal="left" vertical="center" wrapText="1"/>
    </xf>
    <xf numFmtId="0" fontId="5" fillId="2"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6" fillId="0" borderId="0" applyAlignment="1" pivotButton="0" quotePrefix="0" xfId="0">
      <alignment horizontal="left" vertical="center"/>
    </xf>
    <xf numFmtId="0" fontId="11" fillId="0" borderId="0" applyAlignment="1" pivotButton="0" quotePrefix="0" xfId="0">
      <alignment horizontal="left" vertical="center"/>
    </xf>
    <xf numFmtId="164" fontId="14" fillId="5" borderId="1" applyAlignment="1" applyProtection="1" pivotButton="0" quotePrefix="0" xfId="0">
      <alignment horizontal="center" vertical="center"/>
      <protection locked="0" hidden="0"/>
    </xf>
    <xf numFmtId="0" fontId="14" fillId="5" borderId="1" applyAlignment="1" applyProtection="1" pivotButton="0" quotePrefix="0" xfId="0">
      <alignment horizontal="center" vertical="center"/>
      <protection locked="0" hidden="0"/>
    </xf>
    <xf numFmtId="0" fontId="14" fillId="5" borderId="1" applyAlignment="1" applyProtection="1" pivotButton="0" quotePrefix="0" xfId="0">
      <alignment horizontal="left" vertical="center"/>
      <protection locked="0" hidden="0"/>
    </xf>
    <xf numFmtId="3" fontId="14" fillId="5" borderId="1" applyAlignment="1" applyProtection="1" pivotButton="0" quotePrefix="0" xfId="0">
      <alignment horizontal="right" vertical="center"/>
      <protection locked="0" hidden="0"/>
    </xf>
    <xf numFmtId="0" fontId="9" fillId="0" borderId="0" applyAlignment="1" pivotButton="0" quotePrefix="0" xfId="0">
      <alignment horizontal="left" vertical="center"/>
    </xf>
    <xf numFmtId="0" fontId="5" fillId="5" borderId="1" applyAlignment="1" applyProtection="1" pivotButton="0" quotePrefix="0" xfId="0">
      <alignment horizontal="left" vertical="center"/>
      <protection locked="0" hidden="0"/>
    </xf>
    <xf numFmtId="1" fontId="5" fillId="5" borderId="1" applyAlignment="1" applyProtection="1" pivotButton="0" quotePrefix="0" xfId="0">
      <alignment horizontal="right" vertical="center"/>
      <protection locked="0" hidden="0"/>
    </xf>
    <xf numFmtId="3" fontId="5" fillId="5" borderId="1" applyAlignment="1" applyProtection="1" pivotButton="0" quotePrefix="0" xfId="0">
      <alignment horizontal="right" vertical="center"/>
      <protection locked="0" hidden="0"/>
    </xf>
    <xf numFmtId="0" fontId="5" fillId="7" borderId="1" applyAlignment="1" pivotButton="0" quotePrefix="0" xfId="0">
      <alignment vertical="center"/>
    </xf>
    <xf numFmtId="0" fontId="5" fillId="0" borderId="0" applyAlignment="1" pivotButton="0" quotePrefix="0" xfId="0">
      <alignment horizontal="left" vertical="top" wrapText="1"/>
    </xf>
    <xf numFmtId="0" fontId="8" fillId="4" borderId="0" applyAlignment="1" pivotButton="0" quotePrefix="0" xfId="0">
      <alignment horizontal="left" vertical="center"/>
    </xf>
    <xf numFmtId="0" fontId="26" fillId="0" borderId="0" applyAlignment="1" pivotButton="0" quotePrefix="0" xfId="0">
      <alignment horizontal="left" vertical="center"/>
    </xf>
  </cellXfs>
  <cellStyles count="1">
    <cellStyle name="Normal" xfId="0" builtinId="0" hidden="0"/>
  </cellStyles>
  <dxfs count="7">
    <dxf>
      <font>
        <b val="1"/>
        <color rgb="00B00020"/>
      </font>
    </dxf>
    <dxf>
      <font>
        <b val="1"/>
        <color rgb="00B00020"/>
      </font>
      <fill>
        <patternFill patternType="solid">
          <fgColor rgb="00FBD5D5"/>
          <bgColor rgb="00FBD5D5"/>
        </patternFill>
      </fill>
    </dxf>
    <dxf>
      <font>
        <b val="1"/>
        <color rgb="009A4A00"/>
      </font>
      <fill>
        <patternFill patternType="solid">
          <fgColor rgb="00FFE3CF"/>
          <bgColor rgb="00FFE3CF"/>
        </patternFill>
      </fill>
    </dxf>
    <dxf>
      <font>
        <b val="1"/>
        <color rgb="0017653B"/>
      </font>
      <fill>
        <patternFill patternType="solid">
          <fgColor rgb="00D6F0E4"/>
          <bgColor rgb="00D6F0E4"/>
        </patternFill>
      </fill>
    </dxf>
    <dxf>
      <font>
        <b val="1"/>
        <color rgb="0017653B"/>
      </font>
    </dxf>
    <dxf>
      <font>
        <b val="1"/>
        <color rgb="00C8452B"/>
      </font>
    </dxf>
    <dxf>
      <font>
        <i val="1"/>
        <color rgb="009AA5AB"/>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Ingresos y gastos por mes</a:t>
            </a:r>
          </a:p>
        </rich>
      </tx>
    </title>
    <plotArea>
      <barChart>
        <barDir val="col"/>
        <grouping val="clustered"/>
        <ser>
          <idx val="0"/>
          <order val="0"/>
          <tx>
            <strRef>
              <f>'PANEL'!C16</f>
            </strRef>
          </tx>
          <spPr>
            <a:solidFill xmlns:a="http://schemas.openxmlformats.org/drawingml/2006/main">
              <a:srgbClr val="2A9D8F"/>
            </a:solidFill>
            <a:ln xmlns:a="http://schemas.openxmlformats.org/drawingml/2006/main">
              <a:prstDash val="solid"/>
            </a:ln>
          </spPr>
          <cat>
            <numRef>
              <f>'PANEL'!$B$17:$B$28</f>
            </numRef>
          </cat>
          <val>
            <numRef>
              <f>'PANEL'!$C$17:$C$28</f>
            </numRef>
          </val>
        </ser>
        <ser>
          <idx val="1"/>
          <order val="1"/>
          <tx>
            <strRef>
              <f>'PANEL'!D16</f>
            </strRef>
          </tx>
          <spPr>
            <a:solidFill xmlns:a="http://schemas.openxmlformats.org/drawingml/2006/main">
              <a:srgbClr val="E76F51"/>
            </a:solidFill>
            <a:ln xmlns:a="http://schemas.openxmlformats.org/drawingml/2006/main">
              <a:prstDash val="solid"/>
            </a:ln>
          </spPr>
          <cat>
            <numRef>
              <f>'PANEL'!$B$17:$B$28</f>
            </numRef>
          </cat>
          <val>
            <numRef>
              <f>'PANEL'!$D$17:$D$28</f>
            </numRef>
          </val>
        </ser>
        <gapWidth val="60"/>
        <axId val="10"/>
        <axId val="100"/>
      </barChart>
      <lineChart>
        <grouping val="standard"/>
        <ser>
          <idx val="2"/>
          <order val="2"/>
          <tx>
            <strRef>
              <f>'PANEL'!E16</f>
            </strRef>
          </tx>
          <spPr>
            <a:ln xmlns:a="http://schemas.openxmlformats.org/drawingml/2006/main" w="28000">
              <a:solidFill>
                <a:srgbClr val="0F4C5C"/>
              </a:solidFill>
              <a:prstDash val="solid"/>
            </a:ln>
          </spPr>
          <marker>
            <symbol val="circle"/>
            <size val="6"/>
            <spPr>
              <a:solidFill xmlns:a="http://schemas.openxmlformats.org/drawingml/2006/main">
                <a:srgbClr val="0F4C5C"/>
              </a:solidFill>
              <a:ln xmlns:a="http://schemas.openxmlformats.org/drawingml/2006/main">
                <a:prstDash val="solid"/>
              </a:ln>
            </spPr>
          </marker>
          <val>
            <numRef>
              <f>'PANEL'!$E$17:$E$28</f>
            </numRef>
          </val>
          <smooth val="0"/>
        </ser>
        <axId val="10"/>
        <axId val="100"/>
      </line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legend>
      <legendPos val="b"/>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Distribución de tus gastos</a:t>
            </a:r>
          </a:p>
        </rich>
      </tx>
    </title>
    <plotArea>
      <doughnutChart>
        <varyColors val="1"/>
        <ser>
          <idx val="0"/>
          <order val="0"/>
          <spPr>
            <a:ln xmlns:a="http://schemas.openxmlformats.org/drawingml/2006/main">
              <a:prstDash val="solid"/>
            </a:ln>
          </spPr>
          <dPt>
            <idx val="0"/>
            <spPr>
              <a:solidFill xmlns:a="http://schemas.openxmlformats.org/drawingml/2006/main">
                <a:srgbClr val="0F4C5C"/>
              </a:solidFill>
              <a:ln xmlns:a="http://schemas.openxmlformats.org/drawingml/2006/main">
                <a:prstDash val="solid"/>
              </a:ln>
            </spPr>
          </dPt>
          <dPt>
            <idx val="1"/>
            <spPr>
              <a:solidFill xmlns:a="http://schemas.openxmlformats.org/drawingml/2006/main">
                <a:srgbClr val="2A9D8F"/>
              </a:solidFill>
              <a:ln xmlns:a="http://schemas.openxmlformats.org/drawingml/2006/main">
                <a:prstDash val="solid"/>
              </a:ln>
            </spPr>
          </dPt>
          <dPt>
            <idx val="2"/>
            <spPr>
              <a:solidFill xmlns:a="http://schemas.openxmlformats.org/drawingml/2006/main">
                <a:srgbClr val="E9A23B"/>
              </a:solidFill>
              <a:ln xmlns:a="http://schemas.openxmlformats.org/drawingml/2006/main">
                <a:prstDash val="solid"/>
              </a:ln>
            </spPr>
          </dPt>
          <dPt>
            <idx val="3"/>
            <spPr>
              <a:solidFill xmlns:a="http://schemas.openxmlformats.org/drawingml/2006/main">
                <a:srgbClr val="E76F51"/>
              </a:solidFill>
              <a:ln xmlns:a="http://schemas.openxmlformats.org/drawingml/2006/main">
                <a:prstDash val="solid"/>
              </a:ln>
            </spPr>
          </dPt>
          <dPt>
            <idx val="4"/>
            <spPr>
              <a:solidFill xmlns:a="http://schemas.openxmlformats.org/drawingml/2006/main">
                <a:srgbClr val="7BC8BD"/>
              </a:solidFill>
              <a:ln xmlns:a="http://schemas.openxmlformats.org/drawingml/2006/main">
                <a:prstDash val="solid"/>
              </a:ln>
            </spPr>
          </dPt>
          <dPt>
            <idx val="5"/>
            <spPr>
              <a:solidFill xmlns:a="http://schemas.openxmlformats.org/drawingml/2006/main">
                <a:srgbClr val="F4C27A"/>
              </a:solidFill>
              <a:ln xmlns:a="http://schemas.openxmlformats.org/drawingml/2006/main">
                <a:prstDash val="solid"/>
              </a:ln>
            </spPr>
          </dPt>
          <dPt>
            <idx val="6"/>
            <spPr>
              <a:solidFill xmlns:a="http://schemas.openxmlformats.org/drawingml/2006/main">
                <a:srgbClr val="F2A58F"/>
              </a:solidFill>
              <a:ln xmlns:a="http://schemas.openxmlformats.org/drawingml/2006/main">
                <a:prstDash val="solid"/>
              </a:ln>
            </spPr>
          </dPt>
          <dPt>
            <idx val="7"/>
            <spPr>
              <a:solidFill xmlns:a="http://schemas.openxmlformats.org/drawingml/2006/main">
                <a:srgbClr val="5C6B73"/>
              </a:solidFill>
              <a:ln xmlns:a="http://schemas.openxmlformats.org/drawingml/2006/main">
                <a:prstDash val="solid"/>
              </a:ln>
            </spPr>
          </dPt>
          <dPt>
            <idx val="8"/>
            <spPr>
              <a:solidFill xmlns:a="http://schemas.openxmlformats.org/drawingml/2006/main">
                <a:srgbClr val="A8D5CE"/>
              </a:solidFill>
              <a:ln xmlns:a="http://schemas.openxmlformats.org/drawingml/2006/main">
                <a:prstDash val="solid"/>
              </a:ln>
            </spPr>
          </dPt>
          <dPt>
            <idx val="9"/>
            <spPr>
              <a:solidFill xmlns:a="http://schemas.openxmlformats.org/drawingml/2006/main">
                <a:srgbClr val="C9D3D6"/>
              </a:solidFill>
              <a:ln xmlns:a="http://schemas.openxmlformats.org/drawingml/2006/main">
                <a:prstDash val="solid"/>
              </a:ln>
            </spPr>
          </dPt>
          <dPt>
            <idx val="10"/>
            <spPr>
              <a:solidFill xmlns:a="http://schemas.openxmlformats.org/drawingml/2006/main">
                <a:srgbClr val="E8E2D0"/>
              </a:solidFill>
              <a:ln xmlns:a="http://schemas.openxmlformats.org/drawingml/2006/main">
                <a:prstDash val="solid"/>
              </a:ln>
            </spPr>
          </dPt>
          <cat>
            <numRef>
              <f>'PANEL'!$B$33:$B$43</f>
            </numRef>
          </cat>
          <val>
            <numRef>
              <f>'PANEL'!$D$33:$D$43</f>
            </numRef>
          </val>
        </ser>
        <dLbls>
          <showVal val="0"/>
          <showCatName val="0"/>
          <showSerName val="0"/>
          <showPercent val="1"/>
          <showLeaderLines val="0"/>
        </dLbls>
        <firstSliceAng val="0"/>
        <holeSize val="55"/>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Ganancia acumulada en el año</a:t>
            </a:r>
          </a:p>
        </rich>
      </tx>
    </title>
    <plotArea>
      <areaChart>
        <grouping val="standard"/>
        <ser>
          <idx val="0"/>
          <order val="0"/>
          <tx>
            <strRef>
              <f>'PANEL'!F16</f>
            </strRef>
          </tx>
          <spPr>
            <a:solidFill xmlns:a="http://schemas.openxmlformats.org/drawingml/2006/main">
              <a:srgbClr val="8CCFC5"/>
            </a:solidFill>
            <a:ln xmlns:a="http://schemas.openxmlformats.org/drawingml/2006/main">
              <a:solidFill>
                <a:srgbClr val="0F4C5C"/>
              </a:solidFill>
              <a:prstDash val="solid"/>
            </a:ln>
          </spPr>
          <cat>
            <numRef>
              <f>'PANEL'!$B$17:$B$28</f>
            </numRef>
          </cat>
          <val>
            <numRef>
              <f>'PANEL'!$F$17:$F$28</f>
            </numRef>
          </val>
        </ser>
        <axId val="10"/>
        <axId val="100"/>
      </areaChart>
      <catAx>
        <axId val="10"/>
        <scaling>
          <orientation val="minMax"/>
        </scaling>
        <delete val="0"/>
        <axPos val="l"/>
        <majorTickMark val="none"/>
        <minorTickMark val="none"/>
        <tickLblPos val="low"/>
        <crossAx val="100"/>
        <lblOffset val="100"/>
      </catAx>
      <valAx>
        <axId val="100"/>
        <scaling>
          <orientation val="minMax"/>
        </scaling>
        <delete val="0"/>
        <axPos val="l"/>
        <majorGridlines/>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6</col>
      <colOff>0</colOff>
      <row>15</row>
      <rowOff>0</rowOff>
    </from>
    <ext cx="6300000" cy="30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31</row>
      <rowOff>0</rowOff>
    </from>
    <ext cx="5220000" cy="3024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46</row>
      <rowOff>0</rowOff>
    </from>
    <ext cx="5580000" cy="273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drawing" Target="/xl/drawings/drawing1.xml" Id="rId2"/></Relationships>
</file>

<file path=xl/worksheets/_rels/sheet2.xml.rels><Relationships xmlns="http://schemas.openxmlformats.org/package/2006/relationships"><Relationship Type="http://schemas.openxmlformats.org/officeDocument/2006/relationships/hyperlink" Target="https://mixshopdigital.com.py" TargetMode="External" Id="rId1"/></Relationships>
</file>

<file path=xl/worksheets/_rels/sheet3.xml.rels><Relationships xmlns="http://schemas.openxmlformats.org/package/2006/relationships"><Relationship Type="http://schemas.openxmlformats.org/officeDocument/2006/relationships/hyperlink" Target="https://mixshopdigital.com.py" TargetMode="External" Id="rId1"/></Relationships>
</file>

<file path=xl/worksheets/_rels/sheet4.xml.rels><Relationships xmlns="http://schemas.openxmlformats.org/package/2006/relationships"><Relationship Type="http://schemas.openxmlformats.org/officeDocument/2006/relationships/hyperlink" Target="https://mixshopdigital.com.py" TargetMode="External" Id="rId1"/><Relationship Type="http://schemas.openxmlformats.org/officeDocument/2006/relationships/hyperlink" Target="https://mixshopdigital.com.py" TargetMode="External" Id="rId2"/></Relationships>
</file>

<file path=xl/worksheets/sheet1.xml><?xml version="1.0" encoding="utf-8"?>
<worksheet xmlns="http://schemas.openxmlformats.org/spreadsheetml/2006/main">
  <sheetPr>
    <tabColor rgb="002A9D8F"/>
    <outlinePr summaryBelow="1" summaryRight="1"/>
    <pageSetUpPr fitToPage="1"/>
  </sheetPr>
  <dimension ref="B1:P66"/>
  <sheetViews>
    <sheetView showGridLines="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hidden="1" width="13" customWidth="1" min="16" max="16"/>
  </cols>
  <sheetData>
    <row r="1" ht="30" customHeight="1">
      <c r="B1" s="1" t="inlineStr">
        <is>
          <t>MIX SHOP DIGITAL</t>
        </is>
      </c>
      <c r="F1" s="2" t="inlineStr">
        <is>
          <t>CONTROL DE VENTAS Y GASTOS</t>
        </is>
      </c>
    </row>
    <row r="2" ht="18" customHeight="1">
      <c r="B2" s="3" t="inlineStr">
        <is>
          <t>Herramientas inteligentes que simplifican tu vida.</t>
        </is>
      </c>
      <c r="F2" s="4" t="inlineStr">
        <is>
          <t>Tu negocio, de un vistazo</t>
        </is>
      </c>
    </row>
    <row r="3" ht="4" customHeight="1">
      <c r="B3" s="5" t="n"/>
    </row>
    <row r="4" ht="20" customHeight="1">
      <c r="C4" s="6" t="inlineStr">
        <is>
          <t>El panel se arma solo con lo que anotás en MOVIMIENTOS. No hace falta escribir nada acá, salvo elegir el período.</t>
        </is>
      </c>
    </row>
    <row r="5" ht="22" customHeight="1">
      <c r="B5" s="7" t="inlineStr">
        <is>
          <t>+  Anotar movimientos</t>
        </is>
      </c>
      <c r="E5" s="8" t="inlineStr">
        <is>
          <t>Ajustes</t>
        </is>
      </c>
      <c r="G5" s="8" t="inlineStr">
        <is>
          <t>Ayuda</t>
        </is>
      </c>
    </row>
    <row r="6" ht="22" customHeight="1">
      <c r="B6" s="9" t="inlineStr">
        <is>
          <t>Período a mirar:</t>
        </is>
      </c>
      <c r="C6" s="10" t="inlineStr">
        <is>
          <t>Todo el año</t>
        </is>
      </c>
      <c r="E6" s="6">
        <f>"Año de control: "&amp;AnioCtl&amp;"   ·   "&amp;NombreNegocio</f>
        <v/>
      </c>
      <c r="P6">
        <f>IFERROR(MATCH(C6,{"Todo el año","Enero","Febrero","Marzo","Abril","Mayo","Junio","Julio","Agosto","Septiembre","Octubre","Noviembre","Diciembre"},0)-1,0)</f>
        <v/>
      </c>
    </row>
    <row r="7">
      <c r="P7">
        <f>IF(P6=0,DATE(AnioCtl,1,1),DATE(AnioCtl,P6,1))</f>
        <v/>
      </c>
    </row>
    <row r="8" ht="16" customHeight="1">
      <c r="B8" s="11" t="inlineStr">
        <is>
          <t>INGRESOS DEL PERÍODO</t>
        </is>
      </c>
      <c r="E8" s="12" t="inlineStr">
        <is>
          <t>GASTOS DEL PERÍODO</t>
        </is>
      </c>
      <c r="H8" s="13" t="inlineStr">
        <is>
          <t>GANANCIA</t>
        </is>
      </c>
      <c r="K8" s="14" t="inlineStr">
        <is>
          <t>MARGEN</t>
        </is>
      </c>
      <c r="P8">
        <f>IF(P6=0,DATE(AnioCtl+1,1,1),DATE(AnioCtl,P6+1,1))</f>
        <v/>
      </c>
    </row>
    <row r="9" ht="30" customHeight="1">
      <c r="B9" s="15">
        <f>IF(MesN=0,C29,INDEX(C17:C28,MesN))</f>
        <v/>
      </c>
      <c r="E9" s="16">
        <f>IF(MesN=0,D29,INDEX(D17:D28,MesN))</f>
        <v/>
      </c>
      <c r="H9" s="17">
        <f>B9-E9</f>
        <v/>
      </c>
      <c r="K9" s="18">
        <f>IF(B9=0,0,H9/B9)</f>
        <v/>
      </c>
    </row>
    <row r="10" ht="15" customHeight="1">
      <c r="B10" s="19">
        <f>Moneda</f>
        <v/>
      </c>
      <c r="E10" s="20">
        <f>Moneda</f>
        <v/>
      </c>
      <c r="H10" s="21" t="inlineStr">
        <is>
          <t>ingresos − gastos</t>
        </is>
      </c>
      <c r="K10" s="22" t="inlineStr">
        <is>
          <t>qué parte de lo que vendés es ganancia</t>
        </is>
      </c>
    </row>
    <row r="11" ht="8" customHeight="1"/>
    <row r="12" ht="24" customHeight="1">
      <c r="B12" s="23">
        <f>IF(AND(B9=0,E9=0),"Anotá tus primeros movimientos en la hoja MOVIMIENTOS para ver tu panel.",IF(H9&lt;0,"✖ Pérdida: gastaste más de lo que vendiste en este período.",IF(K9&lt;0.1,"⚠ Ganás poco: menos del 10 % de lo que vendés. Revisá tus gastos.","✔ Muy bien: te quedó el "&amp;ROUND(K9*100,1)&amp;" % de lo que vendiste.")))</f>
        <v/>
      </c>
    </row>
    <row r="13" ht="22" customHeight="1">
      <c r="B13" s="9" t="inlineStr">
        <is>
          <t>Tu meta:</t>
        </is>
      </c>
      <c r="C13" s="24">
        <f>IF(MesN=0,MetaMes*12,MetaMes)</f>
        <v/>
      </c>
      <c r="E13" s="25">
        <f>IF(C13&lt;=0,0,MAX(0,MIN(1,H9/C13)))</f>
        <v/>
      </c>
    </row>
    <row r="15">
      <c r="B15" s="26" t="inlineStr">
        <is>
          <t>MES A MES</t>
        </is>
      </c>
    </row>
    <row r="16" ht="22" customHeight="1">
      <c r="B16" s="27" t="inlineStr">
        <is>
          <t>Mes</t>
        </is>
      </c>
      <c r="C16" s="27" t="inlineStr">
        <is>
          <t>Ingresos</t>
        </is>
      </c>
      <c r="D16" s="27" t="inlineStr">
        <is>
          <t>Gastos</t>
        </is>
      </c>
      <c r="E16" s="27" t="inlineStr">
        <is>
          <t>Ganancia</t>
        </is>
      </c>
      <c r="F16" s="27" t="inlineStr">
        <is>
          <t>Acumulado</t>
        </is>
      </c>
    </row>
    <row r="17" ht="18" customHeight="1">
      <c r="B17" s="28" t="inlineStr">
        <is>
          <t>Enero</t>
        </is>
      </c>
      <c r="C17" s="29">
        <f>SUMIFS('MOVIMIENTOS'!$F$7:$F$406,'MOVIMIENTOS'!$C$7:$C$406,"Ingreso",'MOVIMIENTOS'!$B$7:$B$406,"&gt;="&amp;DATE(AnioCtl,1,1),'MOVIMIENTOS'!$B$7:$B$406,"&lt;"&amp;DATE(AnioCtl,2,1))</f>
        <v/>
      </c>
      <c r="D17" s="29">
        <f>SUMIFS('MOVIMIENTOS'!$F$7:$F$406,'MOVIMIENTOS'!$C$7:$C$406,"Gasto",'MOVIMIENTOS'!$B$7:$B$406,"&gt;="&amp;DATE(AnioCtl,1,1),'MOVIMIENTOS'!$B$7:$B$406,"&lt;"&amp;DATE(AnioCtl,2,1))</f>
        <v/>
      </c>
      <c r="E17" s="30">
        <f>C17-D17</f>
        <v/>
      </c>
      <c r="F17" s="31">
        <f>SUM($E$17:E17)</f>
        <v/>
      </c>
    </row>
    <row r="18" ht="18" customHeight="1">
      <c r="B18" s="32" t="inlineStr">
        <is>
          <t>Febrero</t>
        </is>
      </c>
      <c r="C18" s="33">
        <f>SUMIFS('MOVIMIENTOS'!$F$7:$F$406,'MOVIMIENTOS'!$C$7:$C$406,"Ingreso",'MOVIMIENTOS'!$B$7:$B$406,"&gt;="&amp;DATE(AnioCtl,2,1),'MOVIMIENTOS'!$B$7:$B$406,"&lt;"&amp;DATE(AnioCtl,3,1))</f>
        <v/>
      </c>
      <c r="D18" s="33">
        <f>SUMIFS('MOVIMIENTOS'!$F$7:$F$406,'MOVIMIENTOS'!$C$7:$C$406,"Gasto",'MOVIMIENTOS'!$B$7:$B$406,"&gt;="&amp;DATE(AnioCtl,2,1),'MOVIMIENTOS'!$B$7:$B$406,"&lt;"&amp;DATE(AnioCtl,3,1))</f>
        <v/>
      </c>
      <c r="E18" s="34">
        <f>C18-D18</f>
        <v/>
      </c>
      <c r="F18" s="35">
        <f>SUM($E$17:E18)</f>
        <v/>
      </c>
    </row>
    <row r="19" ht="18" customHeight="1">
      <c r="B19" s="28" t="inlineStr">
        <is>
          <t>Marzo</t>
        </is>
      </c>
      <c r="C19" s="29">
        <f>SUMIFS('MOVIMIENTOS'!$F$7:$F$406,'MOVIMIENTOS'!$C$7:$C$406,"Ingreso",'MOVIMIENTOS'!$B$7:$B$406,"&gt;="&amp;DATE(AnioCtl,3,1),'MOVIMIENTOS'!$B$7:$B$406,"&lt;"&amp;DATE(AnioCtl,4,1))</f>
        <v/>
      </c>
      <c r="D19" s="29">
        <f>SUMIFS('MOVIMIENTOS'!$F$7:$F$406,'MOVIMIENTOS'!$C$7:$C$406,"Gasto",'MOVIMIENTOS'!$B$7:$B$406,"&gt;="&amp;DATE(AnioCtl,3,1),'MOVIMIENTOS'!$B$7:$B$406,"&lt;"&amp;DATE(AnioCtl,4,1))</f>
        <v/>
      </c>
      <c r="E19" s="30">
        <f>C19-D19</f>
        <v/>
      </c>
      <c r="F19" s="31">
        <f>SUM($E$17:E19)</f>
        <v/>
      </c>
    </row>
    <row r="20" ht="18" customHeight="1">
      <c r="B20" s="32" t="inlineStr">
        <is>
          <t>Abril</t>
        </is>
      </c>
      <c r="C20" s="33">
        <f>SUMIFS('MOVIMIENTOS'!$F$7:$F$406,'MOVIMIENTOS'!$C$7:$C$406,"Ingreso",'MOVIMIENTOS'!$B$7:$B$406,"&gt;="&amp;DATE(AnioCtl,4,1),'MOVIMIENTOS'!$B$7:$B$406,"&lt;"&amp;DATE(AnioCtl,5,1))</f>
        <v/>
      </c>
      <c r="D20" s="33">
        <f>SUMIFS('MOVIMIENTOS'!$F$7:$F$406,'MOVIMIENTOS'!$C$7:$C$406,"Gasto",'MOVIMIENTOS'!$B$7:$B$406,"&gt;="&amp;DATE(AnioCtl,4,1),'MOVIMIENTOS'!$B$7:$B$406,"&lt;"&amp;DATE(AnioCtl,5,1))</f>
        <v/>
      </c>
      <c r="E20" s="34">
        <f>C20-D20</f>
        <v/>
      </c>
      <c r="F20" s="35">
        <f>SUM($E$17:E20)</f>
        <v/>
      </c>
    </row>
    <row r="21" ht="18" customHeight="1">
      <c r="B21" s="28" t="inlineStr">
        <is>
          <t>Mayo</t>
        </is>
      </c>
      <c r="C21" s="29">
        <f>SUMIFS('MOVIMIENTOS'!$F$7:$F$406,'MOVIMIENTOS'!$C$7:$C$406,"Ingreso",'MOVIMIENTOS'!$B$7:$B$406,"&gt;="&amp;DATE(AnioCtl,5,1),'MOVIMIENTOS'!$B$7:$B$406,"&lt;"&amp;DATE(AnioCtl,6,1))</f>
        <v/>
      </c>
      <c r="D21" s="29">
        <f>SUMIFS('MOVIMIENTOS'!$F$7:$F$406,'MOVIMIENTOS'!$C$7:$C$406,"Gasto",'MOVIMIENTOS'!$B$7:$B$406,"&gt;="&amp;DATE(AnioCtl,5,1),'MOVIMIENTOS'!$B$7:$B$406,"&lt;"&amp;DATE(AnioCtl,6,1))</f>
        <v/>
      </c>
      <c r="E21" s="30">
        <f>C21-D21</f>
        <v/>
      </c>
      <c r="F21" s="31">
        <f>SUM($E$17:E21)</f>
        <v/>
      </c>
    </row>
    <row r="22" ht="18" customHeight="1">
      <c r="B22" s="32" t="inlineStr">
        <is>
          <t>Junio</t>
        </is>
      </c>
      <c r="C22" s="33">
        <f>SUMIFS('MOVIMIENTOS'!$F$7:$F$406,'MOVIMIENTOS'!$C$7:$C$406,"Ingreso",'MOVIMIENTOS'!$B$7:$B$406,"&gt;="&amp;DATE(AnioCtl,6,1),'MOVIMIENTOS'!$B$7:$B$406,"&lt;"&amp;DATE(AnioCtl,7,1))</f>
        <v/>
      </c>
      <c r="D22" s="33">
        <f>SUMIFS('MOVIMIENTOS'!$F$7:$F$406,'MOVIMIENTOS'!$C$7:$C$406,"Gasto",'MOVIMIENTOS'!$B$7:$B$406,"&gt;="&amp;DATE(AnioCtl,6,1),'MOVIMIENTOS'!$B$7:$B$406,"&lt;"&amp;DATE(AnioCtl,7,1))</f>
        <v/>
      </c>
      <c r="E22" s="34">
        <f>C22-D22</f>
        <v/>
      </c>
      <c r="F22" s="35">
        <f>SUM($E$17:E22)</f>
        <v/>
      </c>
    </row>
    <row r="23" ht="18" customHeight="1">
      <c r="B23" s="28" t="inlineStr">
        <is>
          <t>Julio</t>
        </is>
      </c>
      <c r="C23" s="29">
        <f>SUMIFS('MOVIMIENTOS'!$F$7:$F$406,'MOVIMIENTOS'!$C$7:$C$406,"Ingreso",'MOVIMIENTOS'!$B$7:$B$406,"&gt;="&amp;DATE(AnioCtl,7,1),'MOVIMIENTOS'!$B$7:$B$406,"&lt;"&amp;DATE(AnioCtl,8,1))</f>
        <v/>
      </c>
      <c r="D23" s="29">
        <f>SUMIFS('MOVIMIENTOS'!$F$7:$F$406,'MOVIMIENTOS'!$C$7:$C$406,"Gasto",'MOVIMIENTOS'!$B$7:$B$406,"&gt;="&amp;DATE(AnioCtl,7,1),'MOVIMIENTOS'!$B$7:$B$406,"&lt;"&amp;DATE(AnioCtl,8,1))</f>
        <v/>
      </c>
      <c r="E23" s="30">
        <f>C23-D23</f>
        <v/>
      </c>
      <c r="F23" s="31">
        <f>SUM($E$17:E23)</f>
        <v/>
      </c>
    </row>
    <row r="24" ht="18" customHeight="1">
      <c r="B24" s="32" t="inlineStr">
        <is>
          <t>Agosto</t>
        </is>
      </c>
      <c r="C24" s="33">
        <f>SUMIFS('MOVIMIENTOS'!$F$7:$F$406,'MOVIMIENTOS'!$C$7:$C$406,"Ingreso",'MOVIMIENTOS'!$B$7:$B$406,"&gt;="&amp;DATE(AnioCtl,8,1),'MOVIMIENTOS'!$B$7:$B$406,"&lt;"&amp;DATE(AnioCtl,9,1))</f>
        <v/>
      </c>
      <c r="D24" s="33">
        <f>SUMIFS('MOVIMIENTOS'!$F$7:$F$406,'MOVIMIENTOS'!$C$7:$C$406,"Gasto",'MOVIMIENTOS'!$B$7:$B$406,"&gt;="&amp;DATE(AnioCtl,8,1),'MOVIMIENTOS'!$B$7:$B$406,"&lt;"&amp;DATE(AnioCtl,9,1))</f>
        <v/>
      </c>
      <c r="E24" s="34">
        <f>C24-D24</f>
        <v/>
      </c>
      <c r="F24" s="35">
        <f>SUM($E$17:E24)</f>
        <v/>
      </c>
    </row>
    <row r="25" ht="18" customHeight="1">
      <c r="B25" s="28" t="inlineStr">
        <is>
          <t>Septiembre</t>
        </is>
      </c>
      <c r="C25" s="29">
        <f>SUMIFS('MOVIMIENTOS'!$F$7:$F$406,'MOVIMIENTOS'!$C$7:$C$406,"Ingreso",'MOVIMIENTOS'!$B$7:$B$406,"&gt;="&amp;DATE(AnioCtl,9,1),'MOVIMIENTOS'!$B$7:$B$406,"&lt;"&amp;DATE(AnioCtl,10,1))</f>
        <v/>
      </c>
      <c r="D25" s="29">
        <f>SUMIFS('MOVIMIENTOS'!$F$7:$F$406,'MOVIMIENTOS'!$C$7:$C$406,"Gasto",'MOVIMIENTOS'!$B$7:$B$406,"&gt;="&amp;DATE(AnioCtl,9,1),'MOVIMIENTOS'!$B$7:$B$406,"&lt;"&amp;DATE(AnioCtl,10,1))</f>
        <v/>
      </c>
      <c r="E25" s="30">
        <f>C25-D25</f>
        <v/>
      </c>
      <c r="F25" s="31">
        <f>SUM($E$17:E25)</f>
        <v/>
      </c>
    </row>
    <row r="26" ht="18" customHeight="1">
      <c r="B26" s="32" t="inlineStr">
        <is>
          <t>Octubre</t>
        </is>
      </c>
      <c r="C26" s="33">
        <f>SUMIFS('MOVIMIENTOS'!$F$7:$F$406,'MOVIMIENTOS'!$C$7:$C$406,"Ingreso",'MOVIMIENTOS'!$B$7:$B$406,"&gt;="&amp;DATE(AnioCtl,10,1),'MOVIMIENTOS'!$B$7:$B$406,"&lt;"&amp;DATE(AnioCtl,11,1))</f>
        <v/>
      </c>
      <c r="D26" s="33">
        <f>SUMIFS('MOVIMIENTOS'!$F$7:$F$406,'MOVIMIENTOS'!$C$7:$C$406,"Gasto",'MOVIMIENTOS'!$B$7:$B$406,"&gt;="&amp;DATE(AnioCtl,10,1),'MOVIMIENTOS'!$B$7:$B$406,"&lt;"&amp;DATE(AnioCtl,11,1))</f>
        <v/>
      </c>
      <c r="E26" s="34">
        <f>C26-D26</f>
        <v/>
      </c>
      <c r="F26" s="35">
        <f>SUM($E$17:E26)</f>
        <v/>
      </c>
    </row>
    <row r="27" ht="18" customHeight="1">
      <c r="B27" s="28" t="inlineStr">
        <is>
          <t>Noviembre</t>
        </is>
      </c>
      <c r="C27" s="29">
        <f>SUMIFS('MOVIMIENTOS'!$F$7:$F$406,'MOVIMIENTOS'!$C$7:$C$406,"Ingreso",'MOVIMIENTOS'!$B$7:$B$406,"&gt;="&amp;DATE(AnioCtl,11,1),'MOVIMIENTOS'!$B$7:$B$406,"&lt;"&amp;DATE(AnioCtl,12,1))</f>
        <v/>
      </c>
      <c r="D27" s="29">
        <f>SUMIFS('MOVIMIENTOS'!$F$7:$F$406,'MOVIMIENTOS'!$C$7:$C$406,"Gasto",'MOVIMIENTOS'!$B$7:$B$406,"&gt;="&amp;DATE(AnioCtl,11,1),'MOVIMIENTOS'!$B$7:$B$406,"&lt;"&amp;DATE(AnioCtl,12,1))</f>
        <v/>
      </c>
      <c r="E27" s="30">
        <f>C27-D27</f>
        <v/>
      </c>
      <c r="F27" s="31">
        <f>SUM($E$17:E27)</f>
        <v/>
      </c>
    </row>
    <row r="28" ht="18" customHeight="1">
      <c r="B28" s="32" t="inlineStr">
        <is>
          <t>Diciembre</t>
        </is>
      </c>
      <c r="C28" s="33">
        <f>SUMIFS('MOVIMIENTOS'!$F$7:$F$406,'MOVIMIENTOS'!$C$7:$C$406,"Ingreso",'MOVIMIENTOS'!$B$7:$B$406,"&gt;="&amp;DATE(AnioCtl,12,1),'MOVIMIENTOS'!$B$7:$B$406,"&lt;"&amp;DATE(AnioCtl,13,1))</f>
        <v/>
      </c>
      <c r="D28" s="33">
        <f>SUMIFS('MOVIMIENTOS'!$F$7:$F$406,'MOVIMIENTOS'!$C$7:$C$406,"Gasto",'MOVIMIENTOS'!$B$7:$B$406,"&gt;="&amp;DATE(AnioCtl,12,1),'MOVIMIENTOS'!$B$7:$B$406,"&lt;"&amp;DATE(AnioCtl,13,1))</f>
        <v/>
      </c>
      <c r="E28" s="34">
        <f>C28-D28</f>
        <v/>
      </c>
      <c r="F28" s="35">
        <f>SUM($E$17:E28)</f>
        <v/>
      </c>
    </row>
    <row r="29" ht="22" customHeight="1">
      <c r="B29" s="36" t="inlineStr">
        <is>
          <t>TOTAL</t>
        </is>
      </c>
      <c r="C29" s="37">
        <f>SUM(C17:C28)</f>
        <v/>
      </c>
      <c r="D29" s="37">
        <f>SUM(D17:D28)</f>
        <v/>
      </c>
      <c r="E29" s="37">
        <f>SUM(E17:E28)</f>
        <v/>
      </c>
      <c r="F29" s="37">
        <f>F28</f>
        <v/>
      </c>
    </row>
    <row r="31">
      <c r="B31" s="38" t="inlineStr">
        <is>
          <t>¿EN QUÉ SE VA TU PLATA? (gastos del período elegido)</t>
        </is>
      </c>
    </row>
    <row r="32" ht="22" customHeight="1">
      <c r="B32" s="27" t="inlineStr">
        <is>
          <t>Categoría de gasto</t>
        </is>
      </c>
      <c r="D32" s="27" t="inlineStr">
        <is>
          <t>Monto</t>
        </is>
      </c>
      <c r="E32" s="27" t="inlineStr">
        <is>
          <t>%</t>
        </is>
      </c>
    </row>
    <row r="33" ht="18" customHeight="1">
      <c r="B33" s="39">
        <f>IF('AJUSTES'!$C$15="","",'AJUSTES'!$C$15)</f>
        <v/>
      </c>
      <c r="D33" s="40">
        <f>IF(B33="",0,SUMIFS('MOVIMIENTOS'!$F$7:$F$406,'MOVIMIENTOS'!$C$7:$C$406,"Gasto",'MOVIMIENTOS'!$D$7:$D$406,B33,'MOVIMIENTOS'!$B$7:$B$406,"&gt;="&amp;FIni,'MOVIMIENTOS'!$B$7:$B$406,"&lt;"&amp;FFin))</f>
        <v/>
      </c>
      <c r="E33" s="41">
        <f>IF($E$9=0,0,D33/$E$9)</f>
        <v/>
      </c>
    </row>
    <row r="34" ht="18" customHeight="1">
      <c r="B34" s="39">
        <f>IF('AJUSTES'!$C$16="","",'AJUSTES'!$C$16)</f>
        <v/>
      </c>
      <c r="D34" s="40">
        <f>IF(B34="",0,SUMIFS('MOVIMIENTOS'!$F$7:$F$406,'MOVIMIENTOS'!$C$7:$C$406,"Gasto",'MOVIMIENTOS'!$D$7:$D$406,B34,'MOVIMIENTOS'!$B$7:$B$406,"&gt;="&amp;FIni,'MOVIMIENTOS'!$B$7:$B$406,"&lt;"&amp;FFin))</f>
        <v/>
      </c>
      <c r="E34" s="41">
        <f>IF($E$9=0,0,D34/$E$9)</f>
        <v/>
      </c>
    </row>
    <row r="35" ht="18" customHeight="1">
      <c r="B35" s="39">
        <f>IF('AJUSTES'!$C$17="","",'AJUSTES'!$C$17)</f>
        <v/>
      </c>
      <c r="D35" s="40">
        <f>IF(B35="",0,SUMIFS('MOVIMIENTOS'!$F$7:$F$406,'MOVIMIENTOS'!$C$7:$C$406,"Gasto",'MOVIMIENTOS'!$D$7:$D$406,B35,'MOVIMIENTOS'!$B$7:$B$406,"&gt;="&amp;FIni,'MOVIMIENTOS'!$B$7:$B$406,"&lt;"&amp;FFin))</f>
        <v/>
      </c>
      <c r="E35" s="41">
        <f>IF($E$9=0,0,D35/$E$9)</f>
        <v/>
      </c>
    </row>
    <row r="36" ht="18" customHeight="1">
      <c r="B36" s="39">
        <f>IF('AJUSTES'!$C$18="","",'AJUSTES'!$C$18)</f>
        <v/>
      </c>
      <c r="D36" s="40">
        <f>IF(B36="",0,SUMIFS('MOVIMIENTOS'!$F$7:$F$406,'MOVIMIENTOS'!$C$7:$C$406,"Gasto",'MOVIMIENTOS'!$D$7:$D$406,B36,'MOVIMIENTOS'!$B$7:$B$406,"&gt;="&amp;FIni,'MOVIMIENTOS'!$B$7:$B$406,"&lt;"&amp;FFin))</f>
        <v/>
      </c>
      <c r="E36" s="41">
        <f>IF($E$9=0,0,D36/$E$9)</f>
        <v/>
      </c>
    </row>
    <row r="37" ht="18" customHeight="1">
      <c r="B37" s="39">
        <f>IF('AJUSTES'!$C$19="","",'AJUSTES'!$C$19)</f>
        <v/>
      </c>
      <c r="D37" s="40">
        <f>IF(B37="",0,SUMIFS('MOVIMIENTOS'!$F$7:$F$406,'MOVIMIENTOS'!$C$7:$C$406,"Gasto",'MOVIMIENTOS'!$D$7:$D$406,B37,'MOVIMIENTOS'!$B$7:$B$406,"&gt;="&amp;FIni,'MOVIMIENTOS'!$B$7:$B$406,"&lt;"&amp;FFin))</f>
        <v/>
      </c>
      <c r="E37" s="41">
        <f>IF($E$9=0,0,D37/$E$9)</f>
        <v/>
      </c>
    </row>
    <row r="38" ht="18" customHeight="1">
      <c r="B38" s="39">
        <f>IF('AJUSTES'!$C$20="","",'AJUSTES'!$C$20)</f>
        <v/>
      </c>
      <c r="D38" s="40">
        <f>IF(B38="",0,SUMIFS('MOVIMIENTOS'!$F$7:$F$406,'MOVIMIENTOS'!$C$7:$C$406,"Gasto",'MOVIMIENTOS'!$D$7:$D$406,B38,'MOVIMIENTOS'!$B$7:$B$406,"&gt;="&amp;FIni,'MOVIMIENTOS'!$B$7:$B$406,"&lt;"&amp;FFin))</f>
        <v/>
      </c>
      <c r="E38" s="41">
        <f>IF($E$9=0,0,D38/$E$9)</f>
        <v/>
      </c>
    </row>
    <row r="39" ht="18" customHeight="1">
      <c r="B39" s="39">
        <f>IF('AJUSTES'!$C$21="","",'AJUSTES'!$C$21)</f>
        <v/>
      </c>
      <c r="D39" s="40">
        <f>IF(B39="",0,SUMIFS('MOVIMIENTOS'!$F$7:$F$406,'MOVIMIENTOS'!$C$7:$C$406,"Gasto",'MOVIMIENTOS'!$D$7:$D$406,B39,'MOVIMIENTOS'!$B$7:$B$406,"&gt;="&amp;FIni,'MOVIMIENTOS'!$B$7:$B$406,"&lt;"&amp;FFin))</f>
        <v/>
      </c>
      <c r="E39" s="41">
        <f>IF($E$9=0,0,D39/$E$9)</f>
        <v/>
      </c>
    </row>
    <row r="40" ht="18" customHeight="1">
      <c r="B40" s="39">
        <f>IF('AJUSTES'!$C$22="","",'AJUSTES'!$C$22)</f>
        <v/>
      </c>
      <c r="D40" s="40">
        <f>IF(B40="",0,SUMIFS('MOVIMIENTOS'!$F$7:$F$406,'MOVIMIENTOS'!$C$7:$C$406,"Gasto",'MOVIMIENTOS'!$D$7:$D$406,B40,'MOVIMIENTOS'!$B$7:$B$406,"&gt;="&amp;FIni,'MOVIMIENTOS'!$B$7:$B$406,"&lt;"&amp;FFin))</f>
        <v/>
      </c>
      <c r="E40" s="41">
        <f>IF($E$9=0,0,D40/$E$9)</f>
        <v/>
      </c>
    </row>
    <row r="41" ht="18" customHeight="1">
      <c r="B41" s="39">
        <f>IF('AJUSTES'!$C$23="","",'AJUSTES'!$C$23)</f>
        <v/>
      </c>
      <c r="D41" s="40">
        <f>IF(B41="",0,SUMIFS('MOVIMIENTOS'!$F$7:$F$406,'MOVIMIENTOS'!$C$7:$C$406,"Gasto",'MOVIMIENTOS'!$D$7:$D$406,B41,'MOVIMIENTOS'!$B$7:$B$406,"&gt;="&amp;FIni,'MOVIMIENTOS'!$B$7:$B$406,"&lt;"&amp;FFin))</f>
        <v/>
      </c>
      <c r="E41" s="41">
        <f>IF($E$9=0,0,D41/$E$9)</f>
        <v/>
      </c>
    </row>
    <row r="42" ht="18" customHeight="1">
      <c r="B42" s="39">
        <f>IF('AJUSTES'!$C$24="","",'AJUSTES'!$C$24)</f>
        <v/>
      </c>
      <c r="D42" s="40">
        <f>IF(B42="",0,SUMIFS('MOVIMIENTOS'!$F$7:$F$406,'MOVIMIENTOS'!$C$7:$C$406,"Gasto",'MOVIMIENTOS'!$D$7:$D$406,B42,'MOVIMIENTOS'!$B$7:$B$406,"&gt;="&amp;FIni,'MOVIMIENTOS'!$B$7:$B$406,"&lt;"&amp;FFin))</f>
        <v/>
      </c>
      <c r="E42" s="41">
        <f>IF($E$9=0,0,D42/$E$9)</f>
        <v/>
      </c>
    </row>
    <row r="43" ht="18" customHeight="1">
      <c r="B43" s="42" t="inlineStr">
        <is>
          <t>Sin categoría / otras</t>
        </is>
      </c>
      <c r="D43" s="40">
        <f>MAX(0,E9-SUM(D33:D42))</f>
        <v/>
      </c>
      <c r="E43" s="41">
        <f>IF($E$9=0,0,D43/$E$9)</f>
        <v/>
      </c>
    </row>
    <row r="44" ht="20" customHeight="1">
      <c r="B44" s="43" t="inlineStr">
        <is>
          <t>TOTAL</t>
        </is>
      </c>
      <c r="D44" s="44">
        <f>SUM(D33:D43)</f>
        <v/>
      </c>
      <c r="E44" s="45">
        <f>SUM(E33:E43)</f>
        <v/>
      </c>
    </row>
    <row r="46">
      <c r="B46" s="46" t="inlineStr">
        <is>
          <t>TU GANANCIA ACUMULADA Y PUNTOS CLAVE</t>
        </is>
      </c>
    </row>
    <row r="47" ht="16" customHeight="1">
      <c r="I47" s="14" t="inlineStr">
        <is>
          <t>MEJOR MES</t>
        </is>
      </c>
      <c r="L47" s="14" t="inlineStr">
        <is>
          <t>MAYOR GASTO</t>
        </is>
      </c>
    </row>
    <row r="48" ht="30" customHeight="1">
      <c r="I48" s="47">
        <f>IF(MAX(E17:E28)&lt;=0,"-",INDEX(B17:B28,MATCH(MAX(E17:E28),E17:E28,0)))</f>
        <v/>
      </c>
      <c r="L48" s="48">
        <f>IF(MAX(D33:D42)&lt;=0,"-",INDEX(B33:B42,MATCH(MAX(D33:D42),D33:D42,0)))</f>
        <v/>
      </c>
    </row>
    <row r="49" ht="15" customHeight="1">
      <c r="I49" s="22" t="inlineStr">
        <is>
          <t>el de mayor ganancia</t>
        </is>
      </c>
      <c r="L49" s="22" t="inlineStr">
        <is>
          <t>en el período</t>
        </is>
      </c>
    </row>
    <row r="52" ht="16" customHeight="1">
      <c r="I52" s="14" t="inlineStr">
        <is>
          <t>GANANCIA PROMEDIO POR MES</t>
        </is>
      </c>
      <c r="L52" s="14" t="inlineStr">
        <is>
          <t>GANANCIA DEL AÑO</t>
        </is>
      </c>
    </row>
    <row r="53" ht="30" customHeight="1">
      <c r="I53" s="49">
        <f>IFERROR(E29/SUMPRODUCT(--((C17:C28+D17:D28)&gt;0)),0)</f>
        <v/>
      </c>
      <c r="L53" s="50">
        <f>E29</f>
        <v/>
      </c>
    </row>
    <row r="54" ht="15" customHeight="1">
      <c r="I54" s="22" t="inlineStr">
        <is>
          <t>meses con movimientos</t>
        </is>
      </c>
      <c r="L54" s="22">
        <f>Moneda</f>
        <v/>
      </c>
    </row>
    <row r="57">
      <c r="I57" s="51" t="inlineStr">
        <is>
          <t>Consejo: anotá cada movimiento el mismo día. Así el panel siempre está al día.</t>
        </is>
      </c>
    </row>
    <row r="58"/>
    <row r="59"/>
    <row r="64" ht="8" customHeight="1">
      <c r="B64" s="52" t="n"/>
    </row>
    <row r="65" ht="16" customHeight="1">
      <c r="B65" s="53" t="inlineStr">
        <is>
          <t>MIX SHOP DIGITAL  ·  Herramientas inteligentes que simplifican tu vida.</t>
        </is>
      </c>
    </row>
    <row r="66" ht="16" customHeight="1">
      <c r="B66" s="54"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9C1"/>
  <mergeCells count="58">
    <mergeCell ref="I47:K47"/>
    <mergeCell ref="L48:M48"/>
    <mergeCell ref="E10:G10"/>
    <mergeCell ref="I54:K54"/>
    <mergeCell ref="C6:D6"/>
    <mergeCell ref="B8:D8"/>
    <mergeCell ref="E13:M13"/>
    <mergeCell ref="I53:K53"/>
    <mergeCell ref="E5:F5"/>
    <mergeCell ref="E9:G9"/>
    <mergeCell ref="L53:M53"/>
    <mergeCell ref="L47:M47"/>
    <mergeCell ref="E6:M6"/>
    <mergeCell ref="B43:C43"/>
    <mergeCell ref="B10:D10"/>
    <mergeCell ref="B39:C39"/>
    <mergeCell ref="K8:M8"/>
    <mergeCell ref="C4:M4"/>
    <mergeCell ref="I57:M59"/>
    <mergeCell ref="I52:K52"/>
    <mergeCell ref="B42:C42"/>
    <mergeCell ref="B9:D9"/>
    <mergeCell ref="I48:K48"/>
    <mergeCell ref="B65:M65"/>
    <mergeCell ref="F2:M2"/>
    <mergeCell ref="B5:D5"/>
    <mergeCell ref="B15:M15"/>
    <mergeCell ref="B38:C38"/>
    <mergeCell ref="K10:M10"/>
    <mergeCell ref="B44:C44"/>
    <mergeCell ref="B64:M64"/>
    <mergeCell ref="B34:C34"/>
    <mergeCell ref="B37:C37"/>
    <mergeCell ref="L54:M54"/>
    <mergeCell ref="G5:H5"/>
    <mergeCell ref="H8:J8"/>
    <mergeCell ref="B2:E2"/>
    <mergeCell ref="B40:C40"/>
    <mergeCell ref="I49:K49"/>
    <mergeCell ref="B1:E1"/>
    <mergeCell ref="H10:J10"/>
    <mergeCell ref="L52:M52"/>
    <mergeCell ref="B33:C33"/>
    <mergeCell ref="B3:M3"/>
    <mergeCell ref="K9:M9"/>
    <mergeCell ref="B31:M31"/>
    <mergeCell ref="E8:G8"/>
    <mergeCell ref="B46:M46"/>
    <mergeCell ref="B66:M66"/>
    <mergeCell ref="B36:C36"/>
    <mergeCell ref="L49:M49"/>
    <mergeCell ref="B32:C32"/>
    <mergeCell ref="H9:J9"/>
    <mergeCell ref="C13:D13"/>
    <mergeCell ref="B41:C41"/>
    <mergeCell ref="B35:C35"/>
    <mergeCell ref="F1:M1"/>
    <mergeCell ref="B12:M12"/>
  </mergeCells>
  <conditionalFormatting sqref="H9:J9">
    <cfRule type="cellIs" priority="1" operator="lessThan" dxfId="0">
      <formula>0</formula>
    </cfRule>
  </conditionalFormatting>
  <conditionalFormatting sqref="K9:M9">
    <cfRule type="cellIs" priority="2" operator="lessThan" dxfId="0">
      <formula>0</formula>
    </cfRule>
  </conditionalFormatting>
  <conditionalFormatting sqref="B12:M12">
    <cfRule type="expression" priority="3" dxfId="1" stopIfTrue="1">
      <formula>ISNUMBER(SEARCH("érdida",$B$12))+ISNUMBER(SEARCH("NO conviene",$B$12))+ISNUMBER(SEARCH("por debajo",$B$12))&gt;0</formula>
    </cfRule>
    <cfRule type="expression" priority="4" dxfId="2" stopIfTrue="1">
      <formula>LEFT($B$12,1)="⚠"</formula>
    </cfRule>
    <cfRule type="expression" priority="5" dxfId="3">
      <formula>LEFT($B$12,1)="✔"</formula>
    </cfRule>
  </conditionalFormatting>
  <conditionalFormatting sqref="E13:M13">
    <cfRule type="dataBar" priority="6">
      <dataBar showValue="1">
        <cfvo type="num" val="0"/>
        <cfvo type="num" val="1"/>
        <color rgb="002A9D8F"/>
      </dataBar>
    </cfRule>
  </conditionalFormatting>
  <conditionalFormatting sqref="E17:E28">
    <cfRule type="iconSet" priority="7">
      <iconSet iconSet="3TrafficLights1" showValue="1">
        <cfvo type="num" val="-1000000000000000"/>
        <cfvo type="num" val="0"/>
        <cfvo type="num" val="1e-07"/>
      </iconSet>
    </cfRule>
  </conditionalFormatting>
  <conditionalFormatting sqref="E17:F29">
    <cfRule type="cellIs" priority="8" operator="lessThan" dxfId="0">
      <formula>0</formula>
    </cfRule>
  </conditionalFormatting>
  <conditionalFormatting sqref="D33:D43">
    <cfRule type="dataBar" priority="9">
      <dataBar showValue="1">
        <cfvo type="num" val="0"/>
        <cfvo type="max"/>
        <color rgb="00F2A58F"/>
      </dataBar>
    </cfRule>
  </conditionalFormatting>
  <conditionalFormatting sqref="L53:M53">
    <cfRule type="cellIs" priority="10" operator="lessThan" dxfId="0">
      <formula>0</formula>
    </cfRule>
  </conditionalFormatting>
  <conditionalFormatting sqref="I53:K53">
    <cfRule type="cellIs" priority="11" operator="lessThan" dxfId="0">
      <formula>0</formula>
    </cfRule>
  </conditionalFormatting>
  <dataValidations count="1">
    <dataValidation sqref="C6" showDropDown="0" showInputMessage="1" showErrorMessage="1" allowBlank="0" errorTitle="Valor no válido" error="Elegí un valor de la lista desplegable." promptTitle="Período" prompt="Elegí «Todo el año» o un mes para ver sus resultados." type="list" errorStyle="stop">
      <formula1>"Todo el año,Enero,Febrero,Marzo,Abril,Mayo,Junio,Julio,Agosto,Septiembre,Octubre,Noviembre,Diciembre"</formula1>
    </dataValidation>
  </dataValidations>
  <hyperlinks>
    <hyperlink ref="B5" location="'MOVIMIENTOS'!A1" display="+  Anotar movimientos"/>
    <hyperlink ref="E5" location="'AJUSTES'!A1" display="Ajustes"/>
    <hyperlink ref="G5" location="'AYUDA'!A1" display="Ayuda"/>
    <hyperlink xmlns:r="http://schemas.openxmlformats.org/officeDocument/2006/relationships" ref="B66" r:id="rId1"/>
  </hyperlinks>
  <printOptions horizontalCentered="1"/>
  <pageMargins left="0.75" right="0.75" top="1" bottom="1" header="0.5" footer="0.5"/>
  <pageSetup orientation="portrait" paperSize="9" fitToHeight="1" fitToWidth="1"/>
  <headerFooter>
    <oddHeader>&amp;C&amp;"Arial,Bold"&amp;14 &amp;K0F4C5CMIX SHOP DIGITAL</oddHeader>
    <oddFooter>&amp;L&amp;8 MIX SHOP DIGITAL — Herramientas inteligentes que simplifican tu vida.&amp;C&amp;8 Versión gratuita · mixshopdigital.com.py&amp;R&amp;8 Pág. &amp;P de &amp;N</oddFooter>
    <evenHeader/>
    <evenFooter/>
    <firstHeader/>
    <firstFooter/>
  </headerFooter>
  <drawing xmlns:r="http://schemas.openxmlformats.org/officeDocument/2006/relationships" r:id="rId2"/>
</worksheet>
</file>

<file path=xl/worksheets/sheet2.xml><?xml version="1.0" encoding="utf-8"?>
<worksheet xmlns="http://schemas.openxmlformats.org/spreadsheetml/2006/main">
  <sheetPr>
    <tabColor rgb="002A9D8F"/>
    <outlinePr summaryBelow="1" summaryRight="1"/>
    <pageSetUpPr fitToPage="1"/>
  </sheetPr>
  <dimension ref="B1:F410"/>
  <sheetViews>
    <sheetView showGridLines="0" workbookViewId="0">
      <pane xSplit="1" ySplit="6" topLeftCell="B7" activePane="bottomRight" state="frozen"/>
      <selection pane="topRight"/>
      <selection pane="bottomLeft"/>
      <selection pane="bottomRight" activeCell="A1" sqref="A1"/>
    </sheetView>
  </sheetViews>
  <sheetFormatPr baseColWidth="8" defaultRowHeight="15"/>
  <cols>
    <col width="2" customWidth="1" min="1" max="1"/>
    <col width="14" customWidth="1" min="2" max="2"/>
    <col width="13" customWidth="1" min="3" max="3"/>
    <col width="34" customWidth="1" min="4" max="4"/>
    <col width="42" customWidth="1" min="5" max="5"/>
    <col width="18" customWidth="1" min="6" max="6"/>
  </cols>
  <sheetData>
    <row r="1" ht="30" customHeight="1">
      <c r="B1" s="1" t="inlineStr">
        <is>
          <t>MIX SHOP DIGITAL</t>
        </is>
      </c>
      <c r="D1" s="2" t="inlineStr">
        <is>
          <t>MOVIMIENTOS</t>
        </is>
      </c>
    </row>
    <row r="2" ht="18" customHeight="1">
      <c r="B2" s="3" t="inlineStr">
        <is>
          <t>Herramientas inteligentes que simplifican tu vida.</t>
        </is>
      </c>
      <c r="D2" s="4" t="inlineStr">
        <is>
          <t>Anotá cada venta y cada gasto</t>
        </is>
      </c>
    </row>
    <row r="3" ht="4" customHeight="1">
      <c r="B3" s="5" t="n"/>
    </row>
    <row r="4" ht="20" customHeight="1">
      <c r="B4" s="55" t="inlineStr">
        <is>
          <t>← PANEL</t>
        </is>
      </c>
      <c r="C4" s="6" t="inlineStr">
        <is>
          <t>Una fila por movimiento. Completá solamente las celdas amarillas. Podés ordenar y filtrar con la fila de títulos.</t>
        </is>
      </c>
    </row>
    <row r="5">
      <c r="B5" s="56">
        <f>"Registros cargados: "&amp;COUNT(F7:F406)&amp;" de 400   ·   Ingresos del año: "&amp;FIXED(PANEL!C29,0)&amp;"   ·   Gastos del año: "&amp;FIXED(PANEL!D29,0)&amp;" "&amp;Moneda</f>
        <v/>
      </c>
    </row>
    <row r="6" ht="24" customHeight="1">
      <c r="B6" s="8" t="inlineStr">
        <is>
          <t>Fecha</t>
        </is>
      </c>
      <c r="C6" s="8" t="inlineStr">
        <is>
          <t>Tipo</t>
        </is>
      </c>
      <c r="D6" s="8" t="inlineStr">
        <is>
          <t>Categoría</t>
        </is>
      </c>
      <c r="E6" s="8" t="inlineStr">
        <is>
          <t>Detalle (opcional)</t>
        </is>
      </c>
      <c r="F6" s="8" t="inlineStr">
        <is>
          <t>Monto</t>
        </is>
      </c>
    </row>
    <row r="7">
      <c r="B7" s="57" t="n">
        <v>46023</v>
      </c>
      <c r="C7" s="58" t="inlineStr">
        <is>
          <t>Gasto</t>
        </is>
      </c>
      <c r="D7" s="59" t="inlineStr">
        <is>
          <t>Publicidad</t>
        </is>
      </c>
      <c r="E7" s="59" t="inlineStr">
        <is>
          <t>Ejemplo: anuncios en redes</t>
        </is>
      </c>
      <c r="F7" s="60" t="n">
        <v>600000</v>
      </c>
    </row>
    <row r="8">
      <c r="B8" s="57" t="n">
        <v>46024</v>
      </c>
      <c r="C8" s="58" t="inlineStr">
        <is>
          <t>Gasto</t>
        </is>
      </c>
      <c r="D8" s="59" t="inlineStr">
        <is>
          <t>Alquiler</t>
        </is>
      </c>
      <c r="E8" s="59" t="inlineStr">
        <is>
          <t>Ejemplo: alquiler del local</t>
        </is>
      </c>
      <c r="F8" s="60" t="n">
        <v>1500000</v>
      </c>
    </row>
    <row r="9">
      <c r="B9" s="57" t="n">
        <v>46028</v>
      </c>
      <c r="C9" s="58" t="inlineStr">
        <is>
          <t>Ingreso</t>
        </is>
      </c>
      <c r="D9" s="59" t="inlineStr">
        <is>
          <t>Ventas de servicios</t>
        </is>
      </c>
      <c r="E9" s="59" t="inlineStr">
        <is>
          <t>Ejemplo: venta</t>
        </is>
      </c>
      <c r="F9" s="60" t="n">
        <v>1110000</v>
      </c>
    </row>
    <row r="10">
      <c r="B10" s="57" t="n">
        <v>46029</v>
      </c>
      <c r="C10" s="58" t="inlineStr">
        <is>
          <t>Gasto</t>
        </is>
      </c>
      <c r="D10" s="59" t="inlineStr">
        <is>
          <t>Servicios (luz, agua, internet)</t>
        </is>
      </c>
      <c r="E10" s="59" t="inlineStr">
        <is>
          <t>Ejemplo: luz, agua e internet</t>
        </is>
      </c>
      <c r="F10" s="60" t="n">
        <v>420000</v>
      </c>
    </row>
    <row r="11">
      <c r="B11" s="57" t="n">
        <v>46030</v>
      </c>
      <c r="C11" s="58" t="inlineStr">
        <is>
          <t>Gasto</t>
        </is>
      </c>
      <c r="D11" s="59" t="inlineStr">
        <is>
          <t>Sueldos y mano de obra</t>
        </is>
      </c>
      <c r="E11" s="59" t="inlineStr">
        <is>
          <t>Ejemplo: ayudante</t>
        </is>
      </c>
      <c r="F11" s="60" t="n">
        <v>2200000</v>
      </c>
    </row>
    <row r="12">
      <c r="B12" s="57" t="n">
        <v>46032</v>
      </c>
      <c r="C12" s="58" t="inlineStr">
        <is>
          <t>Ingreso</t>
        </is>
      </c>
      <c r="D12" s="59" t="inlineStr">
        <is>
          <t>Ventas de productos</t>
        </is>
      </c>
      <c r="E12" s="59" t="inlineStr">
        <is>
          <t>Ejemplo: venta</t>
        </is>
      </c>
      <c r="F12" s="60" t="n">
        <v>1530000</v>
      </c>
    </row>
    <row r="13">
      <c r="B13" s="57" t="n">
        <v>46037</v>
      </c>
      <c r="C13" s="58" t="inlineStr">
        <is>
          <t>Ingreso</t>
        </is>
      </c>
      <c r="D13" s="59" t="inlineStr">
        <is>
          <t>Ventas online</t>
        </is>
      </c>
      <c r="E13" s="59" t="inlineStr">
        <is>
          <t>Ejemplo: venta</t>
        </is>
      </c>
      <c r="F13" s="60" t="n">
        <v>675000</v>
      </c>
    </row>
    <row r="14">
      <c r="B14" s="57" t="n">
        <v>46037</v>
      </c>
      <c r="C14" s="58" t="inlineStr">
        <is>
          <t>Gasto</t>
        </is>
      </c>
      <c r="D14" s="59" t="inlineStr">
        <is>
          <t>Comisiones y bancos</t>
        </is>
      </c>
      <c r="E14" s="59" t="inlineStr">
        <is>
          <t>Ejemplo: comisión de tarjeta</t>
        </is>
      </c>
      <c r="F14" s="60" t="n">
        <v>50000</v>
      </c>
    </row>
    <row r="15">
      <c r="B15" s="57" t="n">
        <v>46040</v>
      </c>
      <c r="C15" s="58" t="inlineStr">
        <is>
          <t>Ingreso</t>
        </is>
      </c>
      <c r="D15" s="59" t="inlineStr">
        <is>
          <t>Ventas de productos</t>
        </is>
      </c>
      <c r="E15" s="59" t="inlineStr">
        <is>
          <t>Ejemplo: venta</t>
        </is>
      </c>
      <c r="F15" s="60" t="n">
        <v>1000000</v>
      </c>
    </row>
    <row r="16">
      <c r="B16" s="57" t="n">
        <v>46042</v>
      </c>
      <c r="C16" s="58" t="inlineStr">
        <is>
          <t>Ingreso</t>
        </is>
      </c>
      <c r="D16" s="59" t="inlineStr">
        <is>
          <t>Ventas de servicios</t>
        </is>
      </c>
      <c r="E16" s="59" t="inlineStr">
        <is>
          <t>Ejemplo: venta</t>
        </is>
      </c>
      <c r="F16" s="60" t="n">
        <v>1140000</v>
      </c>
    </row>
    <row r="17">
      <c r="B17" s="57" t="n">
        <v>46042</v>
      </c>
      <c r="C17" s="58" t="inlineStr">
        <is>
          <t>Gasto</t>
        </is>
      </c>
      <c r="D17" s="59" t="inlineStr">
        <is>
          <t>Mercadería e insumos</t>
        </is>
      </c>
      <c r="E17" s="59" t="inlineStr">
        <is>
          <t>Ejemplo: compra de mercadería</t>
        </is>
      </c>
      <c r="F17" s="60" t="n">
        <v>2925000</v>
      </c>
    </row>
    <row r="18">
      <c r="B18" s="57" t="n">
        <v>46043</v>
      </c>
      <c r="C18" s="58" t="inlineStr">
        <is>
          <t>Ingreso</t>
        </is>
      </c>
      <c r="D18" s="59" t="inlineStr">
        <is>
          <t>Ventas de productos</t>
        </is>
      </c>
      <c r="E18" s="59" t="inlineStr">
        <is>
          <t>Ejemplo: venta</t>
        </is>
      </c>
      <c r="F18" s="60" t="n">
        <v>985000</v>
      </c>
    </row>
    <row r="19">
      <c r="B19" s="57" t="n">
        <v>46045</v>
      </c>
      <c r="C19" s="58" t="inlineStr">
        <is>
          <t>Ingreso</t>
        </is>
      </c>
      <c r="D19" s="59" t="inlineStr">
        <is>
          <t>Ventas online</t>
        </is>
      </c>
      <c r="E19" s="59" t="inlineStr">
        <is>
          <t>Ejemplo: venta</t>
        </is>
      </c>
      <c r="F19" s="60" t="n">
        <v>1050000</v>
      </c>
    </row>
    <row r="20">
      <c r="B20" s="57" t="n">
        <v>46047</v>
      </c>
      <c r="C20" s="58" t="inlineStr">
        <is>
          <t>Gasto</t>
        </is>
      </c>
      <c r="D20" s="59" t="inlineStr">
        <is>
          <t>Transporte y envíos</t>
        </is>
      </c>
      <c r="E20" s="59" t="inlineStr">
        <is>
          <t>Ejemplo: envíos a clientes</t>
        </is>
      </c>
      <c r="F20" s="60" t="n">
        <v>100000</v>
      </c>
    </row>
    <row r="21">
      <c r="B21" s="57" t="n">
        <v>46054</v>
      </c>
      <c r="C21" s="58" t="inlineStr">
        <is>
          <t>Ingreso</t>
        </is>
      </c>
      <c r="D21" s="59" t="inlineStr">
        <is>
          <t>Ventas de productos</t>
        </is>
      </c>
      <c r="E21" s="59" t="inlineStr">
        <is>
          <t>Ejemplo: venta</t>
        </is>
      </c>
      <c r="F21" s="60" t="n">
        <v>1255000</v>
      </c>
    </row>
    <row r="22">
      <c r="B22" s="57" t="n">
        <v>46055</v>
      </c>
      <c r="C22" s="58" t="inlineStr">
        <is>
          <t>Gasto</t>
        </is>
      </c>
      <c r="D22" s="59" t="inlineStr">
        <is>
          <t>Servicios (luz, agua, internet)</t>
        </is>
      </c>
      <c r="E22" s="59" t="inlineStr">
        <is>
          <t>Ejemplo: luz, agua e internet</t>
        </is>
      </c>
      <c r="F22" s="60" t="n">
        <v>454000</v>
      </c>
    </row>
    <row r="23">
      <c r="B23" s="57" t="n">
        <v>46057</v>
      </c>
      <c r="C23" s="58" t="inlineStr">
        <is>
          <t>Ingreso</t>
        </is>
      </c>
      <c r="D23" s="59" t="inlineStr">
        <is>
          <t>Ventas de productos</t>
        </is>
      </c>
      <c r="E23" s="59" t="inlineStr">
        <is>
          <t>Ejemplo: venta</t>
        </is>
      </c>
      <c r="F23" s="60" t="n">
        <v>880000</v>
      </c>
    </row>
    <row r="24">
      <c r="B24" s="57" t="n">
        <v>46060</v>
      </c>
      <c r="C24" s="58" t="inlineStr">
        <is>
          <t>Gasto</t>
        </is>
      </c>
      <c r="D24" s="59" t="inlineStr">
        <is>
          <t>Alquiler</t>
        </is>
      </c>
      <c r="E24" s="59" t="inlineStr">
        <is>
          <t>Ejemplo: alquiler del local</t>
        </is>
      </c>
      <c r="F24" s="60" t="n">
        <v>1500000</v>
      </c>
    </row>
    <row r="25">
      <c r="B25" s="57" t="n">
        <v>46061</v>
      </c>
      <c r="C25" s="58" t="inlineStr">
        <is>
          <t>Ingreso</t>
        </is>
      </c>
      <c r="D25" s="59" t="inlineStr">
        <is>
          <t>Ventas de productos</t>
        </is>
      </c>
      <c r="E25" s="59" t="inlineStr">
        <is>
          <t>Ejemplo: venta</t>
        </is>
      </c>
      <c r="F25" s="60" t="n">
        <v>1145000</v>
      </c>
    </row>
    <row r="26">
      <c r="B26" s="57" t="n">
        <v>46062</v>
      </c>
      <c r="C26" s="58" t="inlineStr">
        <is>
          <t>Ingreso</t>
        </is>
      </c>
      <c r="D26" s="59" t="inlineStr">
        <is>
          <t>Ventas de productos</t>
        </is>
      </c>
      <c r="E26" s="59" t="inlineStr">
        <is>
          <t>Ejemplo: venta</t>
        </is>
      </c>
      <c r="F26" s="60" t="n">
        <v>1080000</v>
      </c>
    </row>
    <row r="27">
      <c r="B27" s="57" t="n">
        <v>46066</v>
      </c>
      <c r="C27" s="58" t="inlineStr">
        <is>
          <t>Gasto</t>
        </is>
      </c>
      <c r="D27" s="59" t="inlineStr">
        <is>
          <t>Mercadería e insumos</t>
        </is>
      </c>
      <c r="E27" s="59" t="inlineStr">
        <is>
          <t>Ejemplo: compra de mercadería</t>
        </is>
      </c>
      <c r="F27" s="60" t="n">
        <v>3040000</v>
      </c>
    </row>
    <row r="28">
      <c r="B28" s="57" t="n">
        <v>46066</v>
      </c>
      <c r="C28" s="58" t="inlineStr">
        <is>
          <t>Gasto</t>
        </is>
      </c>
      <c r="D28" s="59" t="inlineStr">
        <is>
          <t>Transporte y envíos</t>
        </is>
      </c>
      <c r="E28" s="59" t="inlineStr">
        <is>
          <t>Ejemplo: envíos a clientes</t>
        </is>
      </c>
      <c r="F28" s="60" t="n">
        <v>100000</v>
      </c>
    </row>
    <row r="29">
      <c r="B29" s="57" t="n">
        <v>46067</v>
      </c>
      <c r="C29" s="58" t="inlineStr">
        <is>
          <t>Ingreso</t>
        </is>
      </c>
      <c r="D29" s="59" t="inlineStr">
        <is>
          <t>Ventas de servicios</t>
        </is>
      </c>
      <c r="E29" s="59" t="inlineStr">
        <is>
          <t>Ejemplo: venta</t>
        </is>
      </c>
      <c r="F29" s="60" t="n">
        <v>1315000</v>
      </c>
    </row>
    <row r="30">
      <c r="B30" s="57" t="n">
        <v>46067</v>
      </c>
      <c r="C30" s="58" t="inlineStr">
        <is>
          <t>Gasto</t>
        </is>
      </c>
      <c r="D30" s="59" t="inlineStr">
        <is>
          <t>Comisiones y bancos</t>
        </is>
      </c>
      <c r="E30" s="59" t="inlineStr">
        <is>
          <t>Ejemplo: comisión de tarjeta</t>
        </is>
      </c>
      <c r="F30" s="60" t="n">
        <v>50000</v>
      </c>
    </row>
    <row r="31">
      <c r="B31" s="57" t="n">
        <v>46069</v>
      </c>
      <c r="C31" s="58" t="inlineStr">
        <is>
          <t>Gasto</t>
        </is>
      </c>
      <c r="D31" s="59" t="inlineStr">
        <is>
          <t>Sueldos y mano de obra</t>
        </is>
      </c>
      <c r="E31" s="59" t="inlineStr">
        <is>
          <t>Ejemplo: ayudante</t>
        </is>
      </c>
      <c r="F31" s="60" t="n">
        <v>2200000</v>
      </c>
    </row>
    <row r="32">
      <c r="B32" s="57" t="n">
        <v>46076</v>
      </c>
      <c r="C32" s="58" t="inlineStr">
        <is>
          <t>Gasto</t>
        </is>
      </c>
      <c r="D32" s="59" t="inlineStr">
        <is>
          <t>Publicidad</t>
        </is>
      </c>
      <c r="E32" s="59" t="inlineStr">
        <is>
          <t>Ejemplo: anuncios en redes</t>
        </is>
      </c>
      <c r="F32" s="60" t="n">
        <v>200000</v>
      </c>
    </row>
    <row r="33">
      <c r="B33" s="57" t="n">
        <v>46078</v>
      </c>
      <c r="C33" s="58" t="inlineStr">
        <is>
          <t>Ingreso</t>
        </is>
      </c>
      <c r="D33" s="59" t="inlineStr">
        <is>
          <t>Ventas de productos</t>
        </is>
      </c>
      <c r="E33" s="59" t="inlineStr">
        <is>
          <t>Ejemplo: venta</t>
        </is>
      </c>
      <c r="F33" s="60" t="n">
        <v>730000</v>
      </c>
    </row>
    <row r="34">
      <c r="B34" s="57" t="n">
        <v>46080</v>
      </c>
      <c r="C34" s="58" t="inlineStr">
        <is>
          <t>Ingreso</t>
        </is>
      </c>
      <c r="D34" s="59" t="inlineStr">
        <is>
          <t>Ventas online</t>
        </is>
      </c>
      <c r="E34" s="59" t="inlineStr">
        <is>
          <t>Ejemplo: venta</t>
        </is>
      </c>
      <c r="F34" s="60" t="n">
        <v>1795000</v>
      </c>
    </row>
    <row r="35">
      <c r="B35" s="57" t="n">
        <v>46082</v>
      </c>
      <c r="C35" s="58" t="inlineStr">
        <is>
          <t>Gasto</t>
        </is>
      </c>
      <c r="D35" s="59" t="inlineStr">
        <is>
          <t>Servicios (luz, agua, internet)</t>
        </is>
      </c>
      <c r="E35" s="59" t="inlineStr">
        <is>
          <t>Ejemplo: luz, agua e internet</t>
        </is>
      </c>
      <c r="F35" s="60" t="n">
        <v>413000</v>
      </c>
    </row>
    <row r="36">
      <c r="B36" s="57" t="n">
        <v>46082</v>
      </c>
      <c r="C36" s="58" t="inlineStr">
        <is>
          <t>Gasto</t>
        </is>
      </c>
      <c r="D36" s="59" t="inlineStr">
        <is>
          <t>Impuestos</t>
        </is>
      </c>
      <c r="E36" s="59" t="inlineStr">
        <is>
          <t>Ejemplo: impuestos del trimestre</t>
        </is>
      </c>
      <c r="F36" s="60" t="n">
        <v>700000</v>
      </c>
    </row>
    <row r="37">
      <c r="B37" s="57" t="n">
        <v>46083</v>
      </c>
      <c r="C37" s="58" t="inlineStr">
        <is>
          <t>Ingreso</t>
        </is>
      </c>
      <c r="D37" s="59" t="inlineStr">
        <is>
          <t>Ventas de productos</t>
        </is>
      </c>
      <c r="E37" s="59" t="inlineStr">
        <is>
          <t>Ejemplo: venta</t>
        </is>
      </c>
      <c r="F37" s="60" t="n">
        <v>1015000</v>
      </c>
    </row>
    <row r="38">
      <c r="B38" s="57" t="n">
        <v>46085</v>
      </c>
      <c r="C38" s="58" t="inlineStr">
        <is>
          <t>Ingreso</t>
        </is>
      </c>
      <c r="D38" s="59" t="inlineStr">
        <is>
          <t>Ventas online</t>
        </is>
      </c>
      <c r="E38" s="59" t="inlineStr">
        <is>
          <t>Ejemplo: venta</t>
        </is>
      </c>
      <c r="F38" s="60" t="n">
        <v>405000</v>
      </c>
    </row>
    <row r="39">
      <c r="B39" s="57" t="n">
        <v>46088</v>
      </c>
      <c r="C39" s="58" t="inlineStr">
        <is>
          <t>Gasto</t>
        </is>
      </c>
      <c r="D39" s="59" t="inlineStr">
        <is>
          <t>Alquiler</t>
        </is>
      </c>
      <c r="E39" s="59" t="inlineStr">
        <is>
          <t>Ejemplo: alquiler del local</t>
        </is>
      </c>
      <c r="F39" s="60" t="n">
        <v>1500000</v>
      </c>
    </row>
    <row r="40">
      <c r="B40" s="57" t="n">
        <v>46090</v>
      </c>
      <c r="C40" s="58" t="inlineStr">
        <is>
          <t>Gasto</t>
        </is>
      </c>
      <c r="D40" s="59" t="inlineStr">
        <is>
          <t>Sueldos y mano de obra</t>
        </is>
      </c>
      <c r="E40" s="59" t="inlineStr">
        <is>
          <t>Ejemplo: ayudante</t>
        </is>
      </c>
      <c r="F40" s="60" t="n">
        <v>2200000</v>
      </c>
    </row>
    <row r="41">
      <c r="B41" s="57" t="n">
        <v>46091</v>
      </c>
      <c r="C41" s="58" t="inlineStr">
        <is>
          <t>Gasto</t>
        </is>
      </c>
      <c r="D41" s="59" t="inlineStr">
        <is>
          <t>Comisiones y bancos</t>
        </is>
      </c>
      <c r="E41" s="59" t="inlineStr">
        <is>
          <t>Ejemplo: comisión de tarjeta</t>
        </is>
      </c>
      <c r="F41" s="60" t="n">
        <v>100000</v>
      </c>
    </row>
    <row r="42">
      <c r="B42" s="57" t="n">
        <v>46097</v>
      </c>
      <c r="C42" s="58" t="inlineStr">
        <is>
          <t>Ingreso</t>
        </is>
      </c>
      <c r="D42" s="59" t="inlineStr">
        <is>
          <t>Ventas de productos</t>
        </is>
      </c>
      <c r="E42" s="59" t="inlineStr">
        <is>
          <t>Ejemplo: venta</t>
        </is>
      </c>
      <c r="F42" s="60" t="n">
        <v>575000</v>
      </c>
    </row>
    <row r="43">
      <c r="B43" s="57" t="n">
        <v>46098</v>
      </c>
      <c r="C43" s="58" t="inlineStr">
        <is>
          <t>Ingreso</t>
        </is>
      </c>
      <c r="D43" s="59" t="inlineStr">
        <is>
          <t>Ventas de productos</t>
        </is>
      </c>
      <c r="E43" s="59" t="inlineStr">
        <is>
          <t>Ejemplo: venta</t>
        </is>
      </c>
      <c r="F43" s="60" t="n">
        <v>630000</v>
      </c>
    </row>
    <row r="44">
      <c r="B44" s="57" t="n">
        <v>46099</v>
      </c>
      <c r="C44" s="58" t="inlineStr">
        <is>
          <t>Ingreso</t>
        </is>
      </c>
      <c r="D44" s="59" t="inlineStr">
        <is>
          <t>Ventas de productos</t>
        </is>
      </c>
      <c r="E44" s="59" t="inlineStr">
        <is>
          <t>Ejemplo: venta</t>
        </is>
      </c>
      <c r="F44" s="60" t="n">
        <v>420000</v>
      </c>
    </row>
    <row r="45">
      <c r="B45" s="57" t="n">
        <v>46100</v>
      </c>
      <c r="C45" s="58" t="inlineStr">
        <is>
          <t>Gasto</t>
        </is>
      </c>
      <c r="D45" s="59" t="inlineStr">
        <is>
          <t>Transporte y envíos</t>
        </is>
      </c>
      <c r="E45" s="59" t="inlineStr">
        <is>
          <t>Ejemplo: envíos a clientes</t>
        </is>
      </c>
      <c r="F45" s="60" t="n">
        <v>100000</v>
      </c>
    </row>
    <row r="46">
      <c r="B46" s="57" t="n">
        <v>46104</v>
      </c>
      <c r="C46" s="58" t="inlineStr">
        <is>
          <t>Ingreso</t>
        </is>
      </c>
      <c r="D46" s="59" t="inlineStr">
        <is>
          <t>Ventas de productos</t>
        </is>
      </c>
      <c r="E46" s="59" t="inlineStr">
        <is>
          <t>Ejemplo: venta</t>
        </is>
      </c>
      <c r="F46" s="60" t="n">
        <v>885000</v>
      </c>
    </row>
    <row r="47">
      <c r="B47" s="57" t="n">
        <v>46105</v>
      </c>
      <c r="C47" s="58" t="inlineStr">
        <is>
          <t>Ingreso</t>
        </is>
      </c>
      <c r="D47" s="59" t="inlineStr">
        <is>
          <t>Ventas de productos</t>
        </is>
      </c>
      <c r="E47" s="59" t="inlineStr">
        <is>
          <t>Ejemplo: venta</t>
        </is>
      </c>
      <c r="F47" s="60" t="n">
        <v>1170000</v>
      </c>
    </row>
    <row r="48">
      <c r="B48" s="57" t="n">
        <v>46107</v>
      </c>
      <c r="C48" s="58" t="inlineStr">
        <is>
          <t>Gasto</t>
        </is>
      </c>
      <c r="D48" s="59" t="inlineStr">
        <is>
          <t>Publicidad</t>
        </is>
      </c>
      <c r="E48" s="59" t="inlineStr">
        <is>
          <t>Ejemplo: anuncios en redes</t>
        </is>
      </c>
      <c r="F48" s="60" t="n">
        <v>500000</v>
      </c>
    </row>
    <row r="49">
      <c r="B49" s="57" t="n">
        <v>46109</v>
      </c>
      <c r="C49" s="58" t="inlineStr">
        <is>
          <t>Gasto</t>
        </is>
      </c>
      <c r="D49" s="59" t="inlineStr">
        <is>
          <t>Mercadería e insumos</t>
        </is>
      </c>
      <c r="E49" s="59" t="inlineStr">
        <is>
          <t>Ejemplo: compra de mercadería</t>
        </is>
      </c>
      <c r="F49" s="60" t="n">
        <v>1905000</v>
      </c>
    </row>
    <row r="50">
      <c r="B50" s="57" t="n">
        <v>46115</v>
      </c>
      <c r="C50" s="58" t="inlineStr">
        <is>
          <t>Ingreso</t>
        </is>
      </c>
      <c r="D50" s="59" t="inlineStr">
        <is>
          <t>Ventas de productos</t>
        </is>
      </c>
      <c r="E50" s="59" t="inlineStr">
        <is>
          <t>Ejemplo: venta</t>
        </is>
      </c>
      <c r="F50" s="60" t="n">
        <v>1900000</v>
      </c>
    </row>
    <row r="51">
      <c r="B51" s="57" t="n">
        <v>46117</v>
      </c>
      <c r="C51" s="58" t="inlineStr">
        <is>
          <t>Gasto</t>
        </is>
      </c>
      <c r="D51" s="59" t="inlineStr">
        <is>
          <t>Sueldos y mano de obra</t>
        </is>
      </c>
      <c r="E51" s="59" t="inlineStr">
        <is>
          <t>Ejemplo: ayudante</t>
        </is>
      </c>
      <c r="F51" s="60" t="n">
        <v>2200000</v>
      </c>
    </row>
    <row r="52">
      <c r="B52" s="57" t="n">
        <v>46118</v>
      </c>
      <c r="C52" s="58" t="inlineStr">
        <is>
          <t>Gasto</t>
        </is>
      </c>
      <c r="D52" s="59" t="inlineStr">
        <is>
          <t>Alquiler</t>
        </is>
      </c>
      <c r="E52" s="59" t="inlineStr">
        <is>
          <t>Ejemplo: alquiler del local</t>
        </is>
      </c>
      <c r="F52" s="60" t="n">
        <v>1500000</v>
      </c>
    </row>
    <row r="53">
      <c r="B53" s="57" t="n">
        <v>46119</v>
      </c>
      <c r="C53" s="58" t="inlineStr">
        <is>
          <t>Ingreso</t>
        </is>
      </c>
      <c r="D53" s="59" t="inlineStr">
        <is>
          <t>Ventas de productos</t>
        </is>
      </c>
      <c r="E53" s="59" t="inlineStr">
        <is>
          <t>Ejemplo: venta</t>
        </is>
      </c>
      <c r="F53" s="60" t="n">
        <v>1580000</v>
      </c>
    </row>
    <row r="54">
      <c r="B54" s="57" t="n">
        <v>46120</v>
      </c>
      <c r="C54" s="58" t="inlineStr">
        <is>
          <t>Ingreso</t>
        </is>
      </c>
      <c r="D54" s="59" t="inlineStr">
        <is>
          <t>Ventas de servicios</t>
        </is>
      </c>
      <c r="E54" s="59" t="inlineStr">
        <is>
          <t>Ejemplo: venta</t>
        </is>
      </c>
      <c r="F54" s="60" t="n">
        <v>760000</v>
      </c>
    </row>
    <row r="55">
      <c r="B55" s="57" t="n">
        <v>46120</v>
      </c>
      <c r="C55" s="58" t="inlineStr">
        <is>
          <t>Gasto</t>
        </is>
      </c>
      <c r="D55" s="59" t="inlineStr">
        <is>
          <t>Publicidad</t>
        </is>
      </c>
      <c r="E55" s="59" t="inlineStr">
        <is>
          <t>Ejemplo: anuncios en redes</t>
        </is>
      </c>
      <c r="F55" s="60" t="n">
        <v>500000</v>
      </c>
    </row>
    <row r="56">
      <c r="B56" s="57" t="n">
        <v>46122</v>
      </c>
      <c r="C56" s="58" t="inlineStr">
        <is>
          <t>Gasto</t>
        </is>
      </c>
      <c r="D56" s="59" t="inlineStr">
        <is>
          <t>Mercadería e insumos</t>
        </is>
      </c>
      <c r="E56" s="59" t="inlineStr">
        <is>
          <t>Ejemplo: compra de mercadería</t>
        </is>
      </c>
      <c r="F56" s="60" t="n">
        <v>3915000</v>
      </c>
    </row>
    <row r="57">
      <c r="B57" s="57" t="n">
        <v>46124</v>
      </c>
      <c r="C57" s="58" t="inlineStr">
        <is>
          <t>Ingreso</t>
        </is>
      </c>
      <c r="D57" s="59" t="inlineStr">
        <is>
          <t>Ventas de productos</t>
        </is>
      </c>
      <c r="E57" s="59" t="inlineStr">
        <is>
          <t>Ejemplo: venta</t>
        </is>
      </c>
      <c r="F57" s="60" t="n">
        <v>2105000</v>
      </c>
    </row>
    <row r="58">
      <c r="B58" s="57" t="n">
        <v>46127</v>
      </c>
      <c r="C58" s="58" t="inlineStr">
        <is>
          <t>Ingreso</t>
        </is>
      </c>
      <c r="D58" s="59" t="inlineStr">
        <is>
          <t>Ventas de productos</t>
        </is>
      </c>
      <c r="E58" s="59" t="inlineStr">
        <is>
          <t>Ejemplo: venta</t>
        </is>
      </c>
      <c r="F58" s="60" t="n">
        <v>930000</v>
      </c>
    </row>
    <row r="59">
      <c r="B59" s="57" t="n">
        <v>46132</v>
      </c>
      <c r="C59" s="58" t="inlineStr">
        <is>
          <t>Gasto</t>
        </is>
      </c>
      <c r="D59" s="59" t="inlineStr">
        <is>
          <t>Comisiones y bancos</t>
        </is>
      </c>
      <c r="E59" s="59" t="inlineStr">
        <is>
          <t>Ejemplo: comisión de tarjeta</t>
        </is>
      </c>
      <c r="F59" s="60" t="n">
        <v>100000</v>
      </c>
    </row>
    <row r="60">
      <c r="B60" s="57" t="n">
        <v>46133</v>
      </c>
      <c r="C60" s="58" t="inlineStr">
        <is>
          <t>Gasto</t>
        </is>
      </c>
      <c r="D60" s="59" t="inlineStr">
        <is>
          <t>Servicios (luz, agua, internet)</t>
        </is>
      </c>
      <c r="E60" s="59" t="inlineStr">
        <is>
          <t>Ejemplo: luz, agua e internet</t>
        </is>
      </c>
      <c r="F60" s="60" t="n">
        <v>412000</v>
      </c>
    </row>
    <row r="61">
      <c r="B61" s="57" t="n">
        <v>46137</v>
      </c>
      <c r="C61" s="58" t="inlineStr">
        <is>
          <t>Ingreso</t>
        </is>
      </c>
      <c r="D61" s="59" t="inlineStr">
        <is>
          <t>Ventas de productos</t>
        </is>
      </c>
      <c r="E61" s="59" t="inlineStr">
        <is>
          <t>Ejemplo: venta</t>
        </is>
      </c>
      <c r="F61" s="60" t="n">
        <v>925000</v>
      </c>
    </row>
    <row r="62">
      <c r="B62" s="57" t="n">
        <v>46139</v>
      </c>
      <c r="C62" s="58" t="inlineStr">
        <is>
          <t>Ingreso</t>
        </is>
      </c>
      <c r="D62" s="59" t="inlineStr">
        <is>
          <t>Ventas de servicios</t>
        </is>
      </c>
      <c r="E62" s="59" t="inlineStr">
        <is>
          <t>Ejemplo: venta</t>
        </is>
      </c>
      <c r="F62" s="60" t="n">
        <v>1205000</v>
      </c>
    </row>
    <row r="63">
      <c r="B63" s="57" t="n">
        <v>46139</v>
      </c>
      <c r="C63" s="58" t="inlineStr">
        <is>
          <t>Gasto</t>
        </is>
      </c>
      <c r="D63" s="59" t="inlineStr">
        <is>
          <t>Transporte y envíos</t>
        </is>
      </c>
      <c r="E63" s="59" t="inlineStr">
        <is>
          <t>Ejemplo: envíos a clientes</t>
        </is>
      </c>
      <c r="F63" s="60" t="n">
        <v>200000</v>
      </c>
    </row>
    <row r="64">
      <c r="B64" s="57" t="n">
        <v>46145</v>
      </c>
      <c r="C64" s="58" t="inlineStr">
        <is>
          <t>Gasto</t>
        </is>
      </c>
      <c r="D64" s="59" t="inlineStr">
        <is>
          <t>Comisiones y bancos</t>
        </is>
      </c>
      <c r="E64" s="59" t="inlineStr">
        <is>
          <t>Ejemplo: comisión de tarjeta</t>
        </is>
      </c>
      <c r="F64" s="60" t="n">
        <v>50000</v>
      </c>
    </row>
    <row r="65">
      <c r="B65" s="57" t="n">
        <v>46146</v>
      </c>
      <c r="C65" s="58" t="inlineStr">
        <is>
          <t>Ingreso</t>
        </is>
      </c>
      <c r="D65" s="59" t="inlineStr">
        <is>
          <t>Ventas de productos</t>
        </is>
      </c>
      <c r="E65" s="59" t="inlineStr">
        <is>
          <t>Ejemplo: venta</t>
        </is>
      </c>
      <c r="F65" s="60" t="n">
        <v>900000</v>
      </c>
    </row>
    <row r="66">
      <c r="B66" s="57" t="n">
        <v>46151</v>
      </c>
      <c r="C66" s="58" t="inlineStr">
        <is>
          <t>Ingreso</t>
        </is>
      </c>
      <c r="D66" s="59" t="inlineStr">
        <is>
          <t>Ventas de productos</t>
        </is>
      </c>
      <c r="E66" s="59" t="inlineStr">
        <is>
          <t>Ejemplo: venta</t>
        </is>
      </c>
      <c r="F66" s="60" t="n">
        <v>1740000</v>
      </c>
    </row>
    <row r="67">
      <c r="B67" s="57" t="n">
        <v>46151</v>
      </c>
      <c r="C67" s="58" t="inlineStr">
        <is>
          <t>Gasto</t>
        </is>
      </c>
      <c r="D67" s="59" t="inlineStr">
        <is>
          <t>Mantenimiento</t>
        </is>
      </c>
      <c r="E67" s="59" t="inlineStr">
        <is>
          <t>Ejemplo: arreglo de heladera</t>
        </is>
      </c>
      <c r="F67" s="60" t="n">
        <v>350000</v>
      </c>
    </row>
    <row r="68">
      <c r="B68" s="57" t="n">
        <v>46156</v>
      </c>
      <c r="C68" s="58" t="inlineStr">
        <is>
          <t>Ingreso</t>
        </is>
      </c>
      <c r="D68" s="59" t="inlineStr">
        <is>
          <t>Ventas de servicios</t>
        </is>
      </c>
      <c r="E68" s="59" t="inlineStr">
        <is>
          <t>Ejemplo: venta</t>
        </is>
      </c>
      <c r="F68" s="60" t="n">
        <v>990000</v>
      </c>
    </row>
    <row r="69">
      <c r="B69" s="57" t="n">
        <v>46156</v>
      </c>
      <c r="C69" s="58" t="inlineStr">
        <is>
          <t>Ingreso</t>
        </is>
      </c>
      <c r="D69" s="59" t="inlineStr">
        <is>
          <t>Ventas de productos</t>
        </is>
      </c>
      <c r="E69" s="59" t="inlineStr">
        <is>
          <t>Ejemplo: venta</t>
        </is>
      </c>
      <c r="F69" s="60" t="n">
        <v>910000</v>
      </c>
    </row>
    <row r="70">
      <c r="B70" s="57" t="n">
        <v>46158</v>
      </c>
      <c r="C70" s="58" t="inlineStr">
        <is>
          <t>Gasto</t>
        </is>
      </c>
      <c r="D70" s="59" t="inlineStr">
        <is>
          <t>Alquiler</t>
        </is>
      </c>
      <c r="E70" s="59" t="inlineStr">
        <is>
          <t>Ejemplo: alquiler del local</t>
        </is>
      </c>
      <c r="F70" s="60" t="n">
        <v>1500000</v>
      </c>
    </row>
    <row r="71">
      <c r="B71" s="57" t="n">
        <v>46159</v>
      </c>
      <c r="C71" s="58" t="inlineStr">
        <is>
          <t>Ingreso</t>
        </is>
      </c>
      <c r="D71" s="59" t="inlineStr">
        <is>
          <t>Ventas de productos</t>
        </is>
      </c>
      <c r="E71" s="59" t="inlineStr">
        <is>
          <t>Ejemplo: venta</t>
        </is>
      </c>
      <c r="F71" s="60" t="n">
        <v>1955000</v>
      </c>
    </row>
    <row r="72">
      <c r="B72" s="57" t="n">
        <v>46160</v>
      </c>
      <c r="C72" s="58" t="inlineStr">
        <is>
          <t>Gasto</t>
        </is>
      </c>
      <c r="D72" s="59" t="inlineStr">
        <is>
          <t>Servicios (luz, agua, internet)</t>
        </is>
      </c>
      <c r="E72" s="59" t="inlineStr">
        <is>
          <t>Ejemplo: luz, agua e internet</t>
        </is>
      </c>
      <c r="F72" s="60" t="n">
        <v>424000</v>
      </c>
    </row>
    <row r="73">
      <c r="B73" s="57" t="n">
        <v>46162</v>
      </c>
      <c r="C73" s="58" t="inlineStr">
        <is>
          <t>Ingreso</t>
        </is>
      </c>
      <c r="D73" s="59" t="inlineStr">
        <is>
          <t>Ventas online</t>
        </is>
      </c>
      <c r="E73" s="59" t="inlineStr">
        <is>
          <t>Ejemplo: venta</t>
        </is>
      </c>
      <c r="F73" s="60" t="n">
        <v>2060000</v>
      </c>
    </row>
    <row r="74">
      <c r="B74" s="57" t="n">
        <v>46162</v>
      </c>
      <c r="C74" s="58" t="inlineStr">
        <is>
          <t>Gasto</t>
        </is>
      </c>
      <c r="D74" s="59" t="inlineStr">
        <is>
          <t>Publicidad</t>
        </is>
      </c>
      <c r="E74" s="59" t="inlineStr">
        <is>
          <t>Ejemplo: anuncios en redes</t>
        </is>
      </c>
      <c r="F74" s="60" t="n">
        <v>200000</v>
      </c>
    </row>
    <row r="75">
      <c r="B75" s="57" t="n">
        <v>46162</v>
      </c>
      <c r="C75" s="58" t="inlineStr">
        <is>
          <t>Gasto</t>
        </is>
      </c>
      <c r="D75" s="59" t="inlineStr">
        <is>
          <t>Transporte y envíos</t>
        </is>
      </c>
      <c r="E75" s="59" t="inlineStr">
        <is>
          <t>Ejemplo: envíos a clientes</t>
        </is>
      </c>
      <c r="F75" s="60" t="n">
        <v>200000</v>
      </c>
    </row>
    <row r="76">
      <c r="B76" s="57" t="n">
        <v>46163</v>
      </c>
      <c r="C76" s="58" t="inlineStr">
        <is>
          <t>Gasto</t>
        </is>
      </c>
      <c r="D76" s="59" t="inlineStr">
        <is>
          <t>Sueldos y mano de obra</t>
        </is>
      </c>
      <c r="E76" s="59" t="inlineStr">
        <is>
          <t>Ejemplo: ayudante</t>
        </is>
      </c>
      <c r="F76" s="60" t="n">
        <v>2200000</v>
      </c>
    </row>
    <row r="77">
      <c r="B77" s="57" t="n">
        <v>46165</v>
      </c>
      <c r="C77" s="58" t="inlineStr">
        <is>
          <t>Ingreso</t>
        </is>
      </c>
      <c r="D77" s="59" t="inlineStr">
        <is>
          <t>Ventas de productos</t>
        </is>
      </c>
      <c r="E77" s="59" t="inlineStr">
        <is>
          <t>Ejemplo: venta</t>
        </is>
      </c>
      <c r="F77" s="60" t="n">
        <v>2045000</v>
      </c>
    </row>
    <row r="78">
      <c r="B78" s="57" t="n">
        <v>46170</v>
      </c>
      <c r="C78" s="58" t="inlineStr">
        <is>
          <t>Gasto</t>
        </is>
      </c>
      <c r="D78" s="59" t="inlineStr">
        <is>
          <t>Mercadería e insumos</t>
        </is>
      </c>
      <c r="E78" s="59" t="inlineStr">
        <is>
          <t>Ejemplo: compra de mercadería</t>
        </is>
      </c>
      <c r="F78" s="60" t="n">
        <v>4390000</v>
      </c>
    </row>
    <row r="79">
      <c r="B79" s="57" t="n">
        <v>46174</v>
      </c>
      <c r="C79" s="58" t="inlineStr">
        <is>
          <t>Ingreso</t>
        </is>
      </c>
      <c r="D79" s="59" t="inlineStr">
        <is>
          <t>Ventas de servicios</t>
        </is>
      </c>
      <c r="E79" s="59" t="inlineStr">
        <is>
          <t>Ejemplo: venta</t>
        </is>
      </c>
      <c r="F79" s="60" t="n">
        <v>810000</v>
      </c>
    </row>
    <row r="80">
      <c r="B80" s="57" t="n">
        <v>46176</v>
      </c>
      <c r="C80" s="58" t="inlineStr">
        <is>
          <t>Gasto</t>
        </is>
      </c>
      <c r="D80" s="59" t="inlineStr">
        <is>
          <t>Servicios (luz, agua, internet)</t>
        </is>
      </c>
      <c r="E80" s="59" t="inlineStr">
        <is>
          <t>Ejemplo: luz, agua e internet</t>
        </is>
      </c>
      <c r="F80" s="60" t="n">
        <v>501000</v>
      </c>
    </row>
    <row r="81">
      <c r="B81" s="57" t="n">
        <v>46176</v>
      </c>
      <c r="C81" s="58" t="inlineStr">
        <is>
          <t>Gasto</t>
        </is>
      </c>
      <c r="D81" s="59" t="inlineStr">
        <is>
          <t>Mercadería e insumos</t>
        </is>
      </c>
      <c r="E81" s="59" t="inlineStr">
        <is>
          <t>Ejemplo: compra de mercadería</t>
        </is>
      </c>
      <c r="F81" s="60" t="n">
        <v>4085000</v>
      </c>
    </row>
    <row r="82">
      <c r="B82" s="57" t="n">
        <v>46178</v>
      </c>
      <c r="C82" s="58" t="inlineStr">
        <is>
          <t>Ingreso</t>
        </is>
      </c>
      <c r="D82" s="59" t="inlineStr">
        <is>
          <t>Ventas de servicios</t>
        </is>
      </c>
      <c r="E82" s="59" t="inlineStr">
        <is>
          <t>Ejemplo: venta</t>
        </is>
      </c>
      <c r="F82" s="60" t="n">
        <v>2385000</v>
      </c>
    </row>
    <row r="83">
      <c r="B83" s="57" t="n">
        <v>46178</v>
      </c>
      <c r="C83" s="58" t="inlineStr">
        <is>
          <t>Ingreso</t>
        </is>
      </c>
      <c r="D83" s="59" t="inlineStr">
        <is>
          <t>Ventas de productos</t>
        </is>
      </c>
      <c r="E83" s="59" t="inlineStr">
        <is>
          <t>Ejemplo: venta</t>
        </is>
      </c>
      <c r="F83" s="60" t="n">
        <v>2085000</v>
      </c>
    </row>
    <row r="84">
      <c r="B84" s="57" t="n">
        <v>46178</v>
      </c>
      <c r="C84" s="58" t="inlineStr">
        <is>
          <t>Ingreso</t>
        </is>
      </c>
      <c r="D84" s="59" t="inlineStr">
        <is>
          <t>Ventas de productos</t>
        </is>
      </c>
      <c r="E84" s="59" t="inlineStr">
        <is>
          <t>Ejemplo: venta</t>
        </is>
      </c>
      <c r="F84" s="60" t="n">
        <v>1180000</v>
      </c>
    </row>
    <row r="85">
      <c r="B85" s="57" t="n">
        <v>46178</v>
      </c>
      <c r="C85" s="58" t="inlineStr">
        <is>
          <t>Gasto</t>
        </is>
      </c>
      <c r="D85" s="59" t="inlineStr">
        <is>
          <t>Impuestos</t>
        </is>
      </c>
      <c r="E85" s="59" t="inlineStr">
        <is>
          <t>Ejemplo: impuestos del trimestre</t>
        </is>
      </c>
      <c r="F85" s="60" t="n">
        <v>800000</v>
      </c>
    </row>
    <row r="86">
      <c r="B86" s="57" t="n">
        <v>46183</v>
      </c>
      <c r="C86" s="58" t="inlineStr">
        <is>
          <t>Gasto</t>
        </is>
      </c>
      <c r="D86" s="59" t="inlineStr">
        <is>
          <t>Transporte y envíos</t>
        </is>
      </c>
      <c r="E86" s="59" t="inlineStr">
        <is>
          <t>Ejemplo: envíos a clientes</t>
        </is>
      </c>
      <c r="F86" s="60" t="n">
        <v>100000</v>
      </c>
    </row>
    <row r="87">
      <c r="B87" s="57" t="n">
        <v>46184</v>
      </c>
      <c r="C87" s="58" t="inlineStr">
        <is>
          <t>Ingreso</t>
        </is>
      </c>
      <c r="D87" s="59" t="inlineStr">
        <is>
          <t>Ventas online</t>
        </is>
      </c>
      <c r="E87" s="59" t="inlineStr">
        <is>
          <t>Ejemplo: venta</t>
        </is>
      </c>
      <c r="F87" s="60" t="n">
        <v>850000</v>
      </c>
    </row>
    <row r="88">
      <c r="B88" s="57" t="n">
        <v>46184</v>
      </c>
      <c r="C88" s="58" t="inlineStr">
        <is>
          <t>Gasto</t>
        </is>
      </c>
      <c r="D88" s="59" t="inlineStr">
        <is>
          <t>Comisiones y bancos</t>
        </is>
      </c>
      <c r="E88" s="59" t="inlineStr">
        <is>
          <t>Ejemplo: comisión de tarjeta</t>
        </is>
      </c>
      <c r="F88" s="60" t="n">
        <v>50000</v>
      </c>
    </row>
    <row r="89">
      <c r="B89" s="57" t="n">
        <v>46189</v>
      </c>
      <c r="C89" s="58" t="inlineStr">
        <is>
          <t>Gasto</t>
        </is>
      </c>
      <c r="D89" s="59" t="inlineStr">
        <is>
          <t>Sueldos y mano de obra</t>
        </is>
      </c>
      <c r="E89" s="59" t="inlineStr">
        <is>
          <t>Ejemplo: ayudante</t>
        </is>
      </c>
      <c r="F89" s="60" t="n">
        <v>2200000</v>
      </c>
    </row>
    <row r="90">
      <c r="B90" s="57" t="n">
        <v>46190</v>
      </c>
      <c r="C90" s="58" t="inlineStr">
        <is>
          <t>Ingreso</t>
        </is>
      </c>
      <c r="D90" s="59" t="inlineStr">
        <is>
          <t>Ventas de productos</t>
        </is>
      </c>
      <c r="E90" s="59" t="inlineStr">
        <is>
          <t>Ejemplo: venta</t>
        </is>
      </c>
      <c r="F90" s="60" t="n">
        <v>1110000</v>
      </c>
    </row>
    <row r="91">
      <c r="B91" s="57" t="n">
        <v>46194</v>
      </c>
      <c r="C91" s="58" t="inlineStr">
        <is>
          <t>Gasto</t>
        </is>
      </c>
      <c r="D91" s="59" t="inlineStr">
        <is>
          <t>Alquiler</t>
        </is>
      </c>
      <c r="E91" s="59" t="inlineStr">
        <is>
          <t>Ejemplo: alquiler del local</t>
        </is>
      </c>
      <c r="F91" s="60" t="n">
        <v>1500000</v>
      </c>
    </row>
    <row r="92">
      <c r="B92" s="57" t="n">
        <v>46196</v>
      </c>
      <c r="C92" s="58" t="inlineStr">
        <is>
          <t>Ingreso</t>
        </is>
      </c>
      <c r="D92" s="59" t="inlineStr">
        <is>
          <t>Ventas de servicios</t>
        </is>
      </c>
      <c r="E92" s="59" t="inlineStr">
        <is>
          <t>Ejemplo: venta</t>
        </is>
      </c>
      <c r="F92" s="60" t="n">
        <v>1475000</v>
      </c>
    </row>
    <row r="93">
      <c r="B93" s="57" t="n">
        <v>46197</v>
      </c>
      <c r="C93" s="58" t="inlineStr">
        <is>
          <t>Gasto</t>
        </is>
      </c>
      <c r="D93" s="59" t="inlineStr">
        <is>
          <t>Publicidad</t>
        </is>
      </c>
      <c r="E93" s="59" t="inlineStr">
        <is>
          <t>Ejemplo: anuncios en redes</t>
        </is>
      </c>
      <c r="F93" s="60" t="n">
        <v>400000</v>
      </c>
    </row>
    <row r="94">
      <c r="B94" s="57" t="n">
        <v>46204</v>
      </c>
      <c r="C94" s="58" t="inlineStr">
        <is>
          <t>Ingreso</t>
        </is>
      </c>
      <c r="D94" s="59" t="inlineStr">
        <is>
          <t>Ventas online</t>
        </is>
      </c>
      <c r="E94" s="59" t="inlineStr">
        <is>
          <t>Ejemplo: venta</t>
        </is>
      </c>
      <c r="F94" s="60" t="n">
        <v>2045000</v>
      </c>
    </row>
    <row r="95">
      <c r="B95" s="57" t="n">
        <v>46206</v>
      </c>
      <c r="C95" s="58" t="inlineStr">
        <is>
          <t>Ingreso</t>
        </is>
      </c>
      <c r="D95" s="59" t="inlineStr">
        <is>
          <t>Ventas de productos</t>
        </is>
      </c>
      <c r="E95" s="59" t="inlineStr">
        <is>
          <t>Ejemplo: venta</t>
        </is>
      </c>
      <c r="F95" s="60" t="n">
        <v>1490000</v>
      </c>
    </row>
    <row r="96">
      <c r="B96" s="57" t="n">
        <v>46206</v>
      </c>
      <c r="C96" s="58" t="inlineStr">
        <is>
          <t>Gasto</t>
        </is>
      </c>
      <c r="D96" s="59" t="inlineStr">
        <is>
          <t>Alquiler</t>
        </is>
      </c>
      <c r="E96" s="59" t="inlineStr">
        <is>
          <t>Ejemplo: alquiler del local</t>
        </is>
      </c>
      <c r="F96" s="60" t="n">
        <v>1500000</v>
      </c>
    </row>
    <row r="97">
      <c r="B97" s="57" t="n">
        <v>46207</v>
      </c>
      <c r="C97" s="58" t="inlineStr">
        <is>
          <t>Gasto</t>
        </is>
      </c>
      <c r="D97" s="59" t="inlineStr">
        <is>
          <t>Sueldos y mano de obra</t>
        </is>
      </c>
      <c r="E97" s="59" t="inlineStr">
        <is>
          <t>Ejemplo: ayudante</t>
        </is>
      </c>
      <c r="F97" s="60" t="n">
        <v>2200000</v>
      </c>
    </row>
    <row r="98">
      <c r="B98" s="57" t="n">
        <v>46212</v>
      </c>
      <c r="C98" s="58" t="inlineStr">
        <is>
          <t>Gasto</t>
        </is>
      </c>
      <c r="D98" s="59" t="inlineStr">
        <is>
          <t>Mercadería e insumos</t>
        </is>
      </c>
      <c r="E98" s="59" t="inlineStr">
        <is>
          <t>Ejemplo: compra de mercadería</t>
        </is>
      </c>
      <c r="F98" s="60" t="n">
        <v>4370000</v>
      </c>
    </row>
    <row r="99">
      <c r="B99" s="57" t="n">
        <v>46214</v>
      </c>
      <c r="C99" s="58" t="inlineStr">
        <is>
          <t>Ingreso</t>
        </is>
      </c>
      <c r="D99" s="59" t="inlineStr">
        <is>
          <t>Ventas online</t>
        </is>
      </c>
      <c r="E99" s="59" t="inlineStr">
        <is>
          <t>Ejemplo: venta</t>
        </is>
      </c>
      <c r="F99" s="60" t="n">
        <v>2200000</v>
      </c>
    </row>
    <row r="100">
      <c r="B100" s="57" t="n">
        <v>46214</v>
      </c>
      <c r="C100" s="58" t="inlineStr">
        <is>
          <t>Gasto</t>
        </is>
      </c>
      <c r="D100" s="59" t="inlineStr">
        <is>
          <t>Comisiones y bancos</t>
        </is>
      </c>
      <c r="E100" s="59" t="inlineStr">
        <is>
          <t>Ejemplo: comisión de tarjeta</t>
        </is>
      </c>
      <c r="F100" s="60" t="n">
        <v>50000</v>
      </c>
    </row>
    <row r="101">
      <c r="B101" s="57" t="n">
        <v>46217</v>
      </c>
      <c r="C101" s="58" t="inlineStr">
        <is>
          <t>Ingreso</t>
        </is>
      </c>
      <c r="D101" s="59" t="inlineStr">
        <is>
          <t>Ventas online</t>
        </is>
      </c>
      <c r="E101" s="59" t="inlineStr">
        <is>
          <t>Ejemplo: venta</t>
        </is>
      </c>
      <c r="F101" s="60" t="n">
        <v>1790000</v>
      </c>
    </row>
    <row r="102">
      <c r="B102" s="57" t="n">
        <v>46217</v>
      </c>
      <c r="C102" s="58" t="inlineStr">
        <is>
          <t>Gasto</t>
        </is>
      </c>
      <c r="D102" s="59" t="inlineStr">
        <is>
          <t>Publicidad</t>
        </is>
      </c>
      <c r="E102" s="59" t="inlineStr">
        <is>
          <t>Ejemplo: anuncios en redes</t>
        </is>
      </c>
      <c r="F102" s="60" t="n">
        <v>200000</v>
      </c>
    </row>
    <row r="103">
      <c r="B103" s="57" t="n">
        <v>46222</v>
      </c>
      <c r="C103" s="58" t="inlineStr">
        <is>
          <t>Ingreso</t>
        </is>
      </c>
      <c r="D103" s="59" t="inlineStr">
        <is>
          <t>Ventas online</t>
        </is>
      </c>
      <c r="E103" s="59" t="inlineStr">
        <is>
          <t>Ejemplo: venta</t>
        </is>
      </c>
      <c r="F103" s="60" t="n">
        <v>1790000</v>
      </c>
    </row>
    <row r="104">
      <c r="B104" s="57" t="n">
        <v>46224</v>
      </c>
      <c r="C104" s="58" t="inlineStr">
        <is>
          <t>Gasto</t>
        </is>
      </c>
      <c r="D104" s="59" t="inlineStr">
        <is>
          <t>Servicios (luz, agua, internet)</t>
        </is>
      </c>
      <c r="E104" s="59" t="inlineStr">
        <is>
          <t>Ejemplo: luz, agua e internet</t>
        </is>
      </c>
      <c r="F104" s="60" t="n">
        <v>477000</v>
      </c>
    </row>
    <row r="105">
      <c r="B105" s="57" t="n">
        <v>46225</v>
      </c>
      <c r="C105" s="58" t="inlineStr">
        <is>
          <t>Ingreso</t>
        </is>
      </c>
      <c r="D105" s="59" t="inlineStr">
        <is>
          <t>Ventas de productos</t>
        </is>
      </c>
      <c r="E105" s="59" t="inlineStr">
        <is>
          <t>Ejemplo: venta</t>
        </is>
      </c>
      <c r="F105" s="60" t="n">
        <v>750000</v>
      </c>
    </row>
    <row r="106">
      <c r="B106" s="57" t="n">
        <v>46225</v>
      </c>
      <c r="C106" s="58" t="inlineStr">
        <is>
          <t>Ingreso</t>
        </is>
      </c>
      <c r="D106" s="59" t="inlineStr">
        <is>
          <t>Ventas de productos</t>
        </is>
      </c>
      <c r="E106" s="59" t="inlineStr">
        <is>
          <t>Ejemplo: venta</t>
        </is>
      </c>
      <c r="F106" s="60" t="n">
        <v>1735000</v>
      </c>
    </row>
    <row r="107">
      <c r="B107" s="57" t="n">
        <v>46227</v>
      </c>
      <c r="C107" s="58" t="inlineStr">
        <is>
          <t>Gasto</t>
        </is>
      </c>
      <c r="D107" s="59" t="inlineStr">
        <is>
          <t>Transporte y envíos</t>
        </is>
      </c>
      <c r="E107" s="59" t="inlineStr">
        <is>
          <t>Ejemplo: envíos a clientes</t>
        </is>
      </c>
      <c r="F107" s="60" t="n">
        <v>100000</v>
      </c>
    </row>
    <row r="108">
      <c r="B108" s="57" t="n">
        <v>46235</v>
      </c>
      <c r="C108" s="58" t="inlineStr">
        <is>
          <t>Ingreso</t>
        </is>
      </c>
      <c r="D108" s="59" t="inlineStr">
        <is>
          <t>Ventas de productos</t>
        </is>
      </c>
      <c r="E108" s="59" t="inlineStr">
        <is>
          <t>Ejemplo: venta</t>
        </is>
      </c>
      <c r="F108" s="60" t="n">
        <v>2125000</v>
      </c>
    </row>
    <row r="109">
      <c r="B109" s="57" t="n">
        <v>46235</v>
      </c>
      <c r="C109" s="58" t="inlineStr">
        <is>
          <t>Ingreso</t>
        </is>
      </c>
      <c r="D109" s="59" t="inlineStr">
        <is>
          <t>Ventas de productos</t>
        </is>
      </c>
      <c r="E109" s="59" t="inlineStr">
        <is>
          <t>Ejemplo: venta</t>
        </is>
      </c>
      <c r="F109" s="60" t="n">
        <v>905000</v>
      </c>
    </row>
    <row r="110">
      <c r="B110" s="57" t="n">
        <v>46239</v>
      </c>
      <c r="C110" s="58" t="inlineStr">
        <is>
          <t>Ingreso</t>
        </is>
      </c>
      <c r="D110" s="59" t="inlineStr">
        <is>
          <t>Ventas de productos</t>
        </is>
      </c>
      <c r="E110" s="59" t="inlineStr">
        <is>
          <t>Ejemplo: venta</t>
        </is>
      </c>
      <c r="F110" s="60" t="n">
        <v>2155000</v>
      </c>
    </row>
    <row r="111">
      <c r="B111" s="57" t="n">
        <v>46241</v>
      </c>
      <c r="C111" s="58" t="inlineStr">
        <is>
          <t>Gasto</t>
        </is>
      </c>
      <c r="D111" s="59" t="inlineStr">
        <is>
          <t>Transporte y envíos</t>
        </is>
      </c>
      <c r="E111" s="59" t="inlineStr">
        <is>
          <t>Ejemplo: envíos a clientes</t>
        </is>
      </c>
      <c r="F111" s="60" t="n">
        <v>400000</v>
      </c>
    </row>
    <row r="112">
      <c r="B112" s="57" t="n">
        <v>46242</v>
      </c>
      <c r="C112" s="58" t="inlineStr">
        <is>
          <t>Gasto</t>
        </is>
      </c>
      <c r="D112" s="59" t="inlineStr">
        <is>
          <t>Alquiler</t>
        </is>
      </c>
      <c r="E112" s="59" t="inlineStr">
        <is>
          <t>Ejemplo: alquiler del local</t>
        </is>
      </c>
      <c r="F112" s="60" t="n">
        <v>1500000</v>
      </c>
    </row>
    <row r="113">
      <c r="B113" s="57" t="n">
        <v>46243</v>
      </c>
      <c r="C113" s="58" t="inlineStr">
        <is>
          <t>Gasto</t>
        </is>
      </c>
      <c r="D113" s="59" t="inlineStr">
        <is>
          <t>Publicidad</t>
        </is>
      </c>
      <c r="E113" s="59" t="inlineStr">
        <is>
          <t>Ejemplo: anuncios en redes</t>
        </is>
      </c>
      <c r="F113" s="60" t="n">
        <v>400000</v>
      </c>
    </row>
    <row r="114">
      <c r="B114" s="57" t="n">
        <v>46245</v>
      </c>
      <c r="C114" s="58" t="inlineStr">
        <is>
          <t>Gasto</t>
        </is>
      </c>
      <c r="D114" s="59" t="inlineStr">
        <is>
          <t>Servicios (luz, agua, internet)</t>
        </is>
      </c>
      <c r="E114" s="59" t="inlineStr">
        <is>
          <t>Ejemplo: luz, agua e internet</t>
        </is>
      </c>
      <c r="F114" s="60" t="n">
        <v>431000</v>
      </c>
    </row>
    <row r="115">
      <c r="B115" s="57" t="n">
        <v>46247</v>
      </c>
      <c r="C115" s="58" t="inlineStr">
        <is>
          <t>Gasto</t>
        </is>
      </c>
      <c r="D115" s="59" t="inlineStr">
        <is>
          <t>Sueldos y mano de obra</t>
        </is>
      </c>
      <c r="E115" s="59" t="inlineStr">
        <is>
          <t>Ejemplo: ayudante</t>
        </is>
      </c>
      <c r="F115" s="60" t="n">
        <v>2200000</v>
      </c>
    </row>
    <row r="116">
      <c r="B116" s="57" t="n">
        <v>46250</v>
      </c>
      <c r="C116" s="58" t="inlineStr">
        <is>
          <t>Ingreso</t>
        </is>
      </c>
      <c r="D116" s="59" t="inlineStr">
        <is>
          <t>Ventas de servicios</t>
        </is>
      </c>
      <c r="E116" s="59" t="inlineStr">
        <is>
          <t>Ejemplo: venta</t>
        </is>
      </c>
      <c r="F116" s="60" t="n">
        <v>2320000</v>
      </c>
    </row>
    <row r="117">
      <c r="B117" s="57" t="n">
        <v>46254</v>
      </c>
      <c r="C117" s="58" t="inlineStr">
        <is>
          <t>Ingreso</t>
        </is>
      </c>
      <c r="D117" s="59" t="inlineStr">
        <is>
          <t>Ventas de productos</t>
        </is>
      </c>
      <c r="E117" s="59" t="inlineStr">
        <is>
          <t>Ejemplo: venta</t>
        </is>
      </c>
      <c r="F117" s="60" t="n">
        <v>1475000</v>
      </c>
    </row>
    <row r="118">
      <c r="B118" s="57" t="n">
        <v>46255</v>
      </c>
      <c r="C118" s="58" t="inlineStr">
        <is>
          <t>Gasto</t>
        </is>
      </c>
      <c r="D118" s="59" t="inlineStr">
        <is>
          <t>Comisiones y bancos</t>
        </is>
      </c>
      <c r="E118" s="59" t="inlineStr">
        <is>
          <t>Ejemplo: comisión de tarjeta</t>
        </is>
      </c>
      <c r="F118" s="60" t="n">
        <v>100000</v>
      </c>
    </row>
    <row r="119">
      <c r="B119" s="57" t="n">
        <v>46256</v>
      </c>
      <c r="C119" s="58" t="inlineStr">
        <is>
          <t>Gasto</t>
        </is>
      </c>
      <c r="D119" s="59" t="inlineStr">
        <is>
          <t>Mercadería e insumos</t>
        </is>
      </c>
      <c r="E119" s="59" t="inlineStr">
        <is>
          <t>Ejemplo: compra de mercadería</t>
        </is>
      </c>
      <c r="F119" s="60" t="n">
        <v>4730000</v>
      </c>
    </row>
    <row r="120">
      <c r="B120" s="57" t="n">
        <v>46257</v>
      </c>
      <c r="C120" s="58" t="inlineStr">
        <is>
          <t>Ingreso</t>
        </is>
      </c>
      <c r="D120" s="59" t="inlineStr">
        <is>
          <t>Ventas de productos</t>
        </is>
      </c>
      <c r="E120" s="59" t="inlineStr">
        <is>
          <t>Ejemplo: venta</t>
        </is>
      </c>
      <c r="F120" s="60" t="n">
        <v>1840000</v>
      </c>
    </row>
    <row r="121">
      <c r="B121" s="57" t="n">
        <v>46259</v>
      </c>
      <c r="C121" s="58" t="inlineStr">
        <is>
          <t>Ingreso</t>
        </is>
      </c>
      <c r="D121" s="59" t="inlineStr">
        <is>
          <t>Ventas de productos</t>
        </is>
      </c>
      <c r="E121" s="59" t="inlineStr">
        <is>
          <t>Ejemplo: venta</t>
        </is>
      </c>
      <c r="F121" s="60" t="n">
        <v>1575000</v>
      </c>
    </row>
    <row r="122">
      <c r="B122" s="57" t="n">
        <v>46268</v>
      </c>
      <c r="C122" s="58" t="inlineStr">
        <is>
          <t>Ingreso</t>
        </is>
      </c>
      <c r="D122" s="59" t="inlineStr">
        <is>
          <t>Ventas de productos</t>
        </is>
      </c>
      <c r="E122" s="59" t="inlineStr">
        <is>
          <t>Ejemplo: venta</t>
        </is>
      </c>
      <c r="F122" s="60" t="n">
        <v>2215000</v>
      </c>
    </row>
    <row r="123">
      <c r="B123" s="57" t="n">
        <v>46268</v>
      </c>
      <c r="C123" s="58" t="inlineStr">
        <is>
          <t>Gasto</t>
        </is>
      </c>
      <c r="D123" s="59" t="inlineStr">
        <is>
          <t>Comisiones y bancos</t>
        </is>
      </c>
      <c r="E123" s="59" t="inlineStr">
        <is>
          <t>Ejemplo: comisión de tarjeta</t>
        </is>
      </c>
      <c r="F123" s="60" t="n">
        <v>150000</v>
      </c>
    </row>
    <row r="124">
      <c r="B124" s="57" t="n">
        <v>46269</v>
      </c>
      <c r="C124" s="58" t="inlineStr">
        <is>
          <t>Ingreso</t>
        </is>
      </c>
      <c r="D124" s="59" t="inlineStr">
        <is>
          <t>Ventas online</t>
        </is>
      </c>
      <c r="E124" s="59" t="inlineStr">
        <is>
          <t>Ejemplo: venta</t>
        </is>
      </c>
      <c r="F124" s="60" t="n">
        <v>1325000</v>
      </c>
    </row>
    <row r="125">
      <c r="B125" s="57" t="n">
        <v>46274</v>
      </c>
      <c r="C125" s="58" t="inlineStr">
        <is>
          <t>Ingreso</t>
        </is>
      </c>
      <c r="D125" s="59" t="inlineStr">
        <is>
          <t>Ventas online</t>
        </is>
      </c>
      <c r="E125" s="59" t="inlineStr">
        <is>
          <t>Ejemplo: venta</t>
        </is>
      </c>
      <c r="F125" s="60" t="n">
        <v>2160000</v>
      </c>
    </row>
    <row r="126">
      <c r="B126" s="57" t="n">
        <v>46274</v>
      </c>
      <c r="C126" s="58" t="inlineStr">
        <is>
          <t>Ingreso</t>
        </is>
      </c>
      <c r="D126" s="59" t="inlineStr">
        <is>
          <t>Ventas de productos</t>
        </is>
      </c>
      <c r="E126" s="59" t="inlineStr">
        <is>
          <t>Ejemplo: venta</t>
        </is>
      </c>
      <c r="F126" s="60" t="n">
        <v>1660000</v>
      </c>
    </row>
    <row r="127">
      <c r="B127" s="57" t="n">
        <v>46276</v>
      </c>
      <c r="C127" s="58" t="inlineStr">
        <is>
          <t>Gasto</t>
        </is>
      </c>
      <c r="D127" s="59" t="inlineStr">
        <is>
          <t>Transporte y envíos</t>
        </is>
      </c>
      <c r="E127" s="59" t="inlineStr">
        <is>
          <t>Ejemplo: envíos a clientes</t>
        </is>
      </c>
      <c r="F127" s="60" t="n">
        <v>400000</v>
      </c>
    </row>
    <row r="128">
      <c r="B128" s="57" t="n">
        <v>46280</v>
      </c>
      <c r="C128" s="58" t="inlineStr">
        <is>
          <t>Gasto</t>
        </is>
      </c>
      <c r="D128" s="59" t="inlineStr">
        <is>
          <t>Publicidad</t>
        </is>
      </c>
      <c r="E128" s="59" t="inlineStr">
        <is>
          <t>Ejemplo: anuncios en redes</t>
        </is>
      </c>
      <c r="F128" s="60" t="n">
        <v>600000</v>
      </c>
    </row>
    <row r="129">
      <c r="B129" s="57" t="n">
        <v>46281</v>
      </c>
      <c r="C129" s="58" t="inlineStr">
        <is>
          <t>Ingreso</t>
        </is>
      </c>
      <c r="D129" s="59" t="inlineStr">
        <is>
          <t>Ventas de productos</t>
        </is>
      </c>
      <c r="E129" s="59" t="inlineStr">
        <is>
          <t>Ejemplo: venta</t>
        </is>
      </c>
      <c r="F129" s="60" t="n">
        <v>1400000</v>
      </c>
    </row>
    <row r="130">
      <c r="B130" s="57" t="n">
        <v>46285</v>
      </c>
      <c r="C130" s="58" t="inlineStr">
        <is>
          <t>Gasto</t>
        </is>
      </c>
      <c r="D130" s="59" t="inlineStr">
        <is>
          <t>Mercadería e insumos</t>
        </is>
      </c>
      <c r="E130" s="59" t="inlineStr">
        <is>
          <t>Ejemplo: compra de mercadería</t>
        </is>
      </c>
      <c r="F130" s="60" t="n">
        <v>4445000</v>
      </c>
    </row>
    <row r="131">
      <c r="B131" s="57" t="n">
        <v>46288</v>
      </c>
      <c r="C131" s="58" t="inlineStr">
        <is>
          <t>Gasto</t>
        </is>
      </c>
      <c r="D131" s="59" t="inlineStr">
        <is>
          <t>Alquiler</t>
        </is>
      </c>
      <c r="E131" s="59" t="inlineStr">
        <is>
          <t>Ejemplo: alquiler del local</t>
        </is>
      </c>
      <c r="F131" s="60" t="n">
        <v>1500000</v>
      </c>
    </row>
    <row r="132">
      <c r="B132" s="57" t="n">
        <v>46292</v>
      </c>
      <c r="C132" s="58" t="inlineStr">
        <is>
          <t>Ingreso</t>
        </is>
      </c>
      <c r="D132" s="59" t="inlineStr">
        <is>
          <t>Ventas online</t>
        </is>
      </c>
      <c r="E132" s="59" t="inlineStr">
        <is>
          <t>Ejemplo: venta</t>
        </is>
      </c>
      <c r="F132" s="60" t="n">
        <v>1210000</v>
      </c>
    </row>
    <row r="133">
      <c r="B133" s="57" t="n">
        <v>46292</v>
      </c>
      <c r="C133" s="58" t="inlineStr">
        <is>
          <t>Gasto</t>
        </is>
      </c>
      <c r="D133" s="59" t="inlineStr">
        <is>
          <t>Servicios (luz, agua, internet)</t>
        </is>
      </c>
      <c r="E133" s="59" t="inlineStr">
        <is>
          <t>Ejemplo: luz, agua e internet</t>
        </is>
      </c>
      <c r="F133" s="60" t="n">
        <v>485000</v>
      </c>
    </row>
    <row r="134">
      <c r="B134" s="57" t="n">
        <v>46292</v>
      </c>
      <c r="C134" s="58" t="inlineStr">
        <is>
          <t>Gasto</t>
        </is>
      </c>
      <c r="D134" s="59" t="inlineStr">
        <is>
          <t>Sueldos y mano de obra</t>
        </is>
      </c>
      <c r="E134" s="59" t="inlineStr">
        <is>
          <t>Ejemplo: ayudante</t>
        </is>
      </c>
      <c r="F134" s="60" t="n">
        <v>2200000</v>
      </c>
    </row>
    <row r="135">
      <c r="B135" s="57" t="n">
        <v>46292</v>
      </c>
      <c r="C135" s="58" t="inlineStr">
        <is>
          <t>Gasto</t>
        </is>
      </c>
      <c r="D135" s="59" t="inlineStr">
        <is>
          <t>Impuestos</t>
        </is>
      </c>
      <c r="E135" s="59" t="inlineStr">
        <is>
          <t>Ejemplo: impuestos del trimestre</t>
        </is>
      </c>
      <c r="F135" s="60" t="n">
        <v>600000</v>
      </c>
    </row>
    <row r="136">
      <c r="B136" s="57" t="n">
        <v>46293</v>
      </c>
      <c r="C136" s="58" t="inlineStr">
        <is>
          <t>Ingreso</t>
        </is>
      </c>
      <c r="D136" s="59" t="inlineStr">
        <is>
          <t>Ventas de productos</t>
        </is>
      </c>
      <c r="E136" s="59" t="inlineStr">
        <is>
          <t>Ejemplo: venta</t>
        </is>
      </c>
      <c r="F136" s="60" t="n">
        <v>2035000</v>
      </c>
    </row>
    <row r="137">
      <c r="B137" s="57" t="n">
        <v>46297</v>
      </c>
      <c r="C137" s="58" t="inlineStr">
        <is>
          <t>Ingreso</t>
        </is>
      </c>
      <c r="D137" s="59" t="inlineStr">
        <is>
          <t>Ventas de productos</t>
        </is>
      </c>
      <c r="E137" s="59" t="inlineStr">
        <is>
          <t>Ejemplo: venta</t>
        </is>
      </c>
      <c r="F137" s="60" t="n">
        <v>2075000</v>
      </c>
    </row>
    <row r="138">
      <c r="B138" s="57" t="n">
        <v>46299</v>
      </c>
      <c r="C138" s="58" t="inlineStr">
        <is>
          <t>Ingreso</t>
        </is>
      </c>
      <c r="D138" s="59" t="inlineStr">
        <is>
          <t>Ventas online</t>
        </is>
      </c>
      <c r="E138" s="59" t="inlineStr">
        <is>
          <t>Ejemplo: venta</t>
        </is>
      </c>
      <c r="F138" s="60" t="n">
        <v>1515000</v>
      </c>
    </row>
    <row r="139">
      <c r="B139" s="57" t="n">
        <v>46300</v>
      </c>
      <c r="C139" s="58" t="inlineStr">
        <is>
          <t>Ingreso</t>
        </is>
      </c>
      <c r="D139" s="59" t="inlineStr">
        <is>
          <t>Ventas de productos</t>
        </is>
      </c>
      <c r="E139" s="59" t="inlineStr">
        <is>
          <t>Ejemplo: venta</t>
        </is>
      </c>
      <c r="F139" s="60" t="n">
        <v>925000</v>
      </c>
    </row>
    <row r="140">
      <c r="B140" s="57" t="n">
        <v>46301</v>
      </c>
      <c r="C140" s="58" t="inlineStr">
        <is>
          <t>Gasto</t>
        </is>
      </c>
      <c r="D140" s="59" t="inlineStr">
        <is>
          <t>Transporte y envíos</t>
        </is>
      </c>
      <c r="E140" s="59" t="inlineStr">
        <is>
          <t>Ejemplo: envíos a clientes</t>
        </is>
      </c>
      <c r="F140" s="60" t="n">
        <v>100000</v>
      </c>
    </row>
    <row r="141">
      <c r="B141" s="57" t="n">
        <v>46302</v>
      </c>
      <c r="C141" s="58" t="inlineStr">
        <is>
          <t>Ingreso</t>
        </is>
      </c>
      <c r="D141" s="59" t="inlineStr">
        <is>
          <t>Ventas de productos</t>
        </is>
      </c>
      <c r="E141" s="59" t="inlineStr">
        <is>
          <t>Ejemplo: venta</t>
        </is>
      </c>
      <c r="F141" s="60" t="n">
        <v>2720000</v>
      </c>
    </row>
    <row r="142">
      <c r="B142" s="57" t="n">
        <v>46302</v>
      </c>
      <c r="C142" s="58" t="inlineStr">
        <is>
          <t>Gasto</t>
        </is>
      </c>
      <c r="D142" s="59" t="inlineStr">
        <is>
          <t>Alquiler</t>
        </is>
      </c>
      <c r="E142" s="59" t="inlineStr">
        <is>
          <t>Ejemplo: alquiler del local</t>
        </is>
      </c>
      <c r="F142" s="60" t="n">
        <v>1500000</v>
      </c>
    </row>
    <row r="143">
      <c r="B143" s="57" t="n">
        <v>46302</v>
      </c>
      <c r="C143" s="58" t="inlineStr">
        <is>
          <t>Gasto</t>
        </is>
      </c>
      <c r="D143" s="59" t="inlineStr">
        <is>
          <t>Servicios (luz, agua, internet)</t>
        </is>
      </c>
      <c r="E143" s="59" t="inlineStr">
        <is>
          <t>Ejemplo: luz, agua e internet</t>
        </is>
      </c>
      <c r="F143" s="60" t="n">
        <v>517000</v>
      </c>
    </row>
    <row r="144">
      <c r="B144" s="57" t="n">
        <v>46304</v>
      </c>
      <c r="C144" s="58" t="inlineStr">
        <is>
          <t>Gasto</t>
        </is>
      </c>
      <c r="D144" s="59" t="inlineStr">
        <is>
          <t>Publicidad</t>
        </is>
      </c>
      <c r="E144" s="59" t="inlineStr">
        <is>
          <t>Ejemplo: anuncios en redes</t>
        </is>
      </c>
      <c r="F144" s="60" t="n">
        <v>400000</v>
      </c>
    </row>
    <row r="145">
      <c r="B145" s="57" t="n">
        <v>46311</v>
      </c>
      <c r="C145" s="58" t="inlineStr">
        <is>
          <t>Gasto</t>
        </is>
      </c>
      <c r="D145" s="59" t="inlineStr">
        <is>
          <t>Mercadería e insumos</t>
        </is>
      </c>
      <c r="E145" s="59" t="inlineStr">
        <is>
          <t>Ejemplo: compra de mercadería</t>
        </is>
      </c>
      <c r="F145" s="60" t="n">
        <v>5140000</v>
      </c>
    </row>
    <row r="146">
      <c r="B146" s="57" t="n">
        <v>46316</v>
      </c>
      <c r="C146" s="58" t="inlineStr">
        <is>
          <t>Ingreso</t>
        </is>
      </c>
      <c r="D146" s="59" t="inlineStr">
        <is>
          <t>Ventas de productos</t>
        </is>
      </c>
      <c r="E146" s="59" t="inlineStr">
        <is>
          <t>Ejemplo: venta</t>
        </is>
      </c>
      <c r="F146" s="60" t="n">
        <v>2550000</v>
      </c>
    </row>
    <row r="147">
      <c r="B147" s="57" t="n">
        <v>46318</v>
      </c>
      <c r="C147" s="58" t="inlineStr">
        <is>
          <t>Gasto</t>
        </is>
      </c>
      <c r="D147" s="59" t="inlineStr">
        <is>
          <t>Comisiones y bancos</t>
        </is>
      </c>
      <c r="E147" s="59" t="inlineStr">
        <is>
          <t>Ejemplo: comisión de tarjeta</t>
        </is>
      </c>
      <c r="F147" s="60" t="n">
        <v>150000</v>
      </c>
    </row>
    <row r="148">
      <c r="B148" s="57" t="n">
        <v>46320</v>
      </c>
      <c r="C148" s="58" t="inlineStr">
        <is>
          <t>Ingreso</t>
        </is>
      </c>
      <c r="D148" s="59" t="inlineStr">
        <is>
          <t>Ventas de productos</t>
        </is>
      </c>
      <c r="E148" s="59" t="inlineStr">
        <is>
          <t>Ejemplo: venta</t>
        </is>
      </c>
      <c r="F148" s="60" t="n">
        <v>2370000</v>
      </c>
    </row>
    <row r="149">
      <c r="B149" s="57" t="n">
        <v>46322</v>
      </c>
      <c r="C149" s="58" t="inlineStr">
        <is>
          <t>Ingreso</t>
        </is>
      </c>
      <c r="D149" s="59" t="inlineStr">
        <is>
          <t>Ventas de productos</t>
        </is>
      </c>
      <c r="E149" s="59" t="inlineStr">
        <is>
          <t>Ejemplo: venta</t>
        </is>
      </c>
      <c r="F149" s="60" t="n">
        <v>945000</v>
      </c>
    </row>
    <row r="150">
      <c r="B150" s="57" t="n">
        <v>46322</v>
      </c>
      <c r="C150" s="58" t="inlineStr">
        <is>
          <t>Gasto</t>
        </is>
      </c>
      <c r="D150" s="59" t="inlineStr">
        <is>
          <t>Sueldos y mano de obra</t>
        </is>
      </c>
      <c r="E150" s="59" t="inlineStr">
        <is>
          <t>Ejemplo: ayudante</t>
        </is>
      </c>
      <c r="F150" s="60" t="n">
        <v>2200000</v>
      </c>
    </row>
    <row r="151">
      <c r="B151" s="57" t="n"/>
      <c r="C151" s="58" t="n"/>
      <c r="D151" s="59" t="n"/>
      <c r="E151" s="59" t="n"/>
      <c r="F151" s="60" t="n"/>
    </row>
    <row r="152">
      <c r="B152" s="57" t="n"/>
      <c r="C152" s="58" t="n"/>
      <c r="D152" s="59" t="n"/>
      <c r="E152" s="59" t="n"/>
      <c r="F152" s="60" t="n"/>
    </row>
    <row r="153">
      <c r="B153" s="57" t="n"/>
      <c r="C153" s="58" t="n"/>
      <c r="D153" s="59" t="n"/>
      <c r="E153" s="59" t="n"/>
      <c r="F153" s="60" t="n"/>
    </row>
    <row r="154">
      <c r="B154" s="57" t="n"/>
      <c r="C154" s="58" t="n"/>
      <c r="D154" s="59" t="n"/>
      <c r="E154" s="59" t="n"/>
      <c r="F154" s="60" t="n"/>
    </row>
    <row r="155">
      <c r="B155" s="57" t="n"/>
      <c r="C155" s="58" t="n"/>
      <c r="D155" s="59" t="n"/>
      <c r="E155" s="59" t="n"/>
      <c r="F155" s="60" t="n"/>
    </row>
    <row r="156">
      <c r="B156" s="57" t="n"/>
      <c r="C156" s="58" t="n"/>
      <c r="D156" s="59" t="n"/>
      <c r="E156" s="59" t="n"/>
      <c r="F156" s="60" t="n"/>
    </row>
    <row r="157">
      <c r="B157" s="57" t="n"/>
      <c r="C157" s="58" t="n"/>
      <c r="D157" s="59" t="n"/>
      <c r="E157" s="59" t="n"/>
      <c r="F157" s="60" t="n"/>
    </row>
    <row r="158">
      <c r="B158" s="57" t="n"/>
      <c r="C158" s="58" t="n"/>
      <c r="D158" s="59" t="n"/>
      <c r="E158" s="59" t="n"/>
      <c r="F158" s="60" t="n"/>
    </row>
    <row r="159">
      <c r="B159" s="57" t="n"/>
      <c r="C159" s="58" t="n"/>
      <c r="D159" s="59" t="n"/>
      <c r="E159" s="59" t="n"/>
      <c r="F159" s="60" t="n"/>
    </row>
    <row r="160">
      <c r="B160" s="57" t="n"/>
      <c r="C160" s="58" t="n"/>
      <c r="D160" s="59" t="n"/>
      <c r="E160" s="59" t="n"/>
      <c r="F160" s="60" t="n"/>
    </row>
    <row r="161">
      <c r="B161" s="57" t="n"/>
      <c r="C161" s="58" t="n"/>
      <c r="D161" s="59" t="n"/>
      <c r="E161" s="59" t="n"/>
      <c r="F161" s="60" t="n"/>
    </row>
    <row r="162">
      <c r="B162" s="57" t="n"/>
      <c r="C162" s="58" t="n"/>
      <c r="D162" s="59" t="n"/>
      <c r="E162" s="59" t="n"/>
      <c r="F162" s="60" t="n"/>
    </row>
    <row r="163">
      <c r="B163" s="57" t="n"/>
      <c r="C163" s="58" t="n"/>
      <c r="D163" s="59" t="n"/>
      <c r="E163" s="59" t="n"/>
      <c r="F163" s="60" t="n"/>
    </row>
    <row r="164">
      <c r="B164" s="57" t="n"/>
      <c r="C164" s="58" t="n"/>
      <c r="D164" s="59" t="n"/>
      <c r="E164" s="59" t="n"/>
      <c r="F164" s="60" t="n"/>
    </row>
    <row r="165">
      <c r="B165" s="57" t="n"/>
      <c r="C165" s="58" t="n"/>
      <c r="D165" s="59" t="n"/>
      <c r="E165" s="59" t="n"/>
      <c r="F165" s="60" t="n"/>
    </row>
    <row r="166">
      <c r="B166" s="57" t="n"/>
      <c r="C166" s="58" t="n"/>
      <c r="D166" s="59" t="n"/>
      <c r="E166" s="59" t="n"/>
      <c r="F166" s="60" t="n"/>
    </row>
    <row r="167">
      <c r="B167" s="57" t="n"/>
      <c r="C167" s="58" t="n"/>
      <c r="D167" s="59" t="n"/>
      <c r="E167" s="59" t="n"/>
      <c r="F167" s="60" t="n"/>
    </row>
    <row r="168">
      <c r="B168" s="57" t="n"/>
      <c r="C168" s="58" t="n"/>
      <c r="D168" s="59" t="n"/>
      <c r="E168" s="59" t="n"/>
      <c r="F168" s="60" t="n"/>
    </row>
    <row r="169">
      <c r="B169" s="57" t="n"/>
      <c r="C169" s="58" t="n"/>
      <c r="D169" s="59" t="n"/>
      <c r="E169" s="59" t="n"/>
      <c r="F169" s="60" t="n"/>
    </row>
    <row r="170">
      <c r="B170" s="57" t="n"/>
      <c r="C170" s="58" t="n"/>
      <c r="D170" s="59" t="n"/>
      <c r="E170" s="59" t="n"/>
      <c r="F170" s="60" t="n"/>
    </row>
    <row r="171">
      <c r="B171" s="57" t="n"/>
      <c r="C171" s="58" t="n"/>
      <c r="D171" s="59" t="n"/>
      <c r="E171" s="59" t="n"/>
      <c r="F171" s="60" t="n"/>
    </row>
    <row r="172">
      <c r="B172" s="57" t="n"/>
      <c r="C172" s="58" t="n"/>
      <c r="D172" s="59" t="n"/>
      <c r="E172" s="59" t="n"/>
      <c r="F172" s="60" t="n"/>
    </row>
    <row r="173">
      <c r="B173" s="57" t="n"/>
      <c r="C173" s="58" t="n"/>
      <c r="D173" s="59" t="n"/>
      <c r="E173" s="59" t="n"/>
      <c r="F173" s="60" t="n"/>
    </row>
    <row r="174">
      <c r="B174" s="57" t="n"/>
      <c r="C174" s="58" t="n"/>
      <c r="D174" s="59" t="n"/>
      <c r="E174" s="59" t="n"/>
      <c r="F174" s="60" t="n"/>
    </row>
    <row r="175">
      <c r="B175" s="57" t="n"/>
      <c r="C175" s="58" t="n"/>
      <c r="D175" s="59" t="n"/>
      <c r="E175" s="59" t="n"/>
      <c r="F175" s="60" t="n"/>
    </row>
    <row r="176">
      <c r="B176" s="57" t="n"/>
      <c r="C176" s="58" t="n"/>
      <c r="D176" s="59" t="n"/>
      <c r="E176" s="59" t="n"/>
      <c r="F176" s="60" t="n"/>
    </row>
    <row r="177">
      <c r="B177" s="57" t="n"/>
      <c r="C177" s="58" t="n"/>
      <c r="D177" s="59" t="n"/>
      <c r="E177" s="59" t="n"/>
      <c r="F177" s="60" t="n"/>
    </row>
    <row r="178">
      <c r="B178" s="57" t="n"/>
      <c r="C178" s="58" t="n"/>
      <c r="D178" s="59" t="n"/>
      <c r="E178" s="59" t="n"/>
      <c r="F178" s="60" t="n"/>
    </row>
    <row r="179">
      <c r="B179" s="57" t="n"/>
      <c r="C179" s="58" t="n"/>
      <c r="D179" s="59" t="n"/>
      <c r="E179" s="59" t="n"/>
      <c r="F179" s="60" t="n"/>
    </row>
    <row r="180">
      <c r="B180" s="57" t="n"/>
      <c r="C180" s="58" t="n"/>
      <c r="D180" s="59" t="n"/>
      <c r="E180" s="59" t="n"/>
      <c r="F180" s="60" t="n"/>
    </row>
    <row r="181">
      <c r="B181" s="57" t="n"/>
      <c r="C181" s="58" t="n"/>
      <c r="D181" s="59" t="n"/>
      <c r="E181" s="59" t="n"/>
      <c r="F181" s="60" t="n"/>
    </row>
    <row r="182">
      <c r="B182" s="57" t="n"/>
      <c r="C182" s="58" t="n"/>
      <c r="D182" s="59" t="n"/>
      <c r="E182" s="59" t="n"/>
      <c r="F182" s="60" t="n"/>
    </row>
    <row r="183">
      <c r="B183" s="57" t="n"/>
      <c r="C183" s="58" t="n"/>
      <c r="D183" s="59" t="n"/>
      <c r="E183" s="59" t="n"/>
      <c r="F183" s="60" t="n"/>
    </row>
    <row r="184">
      <c r="B184" s="57" t="n"/>
      <c r="C184" s="58" t="n"/>
      <c r="D184" s="59" t="n"/>
      <c r="E184" s="59" t="n"/>
      <c r="F184" s="60" t="n"/>
    </row>
    <row r="185">
      <c r="B185" s="57" t="n"/>
      <c r="C185" s="58" t="n"/>
      <c r="D185" s="59" t="n"/>
      <c r="E185" s="59" t="n"/>
      <c r="F185" s="60" t="n"/>
    </row>
    <row r="186">
      <c r="B186" s="57" t="n"/>
      <c r="C186" s="58" t="n"/>
      <c r="D186" s="59" t="n"/>
      <c r="E186" s="59" t="n"/>
      <c r="F186" s="60" t="n"/>
    </row>
    <row r="187">
      <c r="B187" s="57" t="n"/>
      <c r="C187" s="58" t="n"/>
      <c r="D187" s="59" t="n"/>
      <c r="E187" s="59" t="n"/>
      <c r="F187" s="60" t="n"/>
    </row>
    <row r="188">
      <c r="B188" s="57" t="n"/>
      <c r="C188" s="58" t="n"/>
      <c r="D188" s="59" t="n"/>
      <c r="E188" s="59" t="n"/>
      <c r="F188" s="60" t="n"/>
    </row>
    <row r="189">
      <c r="B189" s="57" t="n"/>
      <c r="C189" s="58" t="n"/>
      <c r="D189" s="59" t="n"/>
      <c r="E189" s="59" t="n"/>
      <c r="F189" s="60" t="n"/>
    </row>
    <row r="190">
      <c r="B190" s="57" t="n"/>
      <c r="C190" s="58" t="n"/>
      <c r="D190" s="59" t="n"/>
      <c r="E190" s="59" t="n"/>
      <c r="F190" s="60" t="n"/>
    </row>
    <row r="191">
      <c r="B191" s="57" t="n"/>
      <c r="C191" s="58" t="n"/>
      <c r="D191" s="59" t="n"/>
      <c r="E191" s="59" t="n"/>
      <c r="F191" s="60" t="n"/>
    </row>
    <row r="192">
      <c r="B192" s="57" t="n"/>
      <c r="C192" s="58" t="n"/>
      <c r="D192" s="59" t="n"/>
      <c r="E192" s="59" t="n"/>
      <c r="F192" s="60" t="n"/>
    </row>
    <row r="193">
      <c r="B193" s="57" t="n"/>
      <c r="C193" s="58" t="n"/>
      <c r="D193" s="59" t="n"/>
      <c r="E193" s="59" t="n"/>
      <c r="F193" s="60" t="n"/>
    </row>
    <row r="194">
      <c r="B194" s="57" t="n"/>
      <c r="C194" s="58" t="n"/>
      <c r="D194" s="59" t="n"/>
      <c r="E194" s="59" t="n"/>
      <c r="F194" s="60" t="n"/>
    </row>
    <row r="195">
      <c r="B195" s="57" t="n"/>
      <c r="C195" s="58" t="n"/>
      <c r="D195" s="59" t="n"/>
      <c r="E195" s="59" t="n"/>
      <c r="F195" s="60" t="n"/>
    </row>
    <row r="196">
      <c r="B196" s="57" t="n"/>
      <c r="C196" s="58" t="n"/>
      <c r="D196" s="59" t="n"/>
      <c r="E196" s="59" t="n"/>
      <c r="F196" s="60" t="n"/>
    </row>
    <row r="197">
      <c r="B197" s="57" t="n"/>
      <c r="C197" s="58" t="n"/>
      <c r="D197" s="59" t="n"/>
      <c r="E197" s="59" t="n"/>
      <c r="F197" s="60" t="n"/>
    </row>
    <row r="198">
      <c r="B198" s="57" t="n"/>
      <c r="C198" s="58" t="n"/>
      <c r="D198" s="59" t="n"/>
      <c r="E198" s="59" t="n"/>
      <c r="F198" s="60" t="n"/>
    </row>
    <row r="199">
      <c r="B199" s="57" t="n"/>
      <c r="C199" s="58" t="n"/>
      <c r="D199" s="59" t="n"/>
      <c r="E199" s="59" t="n"/>
      <c r="F199" s="60" t="n"/>
    </row>
    <row r="200">
      <c r="B200" s="57" t="n"/>
      <c r="C200" s="58" t="n"/>
      <c r="D200" s="59" t="n"/>
      <c r="E200" s="59" t="n"/>
      <c r="F200" s="60" t="n"/>
    </row>
    <row r="201">
      <c r="B201" s="57" t="n"/>
      <c r="C201" s="58" t="n"/>
      <c r="D201" s="59" t="n"/>
      <c r="E201" s="59" t="n"/>
      <c r="F201" s="60" t="n"/>
    </row>
    <row r="202">
      <c r="B202" s="57" t="n"/>
      <c r="C202" s="58" t="n"/>
      <c r="D202" s="59" t="n"/>
      <c r="E202" s="59" t="n"/>
      <c r="F202" s="60" t="n"/>
    </row>
    <row r="203">
      <c r="B203" s="57" t="n"/>
      <c r="C203" s="58" t="n"/>
      <c r="D203" s="59" t="n"/>
      <c r="E203" s="59" t="n"/>
      <c r="F203" s="60" t="n"/>
    </row>
    <row r="204">
      <c r="B204" s="57" t="n"/>
      <c r="C204" s="58" t="n"/>
      <c r="D204" s="59" t="n"/>
      <c r="E204" s="59" t="n"/>
      <c r="F204" s="60" t="n"/>
    </row>
    <row r="205">
      <c r="B205" s="57" t="n"/>
      <c r="C205" s="58" t="n"/>
      <c r="D205" s="59" t="n"/>
      <c r="E205" s="59" t="n"/>
      <c r="F205" s="60" t="n"/>
    </row>
    <row r="206">
      <c r="B206" s="57" t="n"/>
      <c r="C206" s="58" t="n"/>
      <c r="D206" s="59" t="n"/>
      <c r="E206" s="59" t="n"/>
      <c r="F206" s="60" t="n"/>
    </row>
    <row r="207">
      <c r="B207" s="57" t="n"/>
      <c r="C207" s="58" t="n"/>
      <c r="D207" s="59" t="n"/>
      <c r="E207" s="59" t="n"/>
      <c r="F207" s="60" t="n"/>
    </row>
    <row r="208">
      <c r="B208" s="57" t="n"/>
      <c r="C208" s="58" t="n"/>
      <c r="D208" s="59" t="n"/>
      <c r="E208" s="59" t="n"/>
      <c r="F208" s="60" t="n"/>
    </row>
    <row r="209">
      <c r="B209" s="57" t="n"/>
      <c r="C209" s="58" t="n"/>
      <c r="D209" s="59" t="n"/>
      <c r="E209" s="59" t="n"/>
      <c r="F209" s="60" t="n"/>
    </row>
    <row r="210">
      <c r="B210" s="57" t="n"/>
      <c r="C210" s="58" t="n"/>
      <c r="D210" s="59" t="n"/>
      <c r="E210" s="59" t="n"/>
      <c r="F210" s="60" t="n"/>
    </row>
    <row r="211">
      <c r="B211" s="57" t="n"/>
      <c r="C211" s="58" t="n"/>
      <c r="D211" s="59" t="n"/>
      <c r="E211" s="59" t="n"/>
      <c r="F211" s="60" t="n"/>
    </row>
    <row r="212">
      <c r="B212" s="57" t="n"/>
      <c r="C212" s="58" t="n"/>
      <c r="D212" s="59" t="n"/>
      <c r="E212" s="59" t="n"/>
      <c r="F212" s="60" t="n"/>
    </row>
    <row r="213">
      <c r="B213" s="57" t="n"/>
      <c r="C213" s="58" t="n"/>
      <c r="D213" s="59" t="n"/>
      <c r="E213" s="59" t="n"/>
      <c r="F213" s="60" t="n"/>
    </row>
    <row r="214">
      <c r="B214" s="57" t="n"/>
      <c r="C214" s="58" t="n"/>
      <c r="D214" s="59" t="n"/>
      <c r="E214" s="59" t="n"/>
      <c r="F214" s="60" t="n"/>
    </row>
    <row r="215">
      <c r="B215" s="57" t="n"/>
      <c r="C215" s="58" t="n"/>
      <c r="D215" s="59" t="n"/>
      <c r="E215" s="59" t="n"/>
      <c r="F215" s="60" t="n"/>
    </row>
    <row r="216">
      <c r="B216" s="57" t="n"/>
      <c r="C216" s="58" t="n"/>
      <c r="D216" s="59" t="n"/>
      <c r="E216" s="59" t="n"/>
      <c r="F216" s="60" t="n"/>
    </row>
    <row r="217">
      <c r="B217" s="57" t="n"/>
      <c r="C217" s="58" t="n"/>
      <c r="D217" s="59" t="n"/>
      <c r="E217" s="59" t="n"/>
      <c r="F217" s="60" t="n"/>
    </row>
    <row r="218">
      <c r="B218" s="57" t="n"/>
      <c r="C218" s="58" t="n"/>
      <c r="D218" s="59" t="n"/>
      <c r="E218" s="59" t="n"/>
      <c r="F218" s="60" t="n"/>
    </row>
    <row r="219">
      <c r="B219" s="57" t="n"/>
      <c r="C219" s="58" t="n"/>
      <c r="D219" s="59" t="n"/>
      <c r="E219" s="59" t="n"/>
      <c r="F219" s="60" t="n"/>
    </row>
    <row r="220">
      <c r="B220" s="57" t="n"/>
      <c r="C220" s="58" t="n"/>
      <c r="D220" s="59" t="n"/>
      <c r="E220" s="59" t="n"/>
      <c r="F220" s="60" t="n"/>
    </row>
    <row r="221">
      <c r="B221" s="57" t="n"/>
      <c r="C221" s="58" t="n"/>
      <c r="D221" s="59" t="n"/>
      <c r="E221" s="59" t="n"/>
      <c r="F221" s="60" t="n"/>
    </row>
    <row r="222">
      <c r="B222" s="57" t="n"/>
      <c r="C222" s="58" t="n"/>
      <c r="D222" s="59" t="n"/>
      <c r="E222" s="59" t="n"/>
      <c r="F222" s="60" t="n"/>
    </row>
    <row r="223">
      <c r="B223" s="57" t="n"/>
      <c r="C223" s="58" t="n"/>
      <c r="D223" s="59" t="n"/>
      <c r="E223" s="59" t="n"/>
      <c r="F223" s="60" t="n"/>
    </row>
    <row r="224">
      <c r="B224" s="57" t="n"/>
      <c r="C224" s="58" t="n"/>
      <c r="D224" s="59" t="n"/>
      <c r="E224" s="59" t="n"/>
      <c r="F224" s="60" t="n"/>
    </row>
    <row r="225">
      <c r="B225" s="57" t="n"/>
      <c r="C225" s="58" t="n"/>
      <c r="D225" s="59" t="n"/>
      <c r="E225" s="59" t="n"/>
      <c r="F225" s="60" t="n"/>
    </row>
    <row r="226">
      <c r="B226" s="57" t="n"/>
      <c r="C226" s="58" t="n"/>
      <c r="D226" s="59" t="n"/>
      <c r="E226" s="59" t="n"/>
      <c r="F226" s="60" t="n"/>
    </row>
    <row r="227">
      <c r="B227" s="57" t="n"/>
      <c r="C227" s="58" t="n"/>
      <c r="D227" s="59" t="n"/>
      <c r="E227" s="59" t="n"/>
      <c r="F227" s="60" t="n"/>
    </row>
    <row r="228">
      <c r="B228" s="57" t="n"/>
      <c r="C228" s="58" t="n"/>
      <c r="D228" s="59" t="n"/>
      <c r="E228" s="59" t="n"/>
      <c r="F228" s="60" t="n"/>
    </row>
    <row r="229">
      <c r="B229" s="57" t="n"/>
      <c r="C229" s="58" t="n"/>
      <c r="D229" s="59" t="n"/>
      <c r="E229" s="59" t="n"/>
      <c r="F229" s="60" t="n"/>
    </row>
    <row r="230">
      <c r="B230" s="57" t="n"/>
      <c r="C230" s="58" t="n"/>
      <c r="D230" s="59" t="n"/>
      <c r="E230" s="59" t="n"/>
      <c r="F230" s="60" t="n"/>
    </row>
    <row r="231">
      <c r="B231" s="57" t="n"/>
      <c r="C231" s="58" t="n"/>
      <c r="D231" s="59" t="n"/>
      <c r="E231" s="59" t="n"/>
      <c r="F231" s="60" t="n"/>
    </row>
    <row r="232">
      <c r="B232" s="57" t="n"/>
      <c r="C232" s="58" t="n"/>
      <c r="D232" s="59" t="n"/>
      <c r="E232" s="59" t="n"/>
      <c r="F232" s="60" t="n"/>
    </row>
    <row r="233">
      <c r="B233" s="57" t="n"/>
      <c r="C233" s="58" t="n"/>
      <c r="D233" s="59" t="n"/>
      <c r="E233" s="59" t="n"/>
      <c r="F233" s="60" t="n"/>
    </row>
    <row r="234">
      <c r="B234" s="57" t="n"/>
      <c r="C234" s="58" t="n"/>
      <c r="D234" s="59" t="n"/>
      <c r="E234" s="59" t="n"/>
      <c r="F234" s="60" t="n"/>
    </row>
    <row r="235">
      <c r="B235" s="57" t="n"/>
      <c r="C235" s="58" t="n"/>
      <c r="D235" s="59" t="n"/>
      <c r="E235" s="59" t="n"/>
      <c r="F235" s="60" t="n"/>
    </row>
    <row r="236">
      <c r="B236" s="57" t="n"/>
      <c r="C236" s="58" t="n"/>
      <c r="D236" s="59" t="n"/>
      <c r="E236" s="59" t="n"/>
      <c r="F236" s="60" t="n"/>
    </row>
    <row r="237">
      <c r="B237" s="57" t="n"/>
      <c r="C237" s="58" t="n"/>
      <c r="D237" s="59" t="n"/>
      <c r="E237" s="59" t="n"/>
      <c r="F237" s="60" t="n"/>
    </row>
    <row r="238">
      <c r="B238" s="57" t="n"/>
      <c r="C238" s="58" t="n"/>
      <c r="D238" s="59" t="n"/>
      <c r="E238" s="59" t="n"/>
      <c r="F238" s="60" t="n"/>
    </row>
    <row r="239">
      <c r="B239" s="57" t="n"/>
      <c r="C239" s="58" t="n"/>
      <c r="D239" s="59" t="n"/>
      <c r="E239" s="59" t="n"/>
      <c r="F239" s="60" t="n"/>
    </row>
    <row r="240">
      <c r="B240" s="57" t="n"/>
      <c r="C240" s="58" t="n"/>
      <c r="D240" s="59" t="n"/>
      <c r="E240" s="59" t="n"/>
      <c r="F240" s="60" t="n"/>
    </row>
    <row r="241">
      <c r="B241" s="57" t="n"/>
      <c r="C241" s="58" t="n"/>
      <c r="D241" s="59" t="n"/>
      <c r="E241" s="59" t="n"/>
      <c r="F241" s="60" t="n"/>
    </row>
    <row r="242">
      <c r="B242" s="57" t="n"/>
      <c r="C242" s="58" t="n"/>
      <c r="D242" s="59" t="n"/>
      <c r="E242" s="59" t="n"/>
      <c r="F242" s="60" t="n"/>
    </row>
    <row r="243">
      <c r="B243" s="57" t="n"/>
      <c r="C243" s="58" t="n"/>
      <c r="D243" s="59" t="n"/>
      <c r="E243" s="59" t="n"/>
      <c r="F243" s="60" t="n"/>
    </row>
    <row r="244">
      <c r="B244" s="57" t="n"/>
      <c r="C244" s="58" t="n"/>
      <c r="D244" s="59" t="n"/>
      <c r="E244" s="59" t="n"/>
      <c r="F244" s="60" t="n"/>
    </row>
    <row r="245">
      <c r="B245" s="57" t="n"/>
      <c r="C245" s="58" t="n"/>
      <c r="D245" s="59" t="n"/>
      <c r="E245" s="59" t="n"/>
      <c r="F245" s="60" t="n"/>
    </row>
    <row r="246">
      <c r="B246" s="57" t="n"/>
      <c r="C246" s="58" t="n"/>
      <c r="D246" s="59" t="n"/>
      <c r="E246" s="59" t="n"/>
      <c r="F246" s="60" t="n"/>
    </row>
    <row r="247">
      <c r="B247" s="57" t="n"/>
      <c r="C247" s="58" t="n"/>
      <c r="D247" s="59" t="n"/>
      <c r="E247" s="59" t="n"/>
      <c r="F247" s="60" t="n"/>
    </row>
    <row r="248">
      <c r="B248" s="57" t="n"/>
      <c r="C248" s="58" t="n"/>
      <c r="D248" s="59" t="n"/>
      <c r="E248" s="59" t="n"/>
      <c r="F248" s="60" t="n"/>
    </row>
    <row r="249">
      <c r="B249" s="57" t="n"/>
      <c r="C249" s="58" t="n"/>
      <c r="D249" s="59" t="n"/>
      <c r="E249" s="59" t="n"/>
      <c r="F249" s="60" t="n"/>
    </row>
    <row r="250">
      <c r="B250" s="57" t="n"/>
      <c r="C250" s="58" t="n"/>
      <c r="D250" s="59" t="n"/>
      <c r="E250" s="59" t="n"/>
      <c r="F250" s="60" t="n"/>
    </row>
    <row r="251">
      <c r="B251" s="57" t="n"/>
      <c r="C251" s="58" t="n"/>
      <c r="D251" s="59" t="n"/>
      <c r="E251" s="59" t="n"/>
      <c r="F251" s="60" t="n"/>
    </row>
    <row r="252">
      <c r="B252" s="57" t="n"/>
      <c r="C252" s="58" t="n"/>
      <c r="D252" s="59" t="n"/>
      <c r="E252" s="59" t="n"/>
      <c r="F252" s="60" t="n"/>
    </row>
    <row r="253">
      <c r="B253" s="57" t="n"/>
      <c r="C253" s="58" t="n"/>
      <c r="D253" s="59" t="n"/>
      <c r="E253" s="59" t="n"/>
      <c r="F253" s="60" t="n"/>
    </row>
    <row r="254">
      <c r="B254" s="57" t="n"/>
      <c r="C254" s="58" t="n"/>
      <c r="D254" s="59" t="n"/>
      <c r="E254" s="59" t="n"/>
      <c r="F254" s="60" t="n"/>
    </row>
    <row r="255">
      <c r="B255" s="57" t="n"/>
      <c r="C255" s="58" t="n"/>
      <c r="D255" s="59" t="n"/>
      <c r="E255" s="59" t="n"/>
      <c r="F255" s="60" t="n"/>
    </row>
    <row r="256">
      <c r="B256" s="57" t="n"/>
      <c r="C256" s="58" t="n"/>
      <c r="D256" s="59" t="n"/>
      <c r="E256" s="59" t="n"/>
      <c r="F256" s="60" t="n"/>
    </row>
    <row r="257">
      <c r="B257" s="57" t="n"/>
      <c r="C257" s="58" t="n"/>
      <c r="D257" s="59" t="n"/>
      <c r="E257" s="59" t="n"/>
      <c r="F257" s="60" t="n"/>
    </row>
    <row r="258">
      <c r="B258" s="57" t="n"/>
      <c r="C258" s="58" t="n"/>
      <c r="D258" s="59" t="n"/>
      <c r="E258" s="59" t="n"/>
      <c r="F258" s="60" t="n"/>
    </row>
    <row r="259">
      <c r="B259" s="57" t="n"/>
      <c r="C259" s="58" t="n"/>
      <c r="D259" s="59" t="n"/>
      <c r="E259" s="59" t="n"/>
      <c r="F259" s="60" t="n"/>
    </row>
    <row r="260">
      <c r="B260" s="57" t="n"/>
      <c r="C260" s="58" t="n"/>
      <c r="D260" s="59" t="n"/>
      <c r="E260" s="59" t="n"/>
      <c r="F260" s="60" t="n"/>
    </row>
    <row r="261">
      <c r="B261" s="57" t="n"/>
      <c r="C261" s="58" t="n"/>
      <c r="D261" s="59" t="n"/>
      <c r="E261" s="59" t="n"/>
      <c r="F261" s="60" t="n"/>
    </row>
    <row r="262">
      <c r="B262" s="57" t="n"/>
      <c r="C262" s="58" t="n"/>
      <c r="D262" s="59" t="n"/>
      <c r="E262" s="59" t="n"/>
      <c r="F262" s="60" t="n"/>
    </row>
    <row r="263">
      <c r="B263" s="57" t="n"/>
      <c r="C263" s="58" t="n"/>
      <c r="D263" s="59" t="n"/>
      <c r="E263" s="59" t="n"/>
      <c r="F263" s="60" t="n"/>
    </row>
    <row r="264">
      <c r="B264" s="57" t="n"/>
      <c r="C264" s="58" t="n"/>
      <c r="D264" s="59" t="n"/>
      <c r="E264" s="59" t="n"/>
      <c r="F264" s="60" t="n"/>
    </row>
    <row r="265">
      <c r="B265" s="57" t="n"/>
      <c r="C265" s="58" t="n"/>
      <c r="D265" s="59" t="n"/>
      <c r="E265" s="59" t="n"/>
      <c r="F265" s="60" t="n"/>
    </row>
    <row r="266">
      <c r="B266" s="57" t="n"/>
      <c r="C266" s="58" t="n"/>
      <c r="D266" s="59" t="n"/>
      <c r="E266" s="59" t="n"/>
      <c r="F266" s="60" t="n"/>
    </row>
    <row r="267">
      <c r="B267" s="57" t="n"/>
      <c r="C267" s="58" t="n"/>
      <c r="D267" s="59" t="n"/>
      <c r="E267" s="59" t="n"/>
      <c r="F267" s="60" t="n"/>
    </row>
    <row r="268">
      <c r="B268" s="57" t="n"/>
      <c r="C268" s="58" t="n"/>
      <c r="D268" s="59" t="n"/>
      <c r="E268" s="59" t="n"/>
      <c r="F268" s="60" t="n"/>
    </row>
    <row r="269">
      <c r="B269" s="57" t="n"/>
      <c r="C269" s="58" t="n"/>
      <c r="D269" s="59" t="n"/>
      <c r="E269" s="59" t="n"/>
      <c r="F269" s="60" t="n"/>
    </row>
    <row r="270">
      <c r="B270" s="57" t="n"/>
      <c r="C270" s="58" t="n"/>
      <c r="D270" s="59" t="n"/>
      <c r="E270" s="59" t="n"/>
      <c r="F270" s="60" t="n"/>
    </row>
    <row r="271">
      <c r="B271" s="57" t="n"/>
      <c r="C271" s="58" t="n"/>
      <c r="D271" s="59" t="n"/>
      <c r="E271" s="59" t="n"/>
      <c r="F271" s="60" t="n"/>
    </row>
    <row r="272">
      <c r="B272" s="57" t="n"/>
      <c r="C272" s="58" t="n"/>
      <c r="D272" s="59" t="n"/>
      <c r="E272" s="59" t="n"/>
      <c r="F272" s="60" t="n"/>
    </row>
    <row r="273">
      <c r="B273" s="57" t="n"/>
      <c r="C273" s="58" t="n"/>
      <c r="D273" s="59" t="n"/>
      <c r="E273" s="59" t="n"/>
      <c r="F273" s="60" t="n"/>
    </row>
    <row r="274">
      <c r="B274" s="57" t="n"/>
      <c r="C274" s="58" t="n"/>
      <c r="D274" s="59" t="n"/>
      <c r="E274" s="59" t="n"/>
      <c r="F274" s="60" t="n"/>
    </row>
    <row r="275">
      <c r="B275" s="57" t="n"/>
      <c r="C275" s="58" t="n"/>
      <c r="D275" s="59" t="n"/>
      <c r="E275" s="59" t="n"/>
      <c r="F275" s="60" t="n"/>
    </row>
    <row r="276">
      <c r="B276" s="57" t="n"/>
      <c r="C276" s="58" t="n"/>
      <c r="D276" s="59" t="n"/>
      <c r="E276" s="59" t="n"/>
      <c r="F276" s="60" t="n"/>
    </row>
    <row r="277">
      <c r="B277" s="57" t="n"/>
      <c r="C277" s="58" t="n"/>
      <c r="D277" s="59" t="n"/>
      <c r="E277" s="59" t="n"/>
      <c r="F277" s="60" t="n"/>
    </row>
    <row r="278">
      <c r="B278" s="57" t="n"/>
      <c r="C278" s="58" t="n"/>
      <c r="D278" s="59" t="n"/>
      <c r="E278" s="59" t="n"/>
      <c r="F278" s="60" t="n"/>
    </row>
    <row r="279">
      <c r="B279" s="57" t="n"/>
      <c r="C279" s="58" t="n"/>
      <c r="D279" s="59" t="n"/>
      <c r="E279" s="59" t="n"/>
      <c r="F279" s="60" t="n"/>
    </row>
    <row r="280">
      <c r="B280" s="57" t="n"/>
      <c r="C280" s="58" t="n"/>
      <c r="D280" s="59" t="n"/>
      <c r="E280" s="59" t="n"/>
      <c r="F280" s="60" t="n"/>
    </row>
    <row r="281">
      <c r="B281" s="57" t="n"/>
      <c r="C281" s="58" t="n"/>
      <c r="D281" s="59" t="n"/>
      <c r="E281" s="59" t="n"/>
      <c r="F281" s="60" t="n"/>
    </row>
    <row r="282">
      <c r="B282" s="57" t="n"/>
      <c r="C282" s="58" t="n"/>
      <c r="D282" s="59" t="n"/>
      <c r="E282" s="59" t="n"/>
      <c r="F282" s="60" t="n"/>
    </row>
    <row r="283">
      <c r="B283" s="57" t="n"/>
      <c r="C283" s="58" t="n"/>
      <c r="D283" s="59" t="n"/>
      <c r="E283" s="59" t="n"/>
      <c r="F283" s="60" t="n"/>
    </row>
    <row r="284">
      <c r="B284" s="57" t="n"/>
      <c r="C284" s="58" t="n"/>
      <c r="D284" s="59" t="n"/>
      <c r="E284" s="59" t="n"/>
      <c r="F284" s="60" t="n"/>
    </row>
    <row r="285">
      <c r="B285" s="57" t="n"/>
      <c r="C285" s="58" t="n"/>
      <c r="D285" s="59" t="n"/>
      <c r="E285" s="59" t="n"/>
      <c r="F285" s="60" t="n"/>
    </row>
    <row r="286">
      <c r="B286" s="57" t="n"/>
      <c r="C286" s="58" t="n"/>
      <c r="D286" s="59" t="n"/>
      <c r="E286" s="59" t="n"/>
      <c r="F286" s="60" t="n"/>
    </row>
    <row r="287">
      <c r="B287" s="57" t="n"/>
      <c r="C287" s="58" t="n"/>
      <c r="D287" s="59" t="n"/>
      <c r="E287" s="59" t="n"/>
      <c r="F287" s="60" t="n"/>
    </row>
    <row r="288">
      <c r="B288" s="57" t="n"/>
      <c r="C288" s="58" t="n"/>
      <c r="D288" s="59" t="n"/>
      <c r="E288" s="59" t="n"/>
      <c r="F288" s="60" t="n"/>
    </row>
    <row r="289">
      <c r="B289" s="57" t="n"/>
      <c r="C289" s="58" t="n"/>
      <c r="D289" s="59" t="n"/>
      <c r="E289" s="59" t="n"/>
      <c r="F289" s="60" t="n"/>
    </row>
    <row r="290">
      <c r="B290" s="57" t="n"/>
      <c r="C290" s="58" t="n"/>
      <c r="D290" s="59" t="n"/>
      <c r="E290" s="59" t="n"/>
      <c r="F290" s="60" t="n"/>
    </row>
    <row r="291">
      <c r="B291" s="57" t="n"/>
      <c r="C291" s="58" t="n"/>
      <c r="D291" s="59" t="n"/>
      <c r="E291" s="59" t="n"/>
      <c r="F291" s="60" t="n"/>
    </row>
    <row r="292">
      <c r="B292" s="57" t="n"/>
      <c r="C292" s="58" t="n"/>
      <c r="D292" s="59" t="n"/>
      <c r="E292" s="59" t="n"/>
      <c r="F292" s="60" t="n"/>
    </row>
    <row r="293">
      <c r="B293" s="57" t="n"/>
      <c r="C293" s="58" t="n"/>
      <c r="D293" s="59" t="n"/>
      <c r="E293" s="59" t="n"/>
      <c r="F293" s="60" t="n"/>
    </row>
    <row r="294">
      <c r="B294" s="57" t="n"/>
      <c r="C294" s="58" t="n"/>
      <c r="D294" s="59" t="n"/>
      <c r="E294" s="59" t="n"/>
      <c r="F294" s="60" t="n"/>
    </row>
    <row r="295">
      <c r="B295" s="57" t="n"/>
      <c r="C295" s="58" t="n"/>
      <c r="D295" s="59" t="n"/>
      <c r="E295" s="59" t="n"/>
      <c r="F295" s="60" t="n"/>
    </row>
    <row r="296">
      <c r="B296" s="57" t="n"/>
      <c r="C296" s="58" t="n"/>
      <c r="D296" s="59" t="n"/>
      <c r="E296" s="59" t="n"/>
      <c r="F296" s="60" t="n"/>
    </row>
    <row r="297">
      <c r="B297" s="57" t="n"/>
      <c r="C297" s="58" t="n"/>
      <c r="D297" s="59" t="n"/>
      <c r="E297" s="59" t="n"/>
      <c r="F297" s="60" t="n"/>
    </row>
    <row r="298">
      <c r="B298" s="57" t="n"/>
      <c r="C298" s="58" t="n"/>
      <c r="D298" s="59" t="n"/>
      <c r="E298" s="59" t="n"/>
      <c r="F298" s="60" t="n"/>
    </row>
    <row r="299">
      <c r="B299" s="57" t="n"/>
      <c r="C299" s="58" t="n"/>
      <c r="D299" s="59" t="n"/>
      <c r="E299" s="59" t="n"/>
      <c r="F299" s="60" t="n"/>
    </row>
    <row r="300">
      <c r="B300" s="57" t="n"/>
      <c r="C300" s="58" t="n"/>
      <c r="D300" s="59" t="n"/>
      <c r="E300" s="59" t="n"/>
      <c r="F300" s="60" t="n"/>
    </row>
    <row r="301">
      <c r="B301" s="57" t="n"/>
      <c r="C301" s="58" t="n"/>
      <c r="D301" s="59" t="n"/>
      <c r="E301" s="59" t="n"/>
      <c r="F301" s="60" t="n"/>
    </row>
    <row r="302">
      <c r="B302" s="57" t="n"/>
      <c r="C302" s="58" t="n"/>
      <c r="D302" s="59" t="n"/>
      <c r="E302" s="59" t="n"/>
      <c r="F302" s="60" t="n"/>
    </row>
    <row r="303">
      <c r="B303" s="57" t="n"/>
      <c r="C303" s="58" t="n"/>
      <c r="D303" s="59" t="n"/>
      <c r="E303" s="59" t="n"/>
      <c r="F303" s="60" t="n"/>
    </row>
    <row r="304">
      <c r="B304" s="57" t="n"/>
      <c r="C304" s="58" t="n"/>
      <c r="D304" s="59" t="n"/>
      <c r="E304" s="59" t="n"/>
      <c r="F304" s="60" t="n"/>
    </row>
    <row r="305">
      <c r="B305" s="57" t="n"/>
      <c r="C305" s="58" t="n"/>
      <c r="D305" s="59" t="n"/>
      <c r="E305" s="59" t="n"/>
      <c r="F305" s="60" t="n"/>
    </row>
    <row r="306">
      <c r="B306" s="57" t="n"/>
      <c r="C306" s="58" t="n"/>
      <c r="D306" s="59" t="n"/>
      <c r="E306" s="59" t="n"/>
      <c r="F306" s="60" t="n"/>
    </row>
    <row r="307">
      <c r="B307" s="57" t="n"/>
      <c r="C307" s="58" t="n"/>
      <c r="D307" s="59" t="n"/>
      <c r="E307" s="59" t="n"/>
      <c r="F307" s="60" t="n"/>
    </row>
    <row r="308">
      <c r="B308" s="57" t="n"/>
      <c r="C308" s="58" t="n"/>
      <c r="D308" s="59" t="n"/>
      <c r="E308" s="59" t="n"/>
      <c r="F308" s="60" t="n"/>
    </row>
    <row r="309">
      <c r="B309" s="57" t="n"/>
      <c r="C309" s="58" t="n"/>
      <c r="D309" s="59" t="n"/>
      <c r="E309" s="59" t="n"/>
      <c r="F309" s="60" t="n"/>
    </row>
    <row r="310">
      <c r="B310" s="57" t="n"/>
      <c r="C310" s="58" t="n"/>
      <c r="D310" s="59" t="n"/>
      <c r="E310" s="59" t="n"/>
      <c r="F310" s="60" t="n"/>
    </row>
    <row r="311">
      <c r="B311" s="57" t="n"/>
      <c r="C311" s="58" t="n"/>
      <c r="D311" s="59" t="n"/>
      <c r="E311" s="59" t="n"/>
      <c r="F311" s="60" t="n"/>
    </row>
    <row r="312">
      <c r="B312" s="57" t="n"/>
      <c r="C312" s="58" t="n"/>
      <c r="D312" s="59" t="n"/>
      <c r="E312" s="59" t="n"/>
      <c r="F312" s="60" t="n"/>
    </row>
    <row r="313">
      <c r="B313" s="57" t="n"/>
      <c r="C313" s="58" t="n"/>
      <c r="D313" s="59" t="n"/>
      <c r="E313" s="59" t="n"/>
      <c r="F313" s="60" t="n"/>
    </row>
    <row r="314">
      <c r="B314" s="57" t="n"/>
      <c r="C314" s="58" t="n"/>
      <c r="D314" s="59" t="n"/>
      <c r="E314" s="59" t="n"/>
      <c r="F314" s="60" t="n"/>
    </row>
    <row r="315">
      <c r="B315" s="57" t="n"/>
      <c r="C315" s="58" t="n"/>
      <c r="D315" s="59" t="n"/>
      <c r="E315" s="59" t="n"/>
      <c r="F315" s="60" t="n"/>
    </row>
    <row r="316">
      <c r="B316" s="57" t="n"/>
      <c r="C316" s="58" t="n"/>
      <c r="D316" s="59" t="n"/>
      <c r="E316" s="59" t="n"/>
      <c r="F316" s="60" t="n"/>
    </row>
    <row r="317">
      <c r="B317" s="57" t="n"/>
      <c r="C317" s="58" t="n"/>
      <c r="D317" s="59" t="n"/>
      <c r="E317" s="59" t="n"/>
      <c r="F317" s="60" t="n"/>
    </row>
    <row r="318">
      <c r="B318" s="57" t="n"/>
      <c r="C318" s="58" t="n"/>
      <c r="D318" s="59" t="n"/>
      <c r="E318" s="59" t="n"/>
      <c r="F318" s="60" t="n"/>
    </row>
    <row r="319">
      <c r="B319" s="57" t="n"/>
      <c r="C319" s="58" t="n"/>
      <c r="D319" s="59" t="n"/>
      <c r="E319" s="59" t="n"/>
      <c r="F319" s="60" t="n"/>
    </row>
    <row r="320">
      <c r="B320" s="57" t="n"/>
      <c r="C320" s="58" t="n"/>
      <c r="D320" s="59" t="n"/>
      <c r="E320" s="59" t="n"/>
      <c r="F320" s="60" t="n"/>
    </row>
    <row r="321">
      <c r="B321" s="57" t="n"/>
      <c r="C321" s="58" t="n"/>
      <c r="D321" s="59" t="n"/>
      <c r="E321" s="59" t="n"/>
      <c r="F321" s="60" t="n"/>
    </row>
    <row r="322">
      <c r="B322" s="57" t="n"/>
      <c r="C322" s="58" t="n"/>
      <c r="D322" s="59" t="n"/>
      <c r="E322" s="59" t="n"/>
      <c r="F322" s="60" t="n"/>
    </row>
    <row r="323">
      <c r="B323" s="57" t="n"/>
      <c r="C323" s="58" t="n"/>
      <c r="D323" s="59" t="n"/>
      <c r="E323" s="59" t="n"/>
      <c r="F323" s="60" t="n"/>
    </row>
    <row r="324">
      <c r="B324" s="57" t="n"/>
      <c r="C324" s="58" t="n"/>
      <c r="D324" s="59" t="n"/>
      <c r="E324" s="59" t="n"/>
      <c r="F324" s="60" t="n"/>
    </row>
    <row r="325">
      <c r="B325" s="57" t="n"/>
      <c r="C325" s="58" t="n"/>
      <c r="D325" s="59" t="n"/>
      <c r="E325" s="59" t="n"/>
      <c r="F325" s="60" t="n"/>
    </row>
    <row r="326">
      <c r="B326" s="57" t="n"/>
      <c r="C326" s="58" t="n"/>
      <c r="D326" s="59" t="n"/>
      <c r="E326" s="59" t="n"/>
      <c r="F326" s="60" t="n"/>
    </row>
    <row r="327">
      <c r="B327" s="57" t="n"/>
      <c r="C327" s="58" t="n"/>
      <c r="D327" s="59" t="n"/>
      <c r="E327" s="59" t="n"/>
      <c r="F327" s="60" t="n"/>
    </row>
    <row r="328">
      <c r="B328" s="57" t="n"/>
      <c r="C328" s="58" t="n"/>
      <c r="D328" s="59" t="n"/>
      <c r="E328" s="59" t="n"/>
      <c r="F328" s="60" t="n"/>
    </row>
    <row r="329">
      <c r="B329" s="57" t="n"/>
      <c r="C329" s="58" t="n"/>
      <c r="D329" s="59" t="n"/>
      <c r="E329" s="59" t="n"/>
      <c r="F329" s="60" t="n"/>
    </row>
    <row r="330">
      <c r="B330" s="57" t="n"/>
      <c r="C330" s="58" t="n"/>
      <c r="D330" s="59" t="n"/>
      <c r="E330" s="59" t="n"/>
      <c r="F330" s="60" t="n"/>
    </row>
    <row r="331">
      <c r="B331" s="57" t="n"/>
      <c r="C331" s="58" t="n"/>
      <c r="D331" s="59" t="n"/>
      <c r="E331" s="59" t="n"/>
      <c r="F331" s="60" t="n"/>
    </row>
    <row r="332">
      <c r="B332" s="57" t="n"/>
      <c r="C332" s="58" t="n"/>
      <c r="D332" s="59" t="n"/>
      <c r="E332" s="59" t="n"/>
      <c r="F332" s="60" t="n"/>
    </row>
    <row r="333">
      <c r="B333" s="57" t="n"/>
      <c r="C333" s="58" t="n"/>
      <c r="D333" s="59" t="n"/>
      <c r="E333" s="59" t="n"/>
      <c r="F333" s="60" t="n"/>
    </row>
    <row r="334">
      <c r="B334" s="57" t="n"/>
      <c r="C334" s="58" t="n"/>
      <c r="D334" s="59" t="n"/>
      <c r="E334" s="59" t="n"/>
      <c r="F334" s="60" t="n"/>
    </row>
    <row r="335">
      <c r="B335" s="57" t="n"/>
      <c r="C335" s="58" t="n"/>
      <c r="D335" s="59" t="n"/>
      <c r="E335" s="59" t="n"/>
      <c r="F335" s="60" t="n"/>
    </row>
    <row r="336">
      <c r="B336" s="57" t="n"/>
      <c r="C336" s="58" t="n"/>
      <c r="D336" s="59" t="n"/>
      <c r="E336" s="59" t="n"/>
      <c r="F336" s="60" t="n"/>
    </row>
    <row r="337">
      <c r="B337" s="57" t="n"/>
      <c r="C337" s="58" t="n"/>
      <c r="D337" s="59" t="n"/>
      <c r="E337" s="59" t="n"/>
      <c r="F337" s="60" t="n"/>
    </row>
    <row r="338">
      <c r="B338" s="57" t="n"/>
      <c r="C338" s="58" t="n"/>
      <c r="D338" s="59" t="n"/>
      <c r="E338" s="59" t="n"/>
      <c r="F338" s="60" t="n"/>
    </row>
    <row r="339">
      <c r="B339" s="57" t="n"/>
      <c r="C339" s="58" t="n"/>
      <c r="D339" s="59" t="n"/>
      <c r="E339" s="59" t="n"/>
      <c r="F339" s="60" t="n"/>
    </row>
    <row r="340">
      <c r="B340" s="57" t="n"/>
      <c r="C340" s="58" t="n"/>
      <c r="D340" s="59" t="n"/>
      <c r="E340" s="59" t="n"/>
      <c r="F340" s="60" t="n"/>
    </row>
    <row r="341">
      <c r="B341" s="57" t="n"/>
      <c r="C341" s="58" t="n"/>
      <c r="D341" s="59" t="n"/>
      <c r="E341" s="59" t="n"/>
      <c r="F341" s="60" t="n"/>
    </row>
    <row r="342">
      <c r="B342" s="57" t="n"/>
      <c r="C342" s="58" t="n"/>
      <c r="D342" s="59" t="n"/>
      <c r="E342" s="59" t="n"/>
      <c r="F342" s="60" t="n"/>
    </row>
    <row r="343">
      <c r="B343" s="57" t="n"/>
      <c r="C343" s="58" t="n"/>
      <c r="D343" s="59" t="n"/>
      <c r="E343" s="59" t="n"/>
      <c r="F343" s="60" t="n"/>
    </row>
    <row r="344">
      <c r="B344" s="57" t="n"/>
      <c r="C344" s="58" t="n"/>
      <c r="D344" s="59" t="n"/>
      <c r="E344" s="59" t="n"/>
      <c r="F344" s="60" t="n"/>
    </row>
    <row r="345">
      <c r="B345" s="57" t="n"/>
      <c r="C345" s="58" t="n"/>
      <c r="D345" s="59" t="n"/>
      <c r="E345" s="59" t="n"/>
      <c r="F345" s="60" t="n"/>
    </row>
    <row r="346">
      <c r="B346" s="57" t="n"/>
      <c r="C346" s="58" t="n"/>
      <c r="D346" s="59" t="n"/>
      <c r="E346" s="59" t="n"/>
      <c r="F346" s="60" t="n"/>
    </row>
    <row r="347">
      <c r="B347" s="57" t="n"/>
      <c r="C347" s="58" t="n"/>
      <c r="D347" s="59" t="n"/>
      <c r="E347" s="59" t="n"/>
      <c r="F347" s="60" t="n"/>
    </row>
    <row r="348">
      <c r="B348" s="57" t="n"/>
      <c r="C348" s="58" t="n"/>
      <c r="D348" s="59" t="n"/>
      <c r="E348" s="59" t="n"/>
      <c r="F348" s="60" t="n"/>
    </row>
    <row r="349">
      <c r="B349" s="57" t="n"/>
      <c r="C349" s="58" t="n"/>
      <c r="D349" s="59" t="n"/>
      <c r="E349" s="59" t="n"/>
      <c r="F349" s="60" t="n"/>
    </row>
    <row r="350">
      <c r="B350" s="57" t="n"/>
      <c r="C350" s="58" t="n"/>
      <c r="D350" s="59" t="n"/>
      <c r="E350" s="59" t="n"/>
      <c r="F350" s="60" t="n"/>
    </row>
    <row r="351">
      <c r="B351" s="57" t="n"/>
      <c r="C351" s="58" t="n"/>
      <c r="D351" s="59" t="n"/>
      <c r="E351" s="59" t="n"/>
      <c r="F351" s="60" t="n"/>
    </row>
    <row r="352">
      <c r="B352" s="57" t="n"/>
      <c r="C352" s="58" t="n"/>
      <c r="D352" s="59" t="n"/>
      <c r="E352" s="59" t="n"/>
      <c r="F352" s="60" t="n"/>
    </row>
    <row r="353">
      <c r="B353" s="57" t="n"/>
      <c r="C353" s="58" t="n"/>
      <c r="D353" s="59" t="n"/>
      <c r="E353" s="59" t="n"/>
      <c r="F353" s="60" t="n"/>
    </row>
    <row r="354">
      <c r="B354" s="57" t="n"/>
      <c r="C354" s="58" t="n"/>
      <c r="D354" s="59" t="n"/>
      <c r="E354" s="59" t="n"/>
      <c r="F354" s="60" t="n"/>
    </row>
    <row r="355">
      <c r="B355" s="57" t="n"/>
      <c r="C355" s="58" t="n"/>
      <c r="D355" s="59" t="n"/>
      <c r="E355" s="59" t="n"/>
      <c r="F355" s="60" t="n"/>
    </row>
    <row r="356">
      <c r="B356" s="57" t="n"/>
      <c r="C356" s="58" t="n"/>
      <c r="D356" s="59" t="n"/>
      <c r="E356" s="59" t="n"/>
      <c r="F356" s="60" t="n"/>
    </row>
    <row r="357">
      <c r="B357" s="57" t="n"/>
      <c r="C357" s="58" t="n"/>
      <c r="D357" s="59" t="n"/>
      <c r="E357" s="59" t="n"/>
      <c r="F357" s="60" t="n"/>
    </row>
    <row r="358">
      <c r="B358" s="57" t="n"/>
      <c r="C358" s="58" t="n"/>
      <c r="D358" s="59" t="n"/>
      <c r="E358" s="59" t="n"/>
      <c r="F358" s="60" t="n"/>
    </row>
    <row r="359">
      <c r="B359" s="57" t="n"/>
      <c r="C359" s="58" t="n"/>
      <c r="D359" s="59" t="n"/>
      <c r="E359" s="59" t="n"/>
      <c r="F359" s="60" t="n"/>
    </row>
    <row r="360">
      <c r="B360" s="57" t="n"/>
      <c r="C360" s="58" t="n"/>
      <c r="D360" s="59" t="n"/>
      <c r="E360" s="59" t="n"/>
      <c r="F360" s="60" t="n"/>
    </row>
    <row r="361">
      <c r="B361" s="57" t="n"/>
      <c r="C361" s="58" t="n"/>
      <c r="D361" s="59" t="n"/>
      <c r="E361" s="59" t="n"/>
      <c r="F361" s="60" t="n"/>
    </row>
    <row r="362">
      <c r="B362" s="57" t="n"/>
      <c r="C362" s="58" t="n"/>
      <c r="D362" s="59" t="n"/>
      <c r="E362" s="59" t="n"/>
      <c r="F362" s="60" t="n"/>
    </row>
    <row r="363">
      <c r="B363" s="57" t="n"/>
      <c r="C363" s="58" t="n"/>
      <c r="D363" s="59" t="n"/>
      <c r="E363" s="59" t="n"/>
      <c r="F363" s="60" t="n"/>
    </row>
    <row r="364">
      <c r="B364" s="57" t="n"/>
      <c r="C364" s="58" t="n"/>
      <c r="D364" s="59" t="n"/>
      <c r="E364" s="59" t="n"/>
      <c r="F364" s="60" t="n"/>
    </row>
    <row r="365">
      <c r="B365" s="57" t="n"/>
      <c r="C365" s="58" t="n"/>
      <c r="D365" s="59" t="n"/>
      <c r="E365" s="59" t="n"/>
      <c r="F365" s="60" t="n"/>
    </row>
    <row r="366">
      <c r="B366" s="57" t="n"/>
      <c r="C366" s="58" t="n"/>
      <c r="D366" s="59" t="n"/>
      <c r="E366" s="59" t="n"/>
      <c r="F366" s="60" t="n"/>
    </row>
    <row r="367">
      <c r="B367" s="57" t="n"/>
      <c r="C367" s="58" t="n"/>
      <c r="D367" s="59" t="n"/>
      <c r="E367" s="59" t="n"/>
      <c r="F367" s="60" t="n"/>
    </row>
    <row r="368">
      <c r="B368" s="57" t="n"/>
      <c r="C368" s="58" t="n"/>
      <c r="D368" s="59" t="n"/>
      <c r="E368" s="59" t="n"/>
      <c r="F368" s="60" t="n"/>
    </row>
    <row r="369">
      <c r="B369" s="57" t="n"/>
      <c r="C369" s="58" t="n"/>
      <c r="D369" s="59" t="n"/>
      <c r="E369" s="59" t="n"/>
      <c r="F369" s="60" t="n"/>
    </row>
    <row r="370">
      <c r="B370" s="57" t="n"/>
      <c r="C370" s="58" t="n"/>
      <c r="D370" s="59" t="n"/>
      <c r="E370" s="59" t="n"/>
      <c r="F370" s="60" t="n"/>
    </row>
    <row r="371">
      <c r="B371" s="57" t="n"/>
      <c r="C371" s="58" t="n"/>
      <c r="D371" s="59" t="n"/>
      <c r="E371" s="59" t="n"/>
      <c r="F371" s="60" t="n"/>
    </row>
    <row r="372">
      <c r="B372" s="57" t="n"/>
      <c r="C372" s="58" t="n"/>
      <c r="D372" s="59" t="n"/>
      <c r="E372" s="59" t="n"/>
      <c r="F372" s="60" t="n"/>
    </row>
    <row r="373">
      <c r="B373" s="57" t="n"/>
      <c r="C373" s="58" t="n"/>
      <c r="D373" s="59" t="n"/>
      <c r="E373" s="59" t="n"/>
      <c r="F373" s="60" t="n"/>
    </row>
    <row r="374">
      <c r="B374" s="57" t="n"/>
      <c r="C374" s="58" t="n"/>
      <c r="D374" s="59" t="n"/>
      <c r="E374" s="59" t="n"/>
      <c r="F374" s="60" t="n"/>
    </row>
    <row r="375">
      <c r="B375" s="57" t="n"/>
      <c r="C375" s="58" t="n"/>
      <c r="D375" s="59" t="n"/>
      <c r="E375" s="59" t="n"/>
      <c r="F375" s="60" t="n"/>
    </row>
    <row r="376">
      <c r="B376" s="57" t="n"/>
      <c r="C376" s="58" t="n"/>
      <c r="D376" s="59" t="n"/>
      <c r="E376" s="59" t="n"/>
      <c r="F376" s="60" t="n"/>
    </row>
    <row r="377">
      <c r="B377" s="57" t="n"/>
      <c r="C377" s="58" t="n"/>
      <c r="D377" s="59" t="n"/>
      <c r="E377" s="59" t="n"/>
      <c r="F377" s="60" t="n"/>
    </row>
    <row r="378">
      <c r="B378" s="57" t="n"/>
      <c r="C378" s="58" t="n"/>
      <c r="D378" s="59" t="n"/>
      <c r="E378" s="59" t="n"/>
      <c r="F378" s="60" t="n"/>
    </row>
    <row r="379">
      <c r="B379" s="57" t="n"/>
      <c r="C379" s="58" t="n"/>
      <c r="D379" s="59" t="n"/>
      <c r="E379" s="59" t="n"/>
      <c r="F379" s="60" t="n"/>
    </row>
    <row r="380">
      <c r="B380" s="57" t="n"/>
      <c r="C380" s="58" t="n"/>
      <c r="D380" s="59" t="n"/>
      <c r="E380" s="59" t="n"/>
      <c r="F380" s="60" t="n"/>
    </row>
    <row r="381">
      <c r="B381" s="57" t="n"/>
      <c r="C381" s="58" t="n"/>
      <c r="D381" s="59" t="n"/>
      <c r="E381" s="59" t="n"/>
      <c r="F381" s="60" t="n"/>
    </row>
    <row r="382">
      <c r="B382" s="57" t="n"/>
      <c r="C382" s="58" t="n"/>
      <c r="D382" s="59" t="n"/>
      <c r="E382" s="59" t="n"/>
      <c r="F382" s="60" t="n"/>
    </row>
    <row r="383">
      <c r="B383" s="57" t="n"/>
      <c r="C383" s="58" t="n"/>
      <c r="D383" s="59" t="n"/>
      <c r="E383" s="59" t="n"/>
      <c r="F383" s="60" t="n"/>
    </row>
    <row r="384">
      <c r="B384" s="57" t="n"/>
      <c r="C384" s="58" t="n"/>
      <c r="D384" s="59" t="n"/>
      <c r="E384" s="59" t="n"/>
      <c r="F384" s="60" t="n"/>
    </row>
    <row r="385">
      <c r="B385" s="57" t="n"/>
      <c r="C385" s="58" t="n"/>
      <c r="D385" s="59" t="n"/>
      <c r="E385" s="59" t="n"/>
      <c r="F385" s="60" t="n"/>
    </row>
    <row r="386">
      <c r="B386" s="57" t="n"/>
      <c r="C386" s="58" t="n"/>
      <c r="D386" s="59" t="n"/>
      <c r="E386" s="59" t="n"/>
      <c r="F386" s="60" t="n"/>
    </row>
    <row r="387">
      <c r="B387" s="57" t="n"/>
      <c r="C387" s="58" t="n"/>
      <c r="D387" s="59" t="n"/>
      <c r="E387" s="59" t="n"/>
      <c r="F387" s="60" t="n"/>
    </row>
    <row r="388">
      <c r="B388" s="57" t="n"/>
      <c r="C388" s="58" t="n"/>
      <c r="D388" s="59" t="n"/>
      <c r="E388" s="59" t="n"/>
      <c r="F388" s="60" t="n"/>
    </row>
    <row r="389">
      <c r="B389" s="57" t="n"/>
      <c r="C389" s="58" t="n"/>
      <c r="D389" s="59" t="n"/>
      <c r="E389" s="59" t="n"/>
      <c r="F389" s="60" t="n"/>
    </row>
    <row r="390">
      <c r="B390" s="57" t="n"/>
      <c r="C390" s="58" t="n"/>
      <c r="D390" s="59" t="n"/>
      <c r="E390" s="59" t="n"/>
      <c r="F390" s="60" t="n"/>
    </row>
    <row r="391">
      <c r="B391" s="57" t="n"/>
      <c r="C391" s="58" t="n"/>
      <c r="D391" s="59" t="n"/>
      <c r="E391" s="59" t="n"/>
      <c r="F391" s="60" t="n"/>
    </row>
    <row r="392">
      <c r="B392" s="57" t="n"/>
      <c r="C392" s="58" t="n"/>
      <c r="D392" s="59" t="n"/>
      <c r="E392" s="59" t="n"/>
      <c r="F392" s="60" t="n"/>
    </row>
    <row r="393">
      <c r="B393" s="57" t="n"/>
      <c r="C393" s="58" t="n"/>
      <c r="D393" s="59" t="n"/>
      <c r="E393" s="59" t="n"/>
      <c r="F393" s="60" t="n"/>
    </row>
    <row r="394">
      <c r="B394" s="57" t="n"/>
      <c r="C394" s="58" t="n"/>
      <c r="D394" s="59" t="n"/>
      <c r="E394" s="59" t="n"/>
      <c r="F394" s="60" t="n"/>
    </row>
    <row r="395">
      <c r="B395" s="57" t="n"/>
      <c r="C395" s="58" t="n"/>
      <c r="D395" s="59" t="n"/>
      <c r="E395" s="59" t="n"/>
      <c r="F395" s="60" t="n"/>
    </row>
    <row r="396">
      <c r="B396" s="57" t="n"/>
      <c r="C396" s="58" t="n"/>
      <c r="D396" s="59" t="n"/>
      <c r="E396" s="59" t="n"/>
      <c r="F396" s="60" t="n"/>
    </row>
    <row r="397">
      <c r="B397" s="57" t="n"/>
      <c r="C397" s="58" t="n"/>
      <c r="D397" s="59" t="n"/>
      <c r="E397" s="59" t="n"/>
      <c r="F397" s="60" t="n"/>
    </row>
    <row r="398">
      <c r="B398" s="57" t="n"/>
      <c r="C398" s="58" t="n"/>
      <c r="D398" s="59" t="n"/>
      <c r="E398" s="59" t="n"/>
      <c r="F398" s="60" t="n"/>
    </row>
    <row r="399">
      <c r="B399" s="57" t="n"/>
      <c r="C399" s="58" t="n"/>
      <c r="D399" s="59" t="n"/>
      <c r="E399" s="59" t="n"/>
      <c r="F399" s="60" t="n"/>
    </row>
    <row r="400">
      <c r="B400" s="57" t="n"/>
      <c r="C400" s="58" t="n"/>
      <c r="D400" s="59" t="n"/>
      <c r="E400" s="59" t="n"/>
      <c r="F400" s="60" t="n"/>
    </row>
    <row r="401">
      <c r="B401" s="57" t="n"/>
      <c r="C401" s="58" t="n"/>
      <c r="D401" s="59" t="n"/>
      <c r="E401" s="59" t="n"/>
      <c r="F401" s="60" t="n"/>
    </row>
    <row r="402">
      <c r="B402" s="57" t="n"/>
      <c r="C402" s="58" t="n"/>
      <c r="D402" s="59" t="n"/>
      <c r="E402" s="59" t="n"/>
      <c r="F402" s="60" t="n"/>
    </row>
    <row r="403">
      <c r="B403" s="57" t="n"/>
      <c r="C403" s="58" t="n"/>
      <c r="D403" s="59" t="n"/>
      <c r="E403" s="59" t="n"/>
      <c r="F403" s="60" t="n"/>
    </row>
    <row r="404">
      <c r="B404" s="57" t="n"/>
      <c r="C404" s="58" t="n"/>
      <c r="D404" s="59" t="n"/>
      <c r="E404" s="59" t="n"/>
      <c r="F404" s="60" t="n"/>
    </row>
    <row r="405">
      <c r="B405" s="57" t="n"/>
      <c r="C405" s="58" t="n"/>
      <c r="D405" s="59" t="n"/>
      <c r="E405" s="59" t="n"/>
      <c r="F405" s="60" t="n"/>
    </row>
    <row r="406">
      <c r="B406" s="57" t="n"/>
      <c r="C406" s="58" t="n"/>
      <c r="D406" s="59" t="n"/>
      <c r="E406" s="59" t="n"/>
      <c r="F406" s="60" t="n"/>
    </row>
    <row r="408" ht="8" customHeight="1">
      <c r="B408" s="52" t="n"/>
    </row>
    <row r="409" ht="16" customHeight="1">
      <c r="B409" s="53" t="inlineStr">
        <is>
          <t>MIX SHOP DIGITAL  ·  Herramientas inteligentes que simplifican tu vida.</t>
        </is>
      </c>
    </row>
    <row r="410" ht="16" customHeight="1">
      <c r="B410" s="54"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0" password="89C1"/>
  <autoFilter ref="B6:F406"/>
  <mergeCells count="10">
    <mergeCell ref="D2:F2"/>
    <mergeCell ref="B408:F408"/>
    <mergeCell ref="B2:C2"/>
    <mergeCell ref="C4:F4"/>
    <mergeCell ref="B3:F3"/>
    <mergeCell ref="B5:F5"/>
    <mergeCell ref="B410:F410"/>
    <mergeCell ref="B1:C1"/>
    <mergeCell ref="D1:F1"/>
    <mergeCell ref="B409:F409"/>
  </mergeCells>
  <conditionalFormatting sqref="C7:C406">
    <cfRule type="expression" priority="1" dxfId="4">
      <formula>$C7="Ingreso"</formula>
    </cfRule>
    <cfRule type="expression" priority="2" dxfId="5">
      <formula>$C7="Gasto"</formula>
    </cfRule>
  </conditionalFormatting>
  <conditionalFormatting sqref="B7:F406">
    <cfRule type="expression" priority="3" dxfId="6">
      <formula>AND($B7&lt;&gt;"",YEAR($B7)&lt;&gt;AnioCtl)</formula>
    </cfRule>
  </conditionalFormatting>
  <dataValidations count="4">
    <dataValidation sqref="B7:B406" showDropDown="0" showInputMessage="1" showErrorMessage="1" allowBlank="1" errorTitle="Fecha no válida" error="Escribí una fecha válida. Ej.: 15/03/2026" promptTitle="Fecha" prompt="Día en que ocurrió. Ej.: 15/03/2026" type="date" operator="between">
      <formula1>36526</formula1>
      <formula2>73415</formula2>
    </dataValidation>
    <dataValidation sqref="C7:C406" showDropDown="0" showInputMessage="1" showErrorMessage="1" allowBlank="1" errorTitle="Valor no válido" error="Elegí un valor de la lista desplegable." promptTitle="Tipo" prompt="Ingreso: plata que entra. Gasto: plata que sale." type="list" errorStyle="stop">
      <formula1>"Ingreso,Gasto"</formula1>
    </dataValidation>
    <dataValidation sqref="D7:D406" showDropDown="0" showInputMessage="1" showErrorMessage="1" allowBlank="1" errorTitle="Categoría no válida" error="Elegí una categoría de la lista. Primero elegí el Tipo. Podés editar las categorías en AJUSTES." promptTitle="Categoría" prompt="Elegí primero el Tipo; la lista cambia según sea Ingreso o Gasto." type="list">
      <formula1>INDIRECT(IF($C7="Ingreso","CatIng","CatGas"))</formula1>
    </dataValidation>
    <dataValidation sqref="F7:F406" showDropDown="0" showInputMessage="1" showErrorMessage="1" allowBlank="1" errorTitle="Dato no válido" error="Ingresá un monto positivo. No uses signo menos: el Tipo indica si es ingreso o gasto." promptTitle="Monto" prompt="Monto del movimiento, siempre positivo. El Tipo dice si entra o sale." type="decimal" operator="greaterThanOrEqual">
      <formula1>0</formula1>
    </dataValidation>
  </dataValidations>
  <hyperlinks>
    <hyperlink ref="B4" location="'PANEL'!A1" display="← PANEL"/>
    <hyperlink xmlns:r="http://schemas.openxmlformats.org/officeDocument/2006/relationships" ref="B410" r:id="rId1"/>
  </hyperlinks>
  <printOptions horizontalCentered="1"/>
  <pageMargins left="0.75" right="0.75" top="1" bottom="1" header="0.5" footer="0.5"/>
  <pageSetup orientation="landscape" paperSize="9" fitToHeight="0" fitToWidth="1"/>
  <headerFooter>
    <oddHeader>&amp;C&amp;"Arial,Bold"&amp;14 &amp;K0F4C5CMIX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3.xml><?xml version="1.0" encoding="utf-8"?>
<worksheet xmlns="http://schemas.openxmlformats.org/spreadsheetml/2006/main">
  <sheetPr>
    <tabColor rgb="002A9D8F"/>
    <outlinePr summaryBelow="1" summaryRight="1"/>
    <pageSetUpPr fitToPage="1"/>
  </sheetPr>
  <dimension ref="B1:D29"/>
  <sheetViews>
    <sheetView showGridLines="0" workbookViewId="0">
      <selection activeCell="A1" sqref="A1"/>
    </sheetView>
  </sheetViews>
  <sheetFormatPr baseColWidth="8" defaultRowHeight="15"/>
  <cols>
    <col width="2" customWidth="1" min="1" max="1"/>
    <col width="38" customWidth="1" min="2" max="2"/>
    <col width="38" customWidth="1" min="3" max="3"/>
    <col width="56" customWidth="1" min="4" max="4"/>
  </cols>
  <sheetData>
    <row r="1" ht="30" customHeight="1">
      <c r="B1" s="1" t="inlineStr">
        <is>
          <t>MIX SHOP DIGITAL</t>
        </is>
      </c>
      <c r="C1" s="2" t="inlineStr">
        <is>
          <t>AJUSTES</t>
        </is>
      </c>
    </row>
    <row r="2" ht="18" customHeight="1">
      <c r="B2" s="3" t="inlineStr">
        <is>
          <t>Herramientas inteligentes que simplifican tu vida.</t>
        </is>
      </c>
      <c r="C2" s="4" t="inlineStr">
        <is>
          <t>Cargalos una sola vez</t>
        </is>
      </c>
    </row>
    <row r="3" ht="4" customHeight="1">
      <c r="B3" s="5" t="n"/>
    </row>
    <row r="4" ht="20" customHeight="1">
      <c r="B4" s="55" t="inlineStr">
        <is>
          <t>← PANEL</t>
        </is>
      </c>
      <c r="C4" s="6" t="inlineStr">
        <is>
          <t>Completá solamente las celdas amarillas. Estos datos alimentan el PANEL automáticamente.</t>
        </is>
      </c>
    </row>
    <row r="6">
      <c r="B6" s="26" t="inlineStr">
        <is>
          <t>1. TU NEGOCIO</t>
        </is>
      </c>
    </row>
    <row r="7" ht="26" customHeight="1">
      <c r="B7" s="61" t="inlineStr">
        <is>
          <t>Nombre del negocio</t>
        </is>
      </c>
      <c r="C7" s="62" t="inlineStr">
        <is>
          <t>Tienda de María (EJEMPLO)</t>
        </is>
      </c>
      <c r="D7" s="51" t="inlineStr">
        <is>
          <t>Aparece en el PANEL.</t>
        </is>
      </c>
    </row>
    <row r="8" ht="26" customHeight="1">
      <c r="B8" s="61" t="inlineStr">
        <is>
          <t>Año a controlar</t>
        </is>
      </c>
      <c r="C8" s="63" t="n">
        <v>2026</v>
      </c>
      <c r="D8" s="51" t="inlineStr">
        <is>
          <t>El PANEL muestra los 12 meses de este año. Los movimientos de otros años se ignoran.</t>
        </is>
      </c>
    </row>
    <row r="9" ht="26" customHeight="1">
      <c r="B9" s="61" t="inlineStr">
        <is>
          <t>Moneda</t>
        </is>
      </c>
      <c r="C9" s="62" t="inlineStr">
        <is>
          <t>Gs.</t>
        </is>
      </c>
      <c r="D9" s="51" t="inlineStr">
        <is>
          <t>Símbolo que se muestra en el PANEL.</t>
        </is>
      </c>
    </row>
    <row r="10" ht="26" customHeight="1">
      <c r="B10" s="61" t="inlineStr">
        <is>
          <t>Meta de ganancia por mes</t>
        </is>
      </c>
      <c r="C10" s="64" t="n">
        <v>3000000</v>
      </c>
      <c r="D10" s="51" t="inlineStr">
        <is>
          <t>Cuánto querés ganar por mes. El PANEL te muestra cuánto te falta. Si no tenés meta, dejala en 0.</t>
        </is>
      </c>
    </row>
    <row r="12">
      <c r="B12" s="46" t="inlineStr">
        <is>
          <t>2. TUS CATEGORÍAS (podés renombrarlas)</t>
        </is>
      </c>
    </row>
    <row r="13">
      <c r="B13" s="6" t="inlineStr">
        <is>
          <t>Se usan en las listas desplegables de MOVIMIENTOS. Cambiá el nombre, pero no dejes huecos entre medio.</t>
        </is>
      </c>
    </row>
    <row r="14">
      <c r="B14" s="27" t="inlineStr">
        <is>
          <t>Categorías de INGRESO</t>
        </is>
      </c>
      <c r="C14" s="27" t="inlineStr">
        <is>
          <t>Categorías de GASTO</t>
        </is>
      </c>
    </row>
    <row r="15">
      <c r="B15" s="62" t="inlineStr">
        <is>
          <t>Ventas de productos</t>
        </is>
      </c>
      <c r="C15" s="62" t="inlineStr">
        <is>
          <t>Mercadería e insumos</t>
        </is>
      </c>
      <c r="D15" s="6" t="inlineStr">
        <is>
          <t>Ingresos: hasta 6 categorías.</t>
        </is>
      </c>
    </row>
    <row r="16">
      <c r="B16" s="62" t="inlineStr">
        <is>
          <t>Ventas de servicios</t>
        </is>
      </c>
      <c r="C16" s="62" t="inlineStr">
        <is>
          <t>Alquiler</t>
        </is>
      </c>
      <c r="D16" s="6" t="inlineStr">
        <is>
          <t>Gastos: hasta 10 categorías (el PANEL las muestra todas).</t>
        </is>
      </c>
    </row>
    <row r="17">
      <c r="B17" s="62" t="inlineStr">
        <is>
          <t>Ventas online</t>
        </is>
      </c>
      <c r="C17" s="62" t="inlineStr">
        <is>
          <t>Servicios (luz, agua, internet)</t>
        </is>
      </c>
    </row>
    <row r="18">
      <c r="B18" s="62" t="inlineStr">
        <is>
          <t>Otros ingresos</t>
        </is>
      </c>
      <c r="C18" s="62" t="inlineStr">
        <is>
          <t>Sueldos y mano de obra</t>
        </is>
      </c>
    </row>
    <row r="19">
      <c r="B19" s="62" t="n"/>
      <c r="C19" s="62" t="inlineStr">
        <is>
          <t>Publicidad</t>
        </is>
      </c>
    </row>
    <row r="20">
      <c r="B20" s="62" t="n"/>
      <c r="C20" s="62" t="inlineStr">
        <is>
          <t>Transporte y envíos</t>
        </is>
      </c>
    </row>
    <row r="21">
      <c r="B21" s="65" t="n"/>
      <c r="C21" s="62" t="inlineStr">
        <is>
          <t>Impuestos</t>
        </is>
      </c>
    </row>
    <row r="22">
      <c r="B22" s="65" t="n"/>
      <c r="C22" s="62" t="inlineStr">
        <is>
          <t>Comisiones y bancos</t>
        </is>
      </c>
    </row>
    <row r="23">
      <c r="B23" s="65" t="n"/>
      <c r="C23" s="62" t="inlineStr">
        <is>
          <t>Mantenimiento</t>
        </is>
      </c>
    </row>
    <row r="24">
      <c r="B24" s="65" t="n"/>
      <c r="C24" s="62" t="inlineStr">
        <is>
          <t>Otros gastos</t>
        </is>
      </c>
    </row>
    <row r="27" ht="8" customHeight="1">
      <c r="B27" s="52" t="n"/>
    </row>
    <row r="28" ht="16" customHeight="1">
      <c r="B28" s="53" t="inlineStr">
        <is>
          <t>MIX SHOP DIGITAL  ·  Herramientas inteligentes que simplifican tu vida.</t>
        </is>
      </c>
    </row>
    <row r="29" ht="16" customHeight="1">
      <c r="B29" s="54"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9C1"/>
  <mergeCells count="9">
    <mergeCell ref="B28:D28"/>
    <mergeCell ref="B3:D3"/>
    <mergeCell ref="B29:D29"/>
    <mergeCell ref="C2:D2"/>
    <mergeCell ref="C1:D1"/>
    <mergeCell ref="B27:D27"/>
    <mergeCell ref="B12:D12"/>
    <mergeCell ref="B6:D6"/>
    <mergeCell ref="C4:D4"/>
  </mergeCells>
  <dataValidations count="3">
    <dataValidation sqref="C9" showDropDown="0" showInputMessage="1" showErrorMessage="1" allowBlank="1" errorTitle="Valor no válido" error="Elegí un valor de la lista desplegable." promptTitle="Moneda" prompt="Elegí la moneda que usás." type="list" errorStyle="stop">
      <formula1>"Gs.,US$,R$,ARS $,€"</formula1>
    </dataValidation>
    <dataValidation sqref="C8" showDropDown="0" showInputMessage="1" showErrorMessage="1" allowBlank="1" errorTitle="Dato no válido" error="Escribí un año entre 2000 y 2100." promptTitle="Año" prompt="Escribí el año que querés controlar. Ej.: 2026" type="whole" operator="between">
      <formula1>2000</formula1>
      <formula2>2100</formula2>
    </dataValidation>
    <dataValidation sqref="C10" showDropDown="0" showInputMessage="1" showErrorMessage="1" allowBlank="1" errorTitle="Dato no válido" error="Ingresá un número válido. No se aceptan valores negativos ni texto." promptTitle="Meta mensual" prompt="Monto en la moneda elegida. Podés dejarlo en 0." type="decimal" operator="greaterThanOrEqual">
      <formula1>0</formula1>
    </dataValidation>
  </dataValidations>
  <hyperlinks>
    <hyperlink ref="B4" location="'PANEL'!A1" display="← PANEL"/>
    <hyperlink xmlns:r="http://schemas.openxmlformats.org/officeDocument/2006/relationships" ref="B29" r:id="rId1"/>
  </hyperlinks>
  <printOptions horizontalCentered="1"/>
  <pageMargins left="0.75" right="0.75" top="1" bottom="1" header="0.5" footer="0.5"/>
  <pageSetup orientation="landscape" paperSize="9" fitToHeight="1" fitToWidth="1"/>
  <headerFooter>
    <oddHeader>&amp;C&amp;"Arial,Bold"&amp;14 &amp;K0F4C5CMIX SHOP DIGITAL</oddHeader>
    <oddFooter>&amp;L&amp;8 MIX SHOP DIGITAL — Herramientas inteligentes que simplifican tu vida.&amp;C&amp;8 Versión gratuita · mixshopdigital.com.py&amp;R&amp;8 Pág. &amp;P de &amp;N</oddFooter>
    <evenHeader/>
    <evenFooter/>
    <firstHeader/>
    <firstFooter/>
  </headerFooter>
</worksheet>
</file>

<file path=xl/worksheets/sheet4.xml><?xml version="1.0" encoding="utf-8"?>
<worksheet xmlns="http://schemas.openxmlformats.org/spreadsheetml/2006/main">
  <sheetPr>
    <tabColor rgb="002A9D8F"/>
    <outlinePr summaryBelow="1" summaryRight="1"/>
    <pageSetUpPr fitToPage="1"/>
  </sheetPr>
  <dimension ref="B1:H34"/>
  <sheetViews>
    <sheetView showGridLines="0" workbookViewId="0">
      <selection activeCell="A1" sqref="A1"/>
    </sheetView>
  </sheetViews>
  <sheetFormatPr baseColWidth="8" defaultRowHeight="15"/>
  <cols>
    <col width="2" customWidth="1" min="1" max="1"/>
    <col width="16" customWidth="1" min="2" max="2"/>
    <col width="16" customWidth="1" min="3" max="3"/>
    <col width="16" customWidth="1" min="4" max="4"/>
    <col width="16" customWidth="1" min="5" max="5"/>
    <col width="16" customWidth="1" min="6" max="6"/>
    <col width="16" customWidth="1" min="7" max="7"/>
    <col width="16" customWidth="1" min="8" max="8"/>
  </cols>
  <sheetData>
    <row r="1" ht="30" customHeight="1">
      <c r="B1" s="1" t="inlineStr">
        <is>
          <t>MIX SHOP DIGITAL</t>
        </is>
      </c>
      <c r="D1" s="2" t="inlineStr">
        <is>
          <t>AYUDA</t>
        </is>
      </c>
    </row>
    <row r="2" ht="18" customHeight="1">
      <c r="B2" s="3" t="inlineStr">
        <is>
          <t>Herramientas inteligentes que simplifican tu vida.</t>
        </is>
      </c>
      <c r="D2" s="4" t="inlineStr">
        <is>
          <t>Se aprende en 2 minutos</t>
        </is>
      </c>
    </row>
    <row r="3" ht="4" customHeight="1">
      <c r="B3" s="5" t="n"/>
    </row>
    <row r="4" ht="20" customHeight="1">
      <c r="B4" s="55" t="inlineStr">
        <is>
          <t>← PANEL</t>
        </is>
      </c>
      <c r="C4" s="6" t="inlineStr">
        <is>
          <t>Leé esta hoja una vez. Después ya no la vas a necesitar.</t>
        </is>
      </c>
    </row>
    <row r="6">
      <c r="B6" s="26" t="inlineStr">
        <is>
          <t>¿PARA QUÉ SIRVE?</t>
        </is>
      </c>
    </row>
    <row r="7" ht="33" customHeight="1">
      <c r="B7" s="66" t="inlineStr">
        <is>
          <t>Para saber cuánto vendés, cuánto gastás y cuánto te queda, mes por mes. Sin fórmulas, sin Internet y sin saber Excel.</t>
        </is>
      </c>
    </row>
    <row r="9">
      <c r="B9" s="46" t="inlineStr">
        <is>
          <t>EMPEZÁ EN 3 PASOS</t>
        </is>
      </c>
    </row>
    <row r="10" ht="18.5" customHeight="1">
      <c r="B10" s="66" t="inlineStr">
        <is>
          <t>1) En AJUSTES poné el nombre de tu negocio, el año que querés controlar y tu meta de ganancia mensual.</t>
        </is>
      </c>
    </row>
    <row r="11" ht="33" customHeight="1">
      <c r="B11" s="66" t="inlineStr">
        <is>
          <t>2) En MOVIMIENTOS anotá cada venta (Ingreso) y cada gasto (Gasto): fecha, tipo, categoría y monto. Una fila por movimiento.</t>
        </is>
      </c>
    </row>
    <row r="12" ht="18.5" customHeight="1">
      <c r="B12" s="66" t="inlineStr">
        <is>
          <t>3) Mirá el PANEL: se actualiza solo con tarjetas, gráficos y un mensaje que te dice cómo vas.</t>
        </is>
      </c>
    </row>
    <row r="14">
      <c r="B14" s="26" t="inlineStr">
        <is>
          <t>COLORES</t>
        </is>
      </c>
    </row>
    <row r="15" ht="33" customHeight="1">
      <c r="B15" s="66" t="inlineStr">
        <is>
          <t>Amarillo: celdas que completás vos.   Gris o blanco: se calcula solo (bloqueado).   Verde: ganancia.   Coral: gastos.   Rojo: pérdida.</t>
        </is>
      </c>
    </row>
    <row r="17">
      <c r="B17" s="46" t="inlineStr">
        <is>
          <t>PREGUNTAS FRECUENTES</t>
        </is>
      </c>
    </row>
    <row r="18" ht="18.5" customHeight="1">
      <c r="B18" s="66" t="inlineStr">
        <is>
          <t>• Veo todo en cero: hacé clic en «Habilitar edición» en la barra amarilla de Excel.</t>
        </is>
      </c>
    </row>
    <row r="19" ht="33" customHeight="1">
      <c r="B19" s="66" t="inlineStr">
        <is>
          <t>• ¿El monto de un gasto va con signo menos? No. Escribí siempre el monto en positivo; el Tipo (Ingreso o Gasto) dice si entra o sale.</t>
        </is>
      </c>
    </row>
    <row r="20" ht="33" customHeight="1">
      <c r="B20" s="66" t="inlineStr">
        <is>
          <t>• ¿Por qué un movimiento no aparece? Revisá que la fecha sea del año elegido en AJUSTES y que el Tipo esté cargado. Los de otros años se ven en gris.</t>
        </is>
      </c>
    </row>
    <row r="21" ht="18.5" customHeight="1">
      <c r="B21" s="66" t="inlineStr">
        <is>
          <t>• ¿Cómo cambio las categorías? En AJUSTES, escribiendo encima del nombre.</t>
        </is>
      </c>
    </row>
    <row r="22" ht="18.5" customHeight="1">
      <c r="B22" s="66" t="inlineStr">
        <is>
          <t>• ¿Cuántos movimientos entran? 400 filas. Cuando se llene, duplicá el archivo y usá otro por año.</t>
        </is>
      </c>
    </row>
    <row r="23" ht="33" customHeight="1">
      <c r="B23" s="66" t="inlineStr">
        <is>
          <t>• Solo se editan las celdas amarillas: el resto está protegido para que no se rompan las fórmulas por accidente.</t>
        </is>
      </c>
    </row>
    <row r="25">
      <c r="B25" s="46" t="inlineStr">
        <is>
          <t>SOBRE LA PROTECCIÓN</t>
        </is>
      </c>
    </row>
    <row r="26" ht="33" customHeight="1">
      <c r="B26" s="66" t="inlineStr">
        <is>
          <t>La protección de Excel evita borrados accidentales, pero no es un sistema de seguridad criptográfico. La marca de Mix Shop Digital en encabezados y pies funciona del mismo modo.</t>
        </is>
      </c>
    </row>
    <row r="28">
      <c r="B28" s="67" t="inlineStr">
        <is>
          <t>MIX SHOP DIGITAL Y MI NEGOCIO PY</t>
        </is>
      </c>
    </row>
    <row r="29" ht="33" customHeight="1">
      <c r="B29" s="66" t="inlineStr">
        <is>
          <t>Esta planilla es una herramienta gratuita de Mix Shop Digital. Si querés gestionar todo tu negocio en un solo lugar, conocé Mi Negocio PY, el sistema de gestión para pequeños negocios de Paraguay.</t>
        </is>
      </c>
    </row>
    <row r="30">
      <c r="B30" s="68" t="inlineStr">
        <is>
          <t>→ mixshopdigital.com.py</t>
        </is>
      </c>
    </row>
    <row r="32" ht="8" customHeight="1">
      <c r="B32" s="52" t="n"/>
    </row>
    <row r="33" ht="16" customHeight="1">
      <c r="B33" s="53" t="inlineStr">
        <is>
          <t>MIX SHOP DIGITAL  ·  Herramientas inteligentes que simplifican tu vida.</t>
        </is>
      </c>
    </row>
    <row r="34" ht="16" customHeight="1">
      <c r="B34" s="54" t="inlineStr">
        <is>
          <t>Versión gratuita  ·  Para gestionar todo tu negocio en un solo lugar, conocé Mi Negocio PY  →  mixshopdigital.com.py</t>
        </is>
      </c>
    </row>
  </sheetData>
  <sheetProtection selectLockedCells="0" selectUnlockedCells="0" sheet="1" objects="1" insertRows="1" insertHyperlinks="1" autoFilter="0" scenarios="1" formatColumns="1" deleteColumns="1" insertColumns="1" pivotTables="1" deleteRows="1" formatCells="1" formatRows="1" sort="1" password="89C1"/>
  <mergeCells count="29">
    <mergeCell ref="B9:H9"/>
    <mergeCell ref="D1:H1"/>
    <mergeCell ref="B6:H6"/>
    <mergeCell ref="B30:H30"/>
    <mergeCell ref="B15:H15"/>
    <mergeCell ref="B33:H33"/>
    <mergeCell ref="B20:H20"/>
    <mergeCell ref="B32:H32"/>
    <mergeCell ref="B2:C2"/>
    <mergeCell ref="B26:H26"/>
    <mergeCell ref="D2:H2"/>
    <mergeCell ref="B7:H7"/>
    <mergeCell ref="B25:H25"/>
    <mergeCell ref="B1:C1"/>
    <mergeCell ref="B3:H3"/>
    <mergeCell ref="B22:H22"/>
    <mergeCell ref="B18:H18"/>
    <mergeCell ref="B21:H21"/>
    <mergeCell ref="B12:H12"/>
    <mergeCell ref="B11:H11"/>
    <mergeCell ref="B23:H23"/>
    <mergeCell ref="B14:H14"/>
    <mergeCell ref="B17:H17"/>
    <mergeCell ref="C4:H4"/>
    <mergeCell ref="B10:H10"/>
    <mergeCell ref="B29:H29"/>
    <mergeCell ref="B19:H19"/>
    <mergeCell ref="B34:H34"/>
    <mergeCell ref="B28:H28"/>
  </mergeCells>
  <hyperlinks>
    <hyperlink ref="B4" location="'PANEL'!A1" display="← PANEL"/>
    <hyperlink xmlns:r="http://schemas.openxmlformats.org/officeDocument/2006/relationships" ref="B30" r:id="rId1"/>
    <hyperlink xmlns:r="http://schemas.openxmlformats.org/officeDocument/2006/relationships" ref="B34" r:id="rId2"/>
  </hyperlinks>
  <printOptions horizontalCentered="1"/>
  <pageMargins left="0.75" right="0.75" top="1" bottom="1" header="0.5" footer="0.5"/>
  <pageSetup orientation="landscape" paperSize="9" fitToHeight="1" fitToWidth="1"/>
  <headerFooter>
    <oddHeader>&amp;C&amp;"Arial,Bold"&amp;14 &amp;K0F4C5CMIX SHOP DIGITAL</oddHeader>
    <oddFooter>&amp;L&amp;8 MIX SHOP DIGITAL — Herramientas inteligentes que simplifican tu vida.&amp;C&amp;8 Versión gratuita · mixshopdigital.com.py&amp;R&amp;8 Pág.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MIX SHOP DIGITAL</dc:creator>
  <dc:title xmlns:dc="http://purl.org/dc/elements/1.1/">Control de Ventas y Gastos – Mix Shop Digital</dc:title>
  <dc:subject xmlns:dc="http://purl.org/dc/elements/1.1/">Versión gratuita</dc:subject>
  <dcterms:created xmlns:dcterms="http://purl.org/dc/terms/" xmlns:xsi="http://www.w3.org/2001/XMLSchema-instance" xsi:type="dcterms:W3CDTF">2026-10-30T12:18:04Z</dcterms:created>
  <dcterms:modified xmlns:dcterms="http://purl.org/dc/terms/" xmlns:xsi="http://www.w3.org/2001/XMLSchema-instance" xsi:type="dcterms:W3CDTF">2026-10-30T12:18:05Z</dcterms:modified>
</cp:coreProperties>
</file>