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B23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PEDIDOS" sheetId="2" state="visible" r:id="rId2"/>
    <sheet xmlns:r="http://schemas.openxmlformats.org/officeDocument/2006/relationships" name="AJUSTES" sheetId="3" state="visible" r:id="rId3"/>
    <sheet xmlns:r="http://schemas.openxmlformats.org/officeDocument/2006/relationships" name="AYUDA" sheetId="4" state="visible" r:id="rId4"/>
  </sheets>
  <definedNames>
    <definedName name="NombreNeg">'AJUSTES'!$C$7</definedName>
    <definedName name="AnioCtl">'AJUSTES'!$C$8</definedName>
    <definedName name="Moneda">'AJUSTES'!$C$9</definedName>
    <definedName name="PaisCod">'AJUSTES'!$C$10</definedName>
    <definedName name="ListaPago">'AJUSTES'!$B$14:$B$19</definedName>
    <definedName name="ListaEntrega">'AJUSTES'!$C$14:$C$18</definedName>
    <definedName name="PedFecha">PEDIDOS!$C$8:$C$207</definedName>
    <definedName name="PedCli">PEDIDOS!$D$8:$D$207</definedName>
    <definedName name="PedTel">PEDIDOS!$E$8:$E$207</definedName>
    <definedName name="PedProd">PEDIDOS!$G$8:$G$207</definedName>
    <definedName name="PedTot">PEDIDOS!$L$8:$L$207</definedName>
    <definedName name="PedGan">PEDIDOS!$O$8:$O$207</definedName>
    <definedName name="PedPag">PEDIDOS!$Q$8:$Q$207</definedName>
    <definedName name="PedSal">PEDIDOS!$R$8:$R$207</definedName>
    <definedName name="PedEP">PEDIDOS!$S$8:$S$207</definedName>
    <definedName name="PedForma">PEDIDOS!$T$8:$T$207</definedName>
    <definedName name="PedEst">PEDIDOS!$V$8:$V$207</definedName>
    <definedName name="PedAviso">PEDIDOS!$W$8:$W$207</definedName>
    <definedName name="MesN">'PANEL'!$P$6</definedName>
    <definedName name="Desde">'PANEL'!$P$7</definedName>
    <definedName name="Hasta">'PANEL'!$P$8</definedName>
    <definedName name="_xlnm.Print_Area" localSheetId="0">'PANEL'!$A$1:$M$99</definedName>
    <definedName name="_xlnm._FilterDatabase" localSheetId="1" hidden="1">'PEDIDOS'!$B$7:$X$207</definedName>
    <definedName name="_xlnm.Print_Titles" localSheetId="1">'PEDIDOS'!$6:$7</definedName>
    <definedName name="_xlnm.Print_Area" localSheetId="1">'PEDIDOS'!$A$1:$X$211</definedName>
    <definedName name="_xlnm.Print_Area" localSheetId="2">'AJUSTES'!$A$1:$D$25</definedName>
    <definedName name="_xlnm.Print_Area" localSheetId="3">'AYUDA'!$A$1:$H$39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-&quot;"/>
    <numFmt numFmtId="165" formatCode="dd/mm/yyyy"/>
    <numFmt numFmtId="166" formatCode="0;-0;&quot;-&quot;"/>
  </numFmts>
  <fonts count="3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E3B0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2A9D8F"/>
      <sz val="9"/>
      <u val="single"/>
    </font>
    <font>
      <name val="Arial"/>
      <i val="1"/>
      <color rgb="005F6B6A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6423C"/>
      <sz val="10"/>
    </font>
    <font>
      <name val="Arial"/>
      <b val="1"/>
      <color rgb="0016423C"/>
      <sz val="9"/>
    </font>
    <font>
      <name val="Arial"/>
      <color rgb="005F6B6A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5F6B6A"/>
      <sz val="9"/>
    </font>
    <font>
      <name val="Arial"/>
      <color rgb="00000000"/>
      <sz val="9"/>
    </font>
    <font>
      <name val="Arial"/>
      <color rgb="001B6EC2"/>
      <sz val="9"/>
    </font>
    <font>
      <name val="Arial"/>
      <color rgb="001B6EC2"/>
      <sz val="9"/>
      <u val="single"/>
    </font>
    <font>
      <name val="Arial"/>
      <b val="1"/>
      <color rgb="005F6B6A"/>
      <sz val="8"/>
    </font>
    <font>
      <name val="Arial"/>
      <b val="1"/>
      <color rgb="0016423C"/>
      <sz val="20"/>
    </font>
    <font>
      <name val="Arial"/>
      <b val="1"/>
      <color rgb="001B7F72"/>
      <sz val="20"/>
    </font>
    <font>
      <name val="Arial"/>
      <b val="1"/>
      <color rgb="00EE6C4D"/>
      <sz val="20"/>
    </font>
    <font>
      <name val="Arial"/>
      <b val="1"/>
      <color rgb="00B8860B"/>
      <sz val="20"/>
    </font>
    <font>
      <name val="Arial"/>
      <b val="1"/>
      <color rgb="001B5E8C"/>
      <sz val="20"/>
    </font>
    <font>
      <name val="Arial"/>
      <b val="1"/>
      <color rgb="00000000"/>
      <sz val="11"/>
    </font>
    <font>
      <name val="Arial"/>
      <b val="1"/>
      <color rgb="00B00020"/>
      <sz val="10"/>
    </font>
    <font>
      <name val="Arial"/>
      <b val="1"/>
      <color rgb="0016423C"/>
      <sz val="11"/>
    </font>
    <font>
      <name val="Arial"/>
      <b val="1"/>
      <color rgb="002A9D8F"/>
      <sz val="11"/>
      <u val="single"/>
    </font>
  </fonts>
  <fills count="15">
    <fill>
      <patternFill/>
    </fill>
    <fill>
      <patternFill patternType="gray125"/>
    </fill>
    <fill>
      <patternFill patternType="solid">
        <fgColor rgb="0016423C"/>
        <bgColor rgb="0016423C"/>
      </patternFill>
    </fill>
    <fill>
      <patternFill patternType="solid">
        <fgColor rgb="002A9D8F"/>
        <bgColor rgb="002A9D8F"/>
      </patternFill>
    </fill>
    <fill>
      <patternFill patternType="solid">
        <fgColor rgb="00F4D58D"/>
        <bgColor rgb="00F4D58D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FF3C4"/>
        <bgColor rgb="00FFF3C4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DCEAE6"/>
        <bgColor rgb="00DCEAE6"/>
      </patternFill>
    </fill>
    <fill>
      <patternFill patternType="solid">
        <fgColor rgb="00F3F8F6"/>
        <bgColor rgb="00F3F8F6"/>
      </patternFill>
    </fill>
    <fill>
      <patternFill patternType="solid">
        <fgColor rgb="00EE6C4D"/>
        <bgColor rgb="00EE6C4D"/>
      </patternFill>
    </fill>
  </fills>
  <borders count="8">
    <border>
      <left/>
      <right/>
      <top/>
      <bottom/>
      <diagonal/>
    </border>
    <border>
      <left style="thin">
        <color rgb="00D3E0DC"/>
      </left>
      <right style="thin">
        <color rgb="00D3E0DC"/>
      </right>
      <top style="thin">
        <color rgb="00D3E0DC"/>
      </top>
      <bottom style="thin">
        <color rgb="00D3E0DC"/>
      </bottom>
    </border>
    <border>
      <left style="thick">
        <color rgb="00F4D58D"/>
      </left>
    </border>
    <border>
      <left style="thick">
        <color rgb="0016423C"/>
      </left>
    </border>
    <border>
      <left style="thick">
        <color rgb="001B7F72"/>
      </left>
    </border>
    <border>
      <left style="thick">
        <color rgb="00EE6C4D"/>
      </left>
    </border>
    <border>
      <left style="thick">
        <color rgb="00B8860B"/>
      </left>
    </border>
    <border>
      <left style="thick">
        <color rgb="001B5E8C"/>
      </left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9" borderId="1" applyAlignment="1" applyProtection="1" pivotButton="0" quotePrefix="0" xfId="0">
      <alignment horizontal="center" vertical="center"/>
      <protection locked="0" hidden="0"/>
    </xf>
    <xf numFmtId="0" fontId="21" fillId="13" borderId="3" applyAlignment="1" pivotButton="0" quotePrefix="0" xfId="0">
      <alignment horizontal="center" vertical="center"/>
    </xf>
    <xf numFmtId="0" fontId="21" fillId="13" borderId="4" applyAlignment="1" pivotButton="0" quotePrefix="0" xfId="0">
      <alignment horizontal="center" vertical="center"/>
    </xf>
    <xf numFmtId="0" fontId="21" fillId="13" borderId="5" applyAlignment="1" pivotButton="0" quotePrefix="0" xfId="0">
      <alignment horizontal="center" vertical="center"/>
    </xf>
    <xf numFmtId="0" fontId="21" fillId="13" borderId="6" applyAlignment="1" pivotButton="0" quotePrefix="0" xfId="0">
      <alignment horizontal="center" vertical="center"/>
    </xf>
    <xf numFmtId="164" fontId="22" fillId="13" borderId="3" applyAlignment="1" pivotButton="0" quotePrefix="0" xfId="0">
      <alignment horizontal="center" vertical="center"/>
    </xf>
    <xf numFmtId="164" fontId="23" fillId="13" borderId="4" applyAlignment="1" pivotButton="0" quotePrefix="0" xfId="0">
      <alignment horizontal="center" vertical="center"/>
    </xf>
    <xf numFmtId="164" fontId="24" fillId="13" borderId="5" applyAlignment="1" pivotButton="0" quotePrefix="0" xfId="0">
      <alignment horizontal="center" vertical="center"/>
    </xf>
    <xf numFmtId="164" fontId="25" fillId="13" borderId="6" applyAlignment="1" pivotButton="0" quotePrefix="0" xfId="0">
      <alignment horizontal="center" vertical="center"/>
    </xf>
    <xf numFmtId="0" fontId="13" fillId="13" borderId="3" applyAlignment="1" pivotButton="0" quotePrefix="0" xfId="0">
      <alignment horizontal="center" vertical="center"/>
    </xf>
    <xf numFmtId="0" fontId="13" fillId="13" borderId="4" applyAlignment="1" pivotButton="0" quotePrefix="0" xfId="0">
      <alignment horizontal="center" vertical="center"/>
    </xf>
    <xf numFmtId="0" fontId="13" fillId="13" borderId="5" applyAlignment="1" pivotButton="0" quotePrefix="0" xfId="0">
      <alignment horizontal="center" vertical="center"/>
    </xf>
    <xf numFmtId="0" fontId="13" fillId="13" borderId="6" applyAlignment="1" pivotButton="0" quotePrefix="0" xfId="0">
      <alignment horizontal="center" vertical="center"/>
    </xf>
    <xf numFmtId="0" fontId="21" fillId="13" borderId="7" applyAlignment="1" pivotButton="0" quotePrefix="0" xfId="0">
      <alignment horizontal="center" vertical="center"/>
    </xf>
    <xf numFmtId="1" fontId="22" fillId="13" borderId="3" applyAlignment="1" pivotButton="0" quotePrefix="0" xfId="0">
      <alignment horizontal="center" vertical="center"/>
    </xf>
    <xf numFmtId="1" fontId="26" fillId="13" borderId="7" applyAlignment="1" pivotButton="0" quotePrefix="0" xfId="0">
      <alignment horizontal="center" vertical="center"/>
    </xf>
    <xf numFmtId="1" fontId="24" fillId="13" borderId="5" applyAlignment="1" pivotButton="0" quotePrefix="0" xfId="0">
      <alignment horizontal="center" vertical="center"/>
    </xf>
    <xf numFmtId="0" fontId="13" fillId="13" borderId="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6" fontId="18" fillId="5" borderId="1" applyAlignment="1" pivotButton="0" quotePrefix="0" xfId="0">
      <alignment horizontal="center" vertical="center"/>
    </xf>
    <xf numFmtId="164" fontId="18" fillId="5" borderId="1" applyAlignment="1" pivotButton="0" quotePrefix="0" xfId="0">
      <alignment horizontal="right" vertical="center"/>
    </xf>
    <xf numFmtId="0" fontId="10" fillId="13" borderId="1" applyAlignment="1" pivotButton="0" quotePrefix="0" xfId="0">
      <alignment horizontal="left" vertical="center"/>
    </xf>
    <xf numFmtId="166" fontId="18" fillId="13" borderId="1" applyAlignment="1" pivotButton="0" quotePrefix="0" xfId="0">
      <alignment horizontal="center" vertical="center"/>
    </xf>
    <xf numFmtId="164" fontId="18" fillId="13" borderId="1" applyAlignment="1" pivotButton="0" quotePrefix="0" xfId="0">
      <alignment horizontal="right" vertical="center"/>
    </xf>
    <xf numFmtId="0" fontId="14" fillId="2" borderId="1" applyAlignment="1" pivotButton="0" quotePrefix="0" xfId="0">
      <alignment horizontal="left" vertical="center"/>
    </xf>
    <xf numFmtId="1" fontId="16" fillId="12" borderId="1" applyAlignment="1" pivotButton="0" quotePrefix="0" xfId="0">
      <alignment horizontal="center" vertical="center"/>
    </xf>
    <xf numFmtId="164" fontId="16" fillId="12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9" fillId="14" borderId="0" applyAlignment="1" pivotButton="0" quotePrefix="0" xfId="0">
      <alignment horizontal="left" vertical="center"/>
    </xf>
    <xf numFmtId="0" fontId="14" fillId="14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8" fillId="5" borderId="1" applyAlignment="1" pivotButton="0" quotePrefix="0" xfId="0">
      <alignment vertical="center"/>
    </xf>
    <xf numFmtId="0" fontId="14" fillId="2" borderId="1" applyAlignment="1" pivotButton="0" quotePrefix="0" xfId="0">
      <alignment vertical="center"/>
    </xf>
    <xf numFmtId="0" fontId="18" fillId="5" borderId="1" applyAlignment="1" pivotButton="0" quotePrefix="0" xfId="0">
      <alignment horizontal="left" vertical="center"/>
    </xf>
    <xf numFmtId="0" fontId="17" fillId="5" borderId="1" applyAlignment="1" pivotButton="0" quotePrefix="0" xfId="0">
      <alignment horizontal="left" vertical="center"/>
    </xf>
    <xf numFmtId="164" fontId="28" fillId="5" borderId="1" applyAlignment="1" pivotButton="0" quotePrefix="0" xfId="0">
      <alignment horizontal="right" vertical="center"/>
    </xf>
    <xf numFmtId="0" fontId="18" fillId="5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left" vertical="center"/>
    </xf>
    <xf numFmtId="164" fontId="28" fillId="13" borderId="1" applyAlignment="1" pivotButton="0" quotePrefix="0" xfId="0">
      <alignment horizontal="right" vertical="center"/>
    </xf>
    <xf numFmtId="0" fontId="18" fillId="13" borderId="1" applyAlignment="1" pivotButton="0" quotePrefix="0" xfId="0">
      <alignment horizontal="center" vertical="center"/>
    </xf>
    <xf numFmtId="165" fontId="18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/>
    </xf>
    <xf numFmtId="165" fontId="18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4" fillId="3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right" vertical="center"/>
    </xf>
    <xf numFmtId="0" fontId="5" fillId="12" borderId="1" applyAlignment="1" pivotButton="0" quotePrefix="0" xfId="0">
      <alignment vertical="center"/>
    </xf>
    <xf numFmtId="0" fontId="15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" fontId="17" fillId="5" borderId="1" applyAlignment="1" pivotButton="0" quotePrefix="0" xfId="0">
      <alignment horizontal="center" vertical="center"/>
    </xf>
    <xf numFmtId="165" fontId="18" fillId="9" borderId="1" applyAlignment="1" applyProtection="1" pivotButton="0" quotePrefix="0" xfId="0">
      <alignment horizontal="center" vertical="center"/>
      <protection locked="0" hidden="0"/>
    </xf>
    <xf numFmtId="0" fontId="10" fillId="9" borderId="1" applyAlignment="1" applyProtection="1" pivotButton="0" quotePrefix="0" xfId="0">
      <alignment horizontal="left" vertical="center"/>
      <protection locked="0" hidden="0"/>
    </xf>
    <xf numFmtId="49" fontId="18" fillId="9" borderId="1" applyAlignment="1" applyProtection="1" pivotButton="0" quotePrefix="0" xfId="0">
      <alignment horizontal="left" vertical="center"/>
      <protection locked="0" hidden="0"/>
    </xf>
    <xf numFmtId="0" fontId="20" fillId="5" borderId="1" applyAlignment="1" pivotButton="0" quotePrefix="0" xfId="0">
      <alignment horizontal="center" vertical="center"/>
    </xf>
    <xf numFmtId="0" fontId="18" fillId="9" borderId="1" applyAlignment="1" applyProtection="1" pivotButton="0" quotePrefix="0" xfId="0">
      <alignment horizontal="left" vertical="center"/>
      <protection locked="0" hidden="0"/>
    </xf>
    <xf numFmtId="1" fontId="18" fillId="9" borderId="1" applyAlignment="1" applyProtection="1" pivotButton="0" quotePrefix="0" xfId="0">
      <alignment horizontal="center" vertical="center"/>
      <protection locked="0" hidden="0"/>
    </xf>
    <xf numFmtId="3" fontId="18" fillId="9" borderId="1" applyAlignment="1" applyProtection="1" pivotButton="0" quotePrefix="0" xfId="0">
      <alignment horizontal="right" vertical="center"/>
      <protection locked="0" hidden="0"/>
    </xf>
    <xf numFmtId="164" fontId="10" fillId="12" borderId="1" applyAlignment="1" pivotButton="0" quotePrefix="0" xfId="0">
      <alignment horizontal="right" vertical="center"/>
    </xf>
    <xf numFmtId="164" fontId="16" fillId="5" borderId="1" applyAlignment="1" pivotButton="0" quotePrefix="0" xfId="0">
      <alignment horizontal="right" vertical="center"/>
    </xf>
    <xf numFmtId="0" fontId="16" fillId="9" borderId="1" applyAlignment="1" applyProtection="1" pivotButton="0" quotePrefix="0" xfId="0">
      <alignment horizontal="center" vertical="center"/>
      <protection locked="0" hidden="0"/>
    </xf>
    <xf numFmtId="1" fontId="17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164" fontId="16" fillId="13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" fontId="5" fillId="9" borderId="1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29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7">
    <dxf>
      <font>
        <b val="1"/>
        <color rgb="00B00020"/>
      </font>
    </dxf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7A5C00"/>
      </font>
      <fill>
        <patternFill patternType="solid">
          <fgColor rgb="00FFF3C4"/>
          <bgColor rgb="00FFF3C4"/>
        </patternFill>
      </fill>
    </dxf>
    <dxf>
      <font>
        <b val="1"/>
        <color rgb="001B5E8C"/>
      </font>
      <fill>
        <patternFill patternType="solid">
          <fgColor rgb="00D9ECF9"/>
          <bgColor rgb="00D9ECF9"/>
        </patternFill>
      </fill>
    </dxf>
    <dxf>
      <font>
        <b val="1"/>
        <color rgb="006B7473"/>
      </font>
      <fill>
        <patternFill patternType="solid">
          <fgColor rgb="00E4E7E6"/>
          <bgColor rgb="00E4E7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y cobrado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'PANEL'!D19</f>
            </strRef>
          </tx>
          <spPr>
            <a:solidFill xmlns:a="http://schemas.openxmlformats.org/drawingml/2006/main">
              <a:srgbClr val="16423C"/>
            </a:solidFill>
            <a:ln xmlns:a="http://schemas.openxmlformats.org/drawingml/2006/main">
              <a:prstDash val="solid"/>
            </a:ln>
          </spPr>
          <cat>
            <numRef>
              <f>'PANEL'!$B$20:$B$31</f>
            </numRef>
          </cat>
          <val>
            <numRef>
              <f>'PANEL'!$D$20:$D$31</f>
            </numRef>
          </val>
        </ser>
        <ser>
          <idx val="1"/>
          <order val="1"/>
          <tx>
            <strRef>
              <f>'PANEL'!E19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'PANEL'!$B$20:$B$31</f>
            </numRef>
          </cat>
          <val>
            <numRef>
              <f>'PANEL'!$E$20:$E$31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estado de entrega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6BAED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B5BDBB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'PANEL'!$B$36:$B$40</f>
            </numRef>
          </cat>
          <val>
            <numRef>
              <f>'PANEL'!$D$36:$D$40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estado de pago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A9D8F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4D58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E6C4D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'PANEL'!$H$36:$H$38</f>
            </numRef>
          </cat>
          <val>
            <numRef>
              <f>'PANEL'!$J$36:$J$38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Pedidos por forma de entrega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'PANEL'!D59</f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prstDash val="solid"/>
            </a:ln>
          </spPr>
          <cat>
            <numRef>
              <f>'PANEL'!$B$60:$B$64</f>
            </numRef>
          </cat>
          <val>
            <numRef>
              <f>'PANEL'!$D$60:$D$64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  <majorUnit val="1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17</row>
      <rowOff>0</rowOff>
    </from>
    <ext cx="4752000" cy="316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42</row>
      <rowOff>0</rowOff>
    </from>
    <ext cx="4752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42</row>
      <rowOff>0</rowOff>
    </from>
    <ext cx="4752000" cy="259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57</row>
      <rowOff>0</rowOff>
    </from>
    <ext cx="4752000" cy="230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4.xml" Id="rId3"/></Relationships>
</file>

<file path=xl/worksheets/sheet1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Q9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hidden="1" width="13" customWidth="1" min="16" max="16"/>
    <col hidden="1" width="13" customWidth="1" min="17" max="17"/>
  </cols>
  <sheetData>
    <row r="1" ht="38" customHeight="1">
      <c r="B1" s="1" t="n"/>
      <c r="C1" s="2" t="n"/>
      <c r="D1" s="2" t="n"/>
      <c r="E1" s="2" t="n"/>
      <c r="F1" s="3" t="inlineStr">
        <is>
          <t>CONTROL DE PEDIDOS Y ENTREGAS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negocio,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PEDIDOS. No hace falta escribir nada acá, salvo elegir el período.</t>
        </is>
      </c>
    </row>
    <row r="5" ht="22" customHeight="1">
      <c r="B5" s="13" t="inlineStr">
        <is>
          <t>+ Anotar pedidos</t>
        </is>
      </c>
      <c r="E5" s="14" t="inlineStr">
        <is>
          <t>Ajustes</t>
        </is>
      </c>
      <c r="G5" s="14" t="inlineStr">
        <is>
          <t>Ayuda</t>
        </is>
      </c>
    </row>
    <row r="6" ht="22" customHeight="1">
      <c r="B6" s="15" t="inlineStr">
        <is>
          <t>Período a mirar:</t>
        </is>
      </c>
      <c r="C6" s="16" t="inlineStr">
        <is>
          <t>Todo el año</t>
        </is>
      </c>
      <c r="E6" s="12">
        <f>"Año: "&amp;AnioCtl&amp;"   ·   "&amp;NombreNeg</f>
        <v/>
      </c>
      <c r="P6">
        <f>IFERROR(MATCH(C6,{"Todo el año","Enero","Febrero","Marzo","Abril","Mayo","Junio","Julio","Agosto","Septiembre","Octubre","Noviembre","Diciembre"},0)-1,0)</f>
        <v/>
      </c>
    </row>
    <row r="7">
      <c r="P7">
        <f>IF(MesN=0,DATE(AnioCtl,1,1),DATE(AnioCtl,MesN,1))</f>
        <v/>
      </c>
    </row>
    <row r="8" ht="16" customHeight="1">
      <c r="B8" s="17" t="inlineStr">
        <is>
          <t>VENTAS DEL PERÍODO</t>
        </is>
      </c>
      <c r="E8" s="18" t="inlineStr">
        <is>
          <t>COBRADO</t>
        </is>
      </c>
      <c r="H8" s="19" t="inlineStr">
        <is>
          <t>POR COBRAR</t>
        </is>
      </c>
      <c r="K8" s="20" t="inlineStr">
        <is>
          <t>GANANCIA ESTIMADA</t>
        </is>
      </c>
      <c r="P8">
        <f>IF(MesN=0,DATE(AnioCtl+1,1,1),DATE(AnioCtl,MesN+1,1))</f>
        <v/>
      </c>
    </row>
    <row r="9" ht="30" customHeight="1">
      <c r="B9" s="21">
        <f>SUMIFS(PedTot,PedFecha,"&gt;="&amp;Desde,PedFecha,"&lt;"&amp;Hasta,PedEst,"&lt;&gt;Cancelado")</f>
        <v/>
      </c>
      <c r="E9" s="22">
        <f>SUMIFS(PedPag,PedFecha,"&gt;="&amp;Desde,PedFecha,"&lt;"&amp;Hasta,PedEst,"&lt;&gt;Cancelado")</f>
        <v/>
      </c>
      <c r="H9" s="23">
        <f>SUMIFS(PedSal,PedFecha,"&gt;="&amp;Desde,PedFecha,"&lt;"&amp;Hasta,PedEst,"&lt;&gt;Cancelado")</f>
        <v/>
      </c>
      <c r="K9" s="24">
        <f>SUMIFS(PedGan,PedFecha,"&gt;="&amp;Desde,PedFecha,"&lt;"&amp;Hasta,PedEst,"&lt;&gt;Cancelado")</f>
        <v/>
      </c>
      <c r="P9">
        <f>SUMIFS(PedSal,PedEst,"&lt;&gt;Cancelado")</f>
        <v/>
      </c>
    </row>
    <row r="10" ht="15" customHeight="1">
      <c r="B10" s="25">
        <f>Moneda</f>
        <v/>
      </c>
      <c r="E10" s="26" t="inlineStr">
        <is>
          <t>lo que ya te pagaron</t>
        </is>
      </c>
      <c r="H10" s="27" t="inlineStr">
        <is>
          <t>saldo de los pedidos del período</t>
        </is>
      </c>
      <c r="K10" s="28" t="inlineStr">
        <is>
          <t>solo pedidos con costos cargados</t>
        </is>
      </c>
    </row>
    <row r="11" ht="8" customHeight="1"/>
    <row r="12" ht="16" customHeight="1">
      <c r="B12" s="17" t="inlineStr">
        <is>
          <t>PEDIDOS</t>
        </is>
      </c>
      <c r="E12" s="18" t="inlineStr">
        <is>
          <t>TICKET PROMEDIO</t>
        </is>
      </c>
      <c r="H12" s="29" t="inlineStr">
        <is>
          <t>ENTREGAS EN CURSO</t>
        </is>
      </c>
      <c r="K12" s="19" t="inlineStr">
        <is>
          <t>ENTREGAS ATRASADAS</t>
        </is>
      </c>
    </row>
    <row r="13" ht="30" customHeight="1">
      <c r="B13" s="30">
        <f>COUNTIFS(PedFecha,"&gt;="&amp;Desde,PedFecha,"&lt;"&amp;Hasta,PedEst,"&lt;&gt;Cancelado",PedCli,"&lt;&gt;")</f>
        <v/>
      </c>
      <c r="E13" s="22">
        <f>IFERROR(B9/B13,0)</f>
        <v/>
      </c>
      <c r="H13" s="31">
        <f>COUNTIF(PedEst,"Pendiente")+COUNTIF(PedEst,"Preparando")+COUNTIF(PedEst,"Enviado")</f>
        <v/>
      </c>
      <c r="K13" s="32">
        <f>COUNTIF(PedAviso,"✖*")</f>
        <v/>
      </c>
    </row>
    <row r="14" ht="15" customHeight="1">
      <c r="B14" s="25" t="inlineStr">
        <is>
          <t>sin contar los cancelados</t>
        </is>
      </c>
      <c r="E14" s="26" t="inlineStr">
        <is>
          <t>venta promedio por pedido</t>
        </is>
      </c>
      <c r="H14" s="33" t="inlineStr">
        <is>
          <t>de todos los períodos</t>
        </is>
      </c>
      <c r="K14" s="27" t="inlineStr">
        <is>
          <t>pasaron la fecha prometida</t>
        </is>
      </c>
    </row>
    <row r="15" ht="8" customHeight="1"/>
    <row r="16" ht="26" customHeight="1">
      <c r="B16" s="34">
        <f>IF(COUNTIF(PedCli,"?*")=0,"Cargá tus pedidos en la hoja PEDIDOS para ver tu panel.",IF(K13&gt;0,"✖ Tenés "&amp;K13&amp;" entrega(s) atrasada(s): revisá «Próximas entregas» más abajo.",IF(P9&gt;0,"⚠ Te deben "&amp;FIXED(P9,0)&amp;" "&amp;Moneda&amp;" en total: revisá «A cobrar» más abajo.","✔ Todo al día: sin entregas atrasadas ni saldos pendientes.")))</f>
        <v/>
      </c>
    </row>
    <row r="18">
      <c r="B18" s="35">
        <f>"MES A MES · "&amp;AnioCtl</f>
        <v/>
      </c>
    </row>
    <row r="19" ht="22" customHeight="1">
      <c r="B19" s="14" t="inlineStr">
        <is>
          <t>Mes</t>
        </is>
      </c>
      <c r="C19" s="14" t="inlineStr">
        <is>
          <t>Pedidos</t>
        </is>
      </c>
      <c r="D19" s="14" t="inlineStr">
        <is>
          <t>Ventas</t>
        </is>
      </c>
      <c r="E19" s="14" t="inlineStr">
        <is>
          <t>Cobrado</t>
        </is>
      </c>
      <c r="F19" s="14" t="inlineStr">
        <is>
          <t>Ganancia</t>
        </is>
      </c>
    </row>
    <row r="20" ht="18" customHeight="1">
      <c r="B20" s="36" t="inlineStr">
        <is>
          <t>Enero</t>
        </is>
      </c>
      <c r="C20" s="37">
        <f>COUNTIFS(PedFecha,"&gt;="&amp;DATE(AnioCtl,1,1),PedFecha,"&lt;"&amp;DATE(AnioCtl,2,1),PedEst,"&lt;&gt;Cancelado",PedCli,"&lt;&gt;")</f>
        <v/>
      </c>
      <c r="D20" s="38">
        <f>SUMIFS(PedTot,PedFecha,"&gt;="&amp;DATE(AnioCtl,1,1),PedFecha,"&lt;"&amp;DATE(AnioCtl,2,1),PedEst,"&lt;&gt;Cancelado")</f>
        <v/>
      </c>
      <c r="E20" s="38">
        <f>SUMIFS(PedPag,PedFecha,"&gt;="&amp;DATE(AnioCtl,1,1),PedFecha,"&lt;"&amp;DATE(AnioCtl,2,1),PedEst,"&lt;&gt;Cancelado")</f>
        <v/>
      </c>
      <c r="F20" s="38">
        <f>SUMIFS(PedGan,PedFecha,"&gt;="&amp;DATE(AnioCtl,1,1),PedFecha,"&lt;"&amp;DATE(AnioCtl,2,1),PedEst,"&lt;&gt;Cancelado")</f>
        <v/>
      </c>
    </row>
    <row r="21" ht="18" customHeight="1">
      <c r="B21" s="39" t="inlineStr">
        <is>
          <t>Febrero</t>
        </is>
      </c>
      <c r="C21" s="40">
        <f>COUNTIFS(PedFecha,"&gt;="&amp;DATE(AnioCtl,2,1),PedFecha,"&lt;"&amp;DATE(AnioCtl,3,1),PedEst,"&lt;&gt;Cancelado",PedCli,"&lt;&gt;")</f>
        <v/>
      </c>
      <c r="D21" s="41">
        <f>SUMIFS(PedTot,PedFecha,"&gt;="&amp;DATE(AnioCtl,2,1),PedFecha,"&lt;"&amp;DATE(AnioCtl,3,1),PedEst,"&lt;&gt;Cancelado")</f>
        <v/>
      </c>
      <c r="E21" s="41">
        <f>SUMIFS(PedPag,PedFecha,"&gt;="&amp;DATE(AnioCtl,2,1),PedFecha,"&lt;"&amp;DATE(AnioCtl,3,1),PedEst,"&lt;&gt;Cancelado")</f>
        <v/>
      </c>
      <c r="F21" s="41">
        <f>SUMIFS(PedGan,PedFecha,"&gt;="&amp;DATE(AnioCtl,2,1),PedFecha,"&lt;"&amp;DATE(AnioCtl,3,1),PedEst,"&lt;&gt;Cancelado")</f>
        <v/>
      </c>
    </row>
    <row r="22" ht="18" customHeight="1">
      <c r="B22" s="36" t="inlineStr">
        <is>
          <t>Marzo</t>
        </is>
      </c>
      <c r="C22" s="37">
        <f>COUNTIFS(PedFecha,"&gt;="&amp;DATE(AnioCtl,3,1),PedFecha,"&lt;"&amp;DATE(AnioCtl,4,1),PedEst,"&lt;&gt;Cancelado",PedCli,"&lt;&gt;")</f>
        <v/>
      </c>
      <c r="D22" s="38">
        <f>SUMIFS(PedTot,PedFecha,"&gt;="&amp;DATE(AnioCtl,3,1),PedFecha,"&lt;"&amp;DATE(AnioCtl,4,1),PedEst,"&lt;&gt;Cancelado")</f>
        <v/>
      </c>
      <c r="E22" s="38">
        <f>SUMIFS(PedPag,PedFecha,"&gt;="&amp;DATE(AnioCtl,3,1),PedFecha,"&lt;"&amp;DATE(AnioCtl,4,1),PedEst,"&lt;&gt;Cancelado")</f>
        <v/>
      </c>
      <c r="F22" s="38">
        <f>SUMIFS(PedGan,PedFecha,"&gt;="&amp;DATE(AnioCtl,3,1),PedFecha,"&lt;"&amp;DATE(AnioCtl,4,1),PedEst,"&lt;&gt;Cancelado")</f>
        <v/>
      </c>
    </row>
    <row r="23" ht="18" customHeight="1">
      <c r="B23" s="39" t="inlineStr">
        <is>
          <t>Abril</t>
        </is>
      </c>
      <c r="C23" s="40">
        <f>COUNTIFS(PedFecha,"&gt;="&amp;DATE(AnioCtl,4,1),PedFecha,"&lt;"&amp;DATE(AnioCtl,5,1),PedEst,"&lt;&gt;Cancelado",PedCli,"&lt;&gt;")</f>
        <v/>
      </c>
      <c r="D23" s="41">
        <f>SUMIFS(PedTot,PedFecha,"&gt;="&amp;DATE(AnioCtl,4,1),PedFecha,"&lt;"&amp;DATE(AnioCtl,5,1),PedEst,"&lt;&gt;Cancelado")</f>
        <v/>
      </c>
      <c r="E23" s="41">
        <f>SUMIFS(PedPag,PedFecha,"&gt;="&amp;DATE(AnioCtl,4,1),PedFecha,"&lt;"&amp;DATE(AnioCtl,5,1),PedEst,"&lt;&gt;Cancelado")</f>
        <v/>
      </c>
      <c r="F23" s="41">
        <f>SUMIFS(PedGan,PedFecha,"&gt;="&amp;DATE(AnioCtl,4,1),PedFecha,"&lt;"&amp;DATE(AnioCtl,5,1),PedEst,"&lt;&gt;Cancelado")</f>
        <v/>
      </c>
    </row>
    <row r="24" ht="18" customHeight="1">
      <c r="B24" s="36" t="inlineStr">
        <is>
          <t>Mayo</t>
        </is>
      </c>
      <c r="C24" s="37">
        <f>COUNTIFS(PedFecha,"&gt;="&amp;DATE(AnioCtl,5,1),PedFecha,"&lt;"&amp;DATE(AnioCtl,6,1),PedEst,"&lt;&gt;Cancelado",PedCli,"&lt;&gt;")</f>
        <v/>
      </c>
      <c r="D24" s="38">
        <f>SUMIFS(PedTot,PedFecha,"&gt;="&amp;DATE(AnioCtl,5,1),PedFecha,"&lt;"&amp;DATE(AnioCtl,6,1),PedEst,"&lt;&gt;Cancelado")</f>
        <v/>
      </c>
      <c r="E24" s="38">
        <f>SUMIFS(PedPag,PedFecha,"&gt;="&amp;DATE(AnioCtl,5,1),PedFecha,"&lt;"&amp;DATE(AnioCtl,6,1),PedEst,"&lt;&gt;Cancelado")</f>
        <v/>
      </c>
      <c r="F24" s="38">
        <f>SUMIFS(PedGan,PedFecha,"&gt;="&amp;DATE(AnioCtl,5,1),PedFecha,"&lt;"&amp;DATE(AnioCtl,6,1),PedEst,"&lt;&gt;Cancelado")</f>
        <v/>
      </c>
    </row>
    <row r="25" ht="18" customHeight="1">
      <c r="B25" s="39" t="inlineStr">
        <is>
          <t>Junio</t>
        </is>
      </c>
      <c r="C25" s="40">
        <f>COUNTIFS(PedFecha,"&gt;="&amp;DATE(AnioCtl,6,1),PedFecha,"&lt;"&amp;DATE(AnioCtl,7,1),PedEst,"&lt;&gt;Cancelado",PedCli,"&lt;&gt;")</f>
        <v/>
      </c>
      <c r="D25" s="41">
        <f>SUMIFS(PedTot,PedFecha,"&gt;="&amp;DATE(AnioCtl,6,1),PedFecha,"&lt;"&amp;DATE(AnioCtl,7,1),PedEst,"&lt;&gt;Cancelado")</f>
        <v/>
      </c>
      <c r="E25" s="41">
        <f>SUMIFS(PedPag,PedFecha,"&gt;="&amp;DATE(AnioCtl,6,1),PedFecha,"&lt;"&amp;DATE(AnioCtl,7,1),PedEst,"&lt;&gt;Cancelado")</f>
        <v/>
      </c>
      <c r="F25" s="41">
        <f>SUMIFS(PedGan,PedFecha,"&gt;="&amp;DATE(AnioCtl,6,1),PedFecha,"&lt;"&amp;DATE(AnioCtl,7,1),PedEst,"&lt;&gt;Cancelado")</f>
        <v/>
      </c>
    </row>
    <row r="26" ht="18" customHeight="1">
      <c r="B26" s="36" t="inlineStr">
        <is>
          <t>Julio</t>
        </is>
      </c>
      <c r="C26" s="37">
        <f>COUNTIFS(PedFecha,"&gt;="&amp;DATE(AnioCtl,7,1),PedFecha,"&lt;"&amp;DATE(AnioCtl,8,1),PedEst,"&lt;&gt;Cancelado",PedCli,"&lt;&gt;")</f>
        <v/>
      </c>
      <c r="D26" s="38">
        <f>SUMIFS(PedTot,PedFecha,"&gt;="&amp;DATE(AnioCtl,7,1),PedFecha,"&lt;"&amp;DATE(AnioCtl,8,1),PedEst,"&lt;&gt;Cancelado")</f>
        <v/>
      </c>
      <c r="E26" s="38">
        <f>SUMIFS(PedPag,PedFecha,"&gt;="&amp;DATE(AnioCtl,7,1),PedFecha,"&lt;"&amp;DATE(AnioCtl,8,1),PedEst,"&lt;&gt;Cancelado")</f>
        <v/>
      </c>
      <c r="F26" s="38">
        <f>SUMIFS(PedGan,PedFecha,"&gt;="&amp;DATE(AnioCtl,7,1),PedFecha,"&lt;"&amp;DATE(AnioCtl,8,1),PedEst,"&lt;&gt;Cancelado")</f>
        <v/>
      </c>
    </row>
    <row r="27" ht="18" customHeight="1">
      <c r="B27" s="39" t="inlineStr">
        <is>
          <t>Agosto</t>
        </is>
      </c>
      <c r="C27" s="40">
        <f>COUNTIFS(PedFecha,"&gt;="&amp;DATE(AnioCtl,8,1),PedFecha,"&lt;"&amp;DATE(AnioCtl,9,1),PedEst,"&lt;&gt;Cancelado",PedCli,"&lt;&gt;")</f>
        <v/>
      </c>
      <c r="D27" s="41">
        <f>SUMIFS(PedTot,PedFecha,"&gt;="&amp;DATE(AnioCtl,8,1),PedFecha,"&lt;"&amp;DATE(AnioCtl,9,1),PedEst,"&lt;&gt;Cancelado")</f>
        <v/>
      </c>
      <c r="E27" s="41">
        <f>SUMIFS(PedPag,PedFecha,"&gt;="&amp;DATE(AnioCtl,8,1),PedFecha,"&lt;"&amp;DATE(AnioCtl,9,1),PedEst,"&lt;&gt;Cancelado")</f>
        <v/>
      </c>
      <c r="F27" s="41">
        <f>SUMIFS(PedGan,PedFecha,"&gt;="&amp;DATE(AnioCtl,8,1),PedFecha,"&lt;"&amp;DATE(AnioCtl,9,1),PedEst,"&lt;&gt;Cancelado")</f>
        <v/>
      </c>
    </row>
    <row r="28" ht="18" customHeight="1">
      <c r="B28" s="36" t="inlineStr">
        <is>
          <t>Septiembre</t>
        </is>
      </c>
      <c r="C28" s="37">
        <f>COUNTIFS(PedFecha,"&gt;="&amp;DATE(AnioCtl,9,1),PedFecha,"&lt;"&amp;DATE(AnioCtl,10,1),PedEst,"&lt;&gt;Cancelado",PedCli,"&lt;&gt;")</f>
        <v/>
      </c>
      <c r="D28" s="38">
        <f>SUMIFS(PedTot,PedFecha,"&gt;="&amp;DATE(AnioCtl,9,1),PedFecha,"&lt;"&amp;DATE(AnioCtl,10,1),PedEst,"&lt;&gt;Cancelado")</f>
        <v/>
      </c>
      <c r="E28" s="38">
        <f>SUMIFS(PedPag,PedFecha,"&gt;="&amp;DATE(AnioCtl,9,1),PedFecha,"&lt;"&amp;DATE(AnioCtl,10,1),PedEst,"&lt;&gt;Cancelado")</f>
        <v/>
      </c>
      <c r="F28" s="38">
        <f>SUMIFS(PedGan,PedFecha,"&gt;="&amp;DATE(AnioCtl,9,1),PedFecha,"&lt;"&amp;DATE(AnioCtl,10,1),PedEst,"&lt;&gt;Cancelado")</f>
        <v/>
      </c>
    </row>
    <row r="29" ht="18" customHeight="1">
      <c r="B29" s="39" t="inlineStr">
        <is>
          <t>Octubre</t>
        </is>
      </c>
      <c r="C29" s="40">
        <f>COUNTIFS(PedFecha,"&gt;="&amp;DATE(AnioCtl,10,1),PedFecha,"&lt;"&amp;DATE(AnioCtl,11,1),PedEst,"&lt;&gt;Cancelado",PedCli,"&lt;&gt;")</f>
        <v/>
      </c>
      <c r="D29" s="41">
        <f>SUMIFS(PedTot,PedFecha,"&gt;="&amp;DATE(AnioCtl,10,1),PedFecha,"&lt;"&amp;DATE(AnioCtl,11,1),PedEst,"&lt;&gt;Cancelado")</f>
        <v/>
      </c>
      <c r="E29" s="41">
        <f>SUMIFS(PedPag,PedFecha,"&gt;="&amp;DATE(AnioCtl,10,1),PedFecha,"&lt;"&amp;DATE(AnioCtl,11,1),PedEst,"&lt;&gt;Cancelado")</f>
        <v/>
      </c>
      <c r="F29" s="41">
        <f>SUMIFS(PedGan,PedFecha,"&gt;="&amp;DATE(AnioCtl,10,1),PedFecha,"&lt;"&amp;DATE(AnioCtl,11,1),PedEst,"&lt;&gt;Cancelado")</f>
        <v/>
      </c>
    </row>
    <row r="30" ht="18" customHeight="1">
      <c r="B30" s="36" t="inlineStr">
        <is>
          <t>Noviembre</t>
        </is>
      </c>
      <c r="C30" s="37">
        <f>COUNTIFS(PedFecha,"&gt;="&amp;DATE(AnioCtl,11,1),PedFecha,"&lt;"&amp;DATE(AnioCtl,12,1),PedEst,"&lt;&gt;Cancelado",PedCli,"&lt;&gt;")</f>
        <v/>
      </c>
      <c r="D30" s="38">
        <f>SUMIFS(PedTot,PedFecha,"&gt;="&amp;DATE(AnioCtl,11,1),PedFecha,"&lt;"&amp;DATE(AnioCtl,12,1),PedEst,"&lt;&gt;Cancelado")</f>
        <v/>
      </c>
      <c r="E30" s="38">
        <f>SUMIFS(PedPag,PedFecha,"&gt;="&amp;DATE(AnioCtl,11,1),PedFecha,"&lt;"&amp;DATE(AnioCtl,12,1),PedEst,"&lt;&gt;Cancelado")</f>
        <v/>
      </c>
      <c r="F30" s="38">
        <f>SUMIFS(PedGan,PedFecha,"&gt;="&amp;DATE(AnioCtl,11,1),PedFecha,"&lt;"&amp;DATE(AnioCtl,12,1),PedEst,"&lt;&gt;Cancelado")</f>
        <v/>
      </c>
    </row>
    <row r="31" ht="18" customHeight="1">
      <c r="B31" s="39" t="inlineStr">
        <is>
          <t>Diciembre</t>
        </is>
      </c>
      <c r="C31" s="40">
        <f>COUNTIFS(PedFecha,"&gt;="&amp;DATE(AnioCtl,12,1),PedFecha,"&lt;"&amp;DATE(AnioCtl,13,1),PedEst,"&lt;&gt;Cancelado",PedCli,"&lt;&gt;")</f>
        <v/>
      </c>
      <c r="D31" s="41">
        <f>SUMIFS(PedTot,PedFecha,"&gt;="&amp;DATE(AnioCtl,12,1),PedFecha,"&lt;"&amp;DATE(AnioCtl,13,1),PedEst,"&lt;&gt;Cancelado")</f>
        <v/>
      </c>
      <c r="E31" s="41">
        <f>SUMIFS(PedPag,PedFecha,"&gt;="&amp;DATE(AnioCtl,12,1),PedFecha,"&lt;"&amp;DATE(AnioCtl,13,1),PedEst,"&lt;&gt;Cancelado")</f>
        <v/>
      </c>
      <c r="F31" s="41">
        <f>SUMIFS(PedGan,PedFecha,"&gt;="&amp;DATE(AnioCtl,12,1),PedFecha,"&lt;"&amp;DATE(AnioCtl,13,1),PedEst,"&lt;&gt;Cancelado")</f>
        <v/>
      </c>
    </row>
    <row r="32" ht="22" customHeight="1">
      <c r="B32" s="42" t="inlineStr">
        <is>
          <t>TOTAL</t>
        </is>
      </c>
      <c r="C32" s="43">
        <f>SUM(C20:C31)</f>
        <v/>
      </c>
      <c r="D32" s="44">
        <f>SUM(D20:D31)</f>
        <v/>
      </c>
      <c r="E32" s="44">
        <f>SUM(E20:E31)</f>
        <v/>
      </c>
      <c r="F32" s="44">
        <f>SUM(F20:F31)</f>
        <v/>
      </c>
    </row>
    <row r="34">
      <c r="B34" s="45" t="inlineStr">
        <is>
          <t>ESTADO DE LAS ENTREGAS (período elegido)</t>
        </is>
      </c>
      <c r="H34" s="46" t="inlineStr">
        <is>
          <t>ESTADO DE PAGO (período elegido, sin cancelados)</t>
        </is>
      </c>
    </row>
    <row r="35" ht="22" customHeight="1">
      <c r="B35" s="14" t="inlineStr">
        <is>
          <t>Estado</t>
        </is>
      </c>
      <c r="D35" s="14" t="inlineStr">
        <is>
          <t>Pedidos</t>
        </is>
      </c>
      <c r="E35" s="14" t="inlineStr">
        <is>
          <t>Monto</t>
        </is>
      </c>
      <c r="H35" s="14" t="inlineStr">
        <is>
          <t>Estado</t>
        </is>
      </c>
      <c r="J35" s="14" t="inlineStr">
        <is>
          <t>Pedidos</t>
        </is>
      </c>
      <c r="K35" s="14" t="inlineStr">
        <is>
          <t>Saldo por cobrar</t>
        </is>
      </c>
    </row>
    <row r="36" ht="19" customHeight="1">
      <c r="B36" s="36" t="inlineStr">
        <is>
          <t>Pendiente</t>
        </is>
      </c>
      <c r="D36" s="37">
        <f>COUNTIFS(PedEst,$B36,PedFecha,"&gt;="&amp;Desde,PedFecha,"&lt;"&amp;Hasta,PedCli,"&lt;&gt;")</f>
        <v/>
      </c>
      <c r="E36" s="38">
        <f>SUMIFS(PedTot,PedEst,$B36,PedFecha,"&gt;="&amp;Desde,PedFecha,"&lt;"&amp;Hasta)</f>
        <v/>
      </c>
      <c r="H36" s="36" t="inlineStr">
        <is>
          <t>Pagado</t>
        </is>
      </c>
      <c r="J36" s="37">
        <f>COUNTIFS(PedEP,"✔ Pagado",PedFecha,"&gt;="&amp;Desde,PedFecha,"&lt;"&amp;Hasta,PedCli,"&lt;&gt;")</f>
        <v/>
      </c>
      <c r="K36" s="38">
        <f>SUMIFS(PedSal,PedEP,"✔ Pagado",PedFecha,"&gt;="&amp;Desde,PedFecha,"&lt;"&amp;Hasta)</f>
        <v/>
      </c>
    </row>
    <row r="37" ht="19" customHeight="1">
      <c r="B37" s="36" t="inlineStr">
        <is>
          <t>Preparando</t>
        </is>
      </c>
      <c r="D37" s="37">
        <f>COUNTIFS(PedEst,$B37,PedFecha,"&gt;="&amp;Desde,PedFecha,"&lt;"&amp;Hasta,PedCli,"&lt;&gt;")</f>
        <v/>
      </c>
      <c r="E37" s="38">
        <f>SUMIFS(PedTot,PedEst,$B37,PedFecha,"&gt;="&amp;Desde,PedFecha,"&lt;"&amp;Hasta)</f>
        <v/>
      </c>
      <c r="H37" s="36" t="inlineStr">
        <is>
          <t>Pago parcial</t>
        </is>
      </c>
      <c r="J37" s="37">
        <f>COUNTIFS(PedEP,"⚠ Pago parcial",PedFecha,"&gt;="&amp;Desde,PedFecha,"&lt;"&amp;Hasta,PedCli,"&lt;&gt;")</f>
        <v/>
      </c>
      <c r="K37" s="38">
        <f>SUMIFS(PedSal,PedEP,"⚠ Pago parcial",PedFecha,"&gt;="&amp;Desde,PedFecha,"&lt;"&amp;Hasta)</f>
        <v/>
      </c>
    </row>
    <row r="38" ht="19" customHeight="1">
      <c r="B38" s="36" t="inlineStr">
        <is>
          <t>Enviado</t>
        </is>
      </c>
      <c r="D38" s="37">
        <f>COUNTIFS(PedEst,$B38,PedFecha,"&gt;="&amp;Desde,PedFecha,"&lt;"&amp;Hasta,PedCli,"&lt;&gt;")</f>
        <v/>
      </c>
      <c r="E38" s="38">
        <f>SUMIFS(PedTot,PedEst,$B38,PedFecha,"&gt;="&amp;Desde,PedFecha,"&lt;"&amp;Hasta)</f>
        <v/>
      </c>
      <c r="H38" s="36" t="inlineStr">
        <is>
          <t>Sin pagar</t>
        </is>
      </c>
      <c r="J38" s="37">
        <f>COUNTIFS(PedEP,"✖ Sin pagar",PedFecha,"&gt;="&amp;Desde,PedFecha,"&lt;"&amp;Hasta,PedCli,"&lt;&gt;")</f>
        <v/>
      </c>
      <c r="K38" s="38">
        <f>SUMIFS(PedSal,PedEP,"✖ Sin pagar",PedFecha,"&gt;="&amp;Desde,PedFecha,"&lt;"&amp;Hasta)</f>
        <v/>
      </c>
    </row>
    <row r="39" ht="20" customHeight="1">
      <c r="B39" s="36" t="inlineStr">
        <is>
          <t>Entregado</t>
        </is>
      </c>
      <c r="D39" s="37">
        <f>COUNTIFS(PedEst,$B39,PedFecha,"&gt;="&amp;Desde,PedFecha,"&lt;"&amp;Hasta,PedCli,"&lt;&gt;")</f>
        <v/>
      </c>
      <c r="E39" s="38">
        <f>SUMIFS(PedTot,PedEst,$B39,PedFecha,"&gt;="&amp;Desde,PedFecha,"&lt;"&amp;Hasta)</f>
        <v/>
      </c>
      <c r="H39" s="47" t="inlineStr">
        <is>
          <t>TOTAL</t>
        </is>
      </c>
      <c r="J39" s="43">
        <f>SUM(J36:J38)</f>
        <v/>
      </c>
      <c r="K39" s="44">
        <f>SUM(K36:K38)</f>
        <v/>
      </c>
    </row>
    <row r="40" ht="19" customHeight="1">
      <c r="B40" s="36" t="inlineStr">
        <is>
          <t>Cancelado</t>
        </is>
      </c>
      <c r="D40" s="37">
        <f>COUNTIFS(PedEst,$B40,PedFecha,"&gt;="&amp;Desde,PedFecha,"&lt;"&amp;Hasta,PedCli,"&lt;&gt;")</f>
        <v/>
      </c>
      <c r="E40" s="38">
        <f>SUMIFS(PedTot,PedEst,$B40,PedFecha,"&gt;="&amp;Desde,PedFecha,"&lt;"&amp;Hasta)</f>
        <v/>
      </c>
    </row>
    <row r="41" ht="20" customHeight="1">
      <c r="B41" s="48" t="inlineStr">
        <is>
          <t>TOTAL</t>
        </is>
      </c>
      <c r="D41" s="43">
        <f>SUM(D36:D40)</f>
        <v/>
      </c>
      <c r="E41" s="44">
        <f>SUM(E36:E40)</f>
        <v/>
      </c>
    </row>
    <row r="58">
      <c r="B58" s="35" t="inlineStr">
        <is>
          <t>POR FORMA DE ENTREGA (período elegido)</t>
        </is>
      </c>
    </row>
    <row r="59" ht="22" customHeight="1">
      <c r="B59" s="14" t="inlineStr">
        <is>
          <t>Forma de entrega</t>
        </is>
      </c>
      <c r="D59" s="14" t="inlineStr">
        <is>
          <t>Pedidos</t>
        </is>
      </c>
      <c r="E59" s="14" t="inlineStr">
        <is>
          <t>Ventas</t>
        </is>
      </c>
    </row>
    <row r="60" ht="19" customHeight="1">
      <c r="B60" s="49">
        <f>IF('AJUSTES'!$C$14="","",'AJUSTES'!$C$14)</f>
        <v/>
      </c>
      <c r="D60" s="37">
        <f>IF($B60="",0,COUNTIFS(PedForma,$B60,PedFecha,"&gt;="&amp;Desde,PedFecha,"&lt;"&amp;Hasta,PedEst,"&lt;&gt;Cancelado",PedCli,"&lt;&gt;"))</f>
        <v/>
      </c>
      <c r="E60" s="38">
        <f>IF($B60="",0,SUMIFS(PedTot,PedForma,$B60,PedFecha,"&gt;="&amp;Desde,PedFecha,"&lt;"&amp;Hasta,PedEst,"&lt;&gt;Cancelado"))</f>
        <v/>
      </c>
    </row>
    <row r="61" ht="19" customHeight="1">
      <c r="B61" s="49">
        <f>IF('AJUSTES'!$C$15="","",'AJUSTES'!$C$15)</f>
        <v/>
      </c>
      <c r="D61" s="37">
        <f>IF($B61="",0,COUNTIFS(PedForma,$B61,PedFecha,"&gt;="&amp;Desde,PedFecha,"&lt;"&amp;Hasta,PedEst,"&lt;&gt;Cancelado",PedCli,"&lt;&gt;"))</f>
        <v/>
      </c>
      <c r="E61" s="38">
        <f>IF($B61="",0,SUMIFS(PedTot,PedForma,$B61,PedFecha,"&gt;="&amp;Desde,PedFecha,"&lt;"&amp;Hasta,PedEst,"&lt;&gt;Cancelado"))</f>
        <v/>
      </c>
    </row>
    <row r="62" ht="19" customHeight="1">
      <c r="B62" s="49">
        <f>IF('AJUSTES'!$C$16="","",'AJUSTES'!$C$16)</f>
        <v/>
      </c>
      <c r="D62" s="37">
        <f>IF($B62="",0,COUNTIFS(PedForma,$B62,PedFecha,"&gt;="&amp;Desde,PedFecha,"&lt;"&amp;Hasta,PedEst,"&lt;&gt;Cancelado",PedCli,"&lt;&gt;"))</f>
        <v/>
      </c>
      <c r="E62" s="38">
        <f>IF($B62="",0,SUMIFS(PedTot,PedForma,$B62,PedFecha,"&gt;="&amp;Desde,PedFecha,"&lt;"&amp;Hasta,PedEst,"&lt;&gt;Cancelado"))</f>
        <v/>
      </c>
    </row>
    <row r="63" ht="19" customHeight="1">
      <c r="B63" s="49">
        <f>IF('AJUSTES'!$C$17="","",'AJUSTES'!$C$17)</f>
        <v/>
      </c>
      <c r="D63" s="37">
        <f>IF($B63="",0,COUNTIFS(PedForma,$B63,PedFecha,"&gt;="&amp;Desde,PedFecha,"&lt;"&amp;Hasta,PedEst,"&lt;&gt;Cancelado",PedCli,"&lt;&gt;"))</f>
        <v/>
      </c>
      <c r="E63" s="38">
        <f>IF($B63="",0,SUMIFS(PedTot,PedForma,$B63,PedFecha,"&gt;="&amp;Desde,PedFecha,"&lt;"&amp;Hasta,PedEst,"&lt;&gt;Cancelado"))</f>
        <v/>
      </c>
    </row>
    <row r="64" ht="19" customHeight="1">
      <c r="B64" s="49">
        <f>IF('AJUSTES'!$C$18="","",'AJUSTES'!$C$18)</f>
        <v/>
      </c>
      <c r="D64" s="37">
        <f>IF($B64="",0,COUNTIFS(PedForma,$B64,PedFecha,"&gt;="&amp;Desde,PedFecha,"&lt;"&amp;Hasta,PedEst,"&lt;&gt;Cancelado",PedCli,"&lt;&gt;"))</f>
        <v/>
      </c>
      <c r="E64" s="38">
        <f>IF($B64="",0,SUMIFS(PedTot,PedForma,$B64,PedFecha,"&gt;="&amp;Desde,PedFecha,"&lt;"&amp;Hasta,PedEst,"&lt;&gt;Cancelado"))</f>
        <v/>
      </c>
    </row>
    <row r="65" ht="20" customHeight="1">
      <c r="B65" s="50" t="inlineStr">
        <is>
          <t>TOTAL</t>
        </is>
      </c>
      <c r="D65" s="43">
        <f>SUM(D60:D64)</f>
        <v/>
      </c>
      <c r="E65" s="44">
        <f>SUM(E60:E64)</f>
        <v/>
      </c>
    </row>
    <row r="72">
      <c r="B72" s="46" t="inlineStr">
        <is>
          <t>A COBRAR · los 8 saldos más grandes (todos los períodos)</t>
        </is>
      </c>
    </row>
    <row r="73" ht="22" customHeight="1">
      <c r="B73" s="14" t="inlineStr">
        <is>
          <t>Cliente</t>
        </is>
      </c>
      <c r="E73" s="14" t="inlineStr">
        <is>
          <t>WhatsApp</t>
        </is>
      </c>
      <c r="G73" s="14" t="inlineStr">
        <is>
          <t>Producto</t>
        </is>
      </c>
      <c r="J73" s="14" t="inlineStr">
        <is>
          <t>Saldo</t>
        </is>
      </c>
      <c r="L73" s="14" t="inlineStr">
        <is>
          <t>Entrega</t>
        </is>
      </c>
    </row>
    <row r="74" ht="19" customHeight="1">
      <c r="B74" s="36">
        <f>IF($P74=0,"",INDEX(PedCli,$P74))</f>
        <v/>
      </c>
      <c r="E74" s="51">
        <f>IF($P74=0,"",INDEX(PedTel,$P74)&amp;"")</f>
        <v/>
      </c>
      <c r="G74" s="52">
        <f>IF($P74=0,"",INDEX(PedProd,$P74)&amp;"")</f>
        <v/>
      </c>
      <c r="J74" s="53">
        <f>IF($P74=0,"",INDEX(PedSal,$P74))</f>
        <v/>
      </c>
      <c r="L74" s="54">
        <f>IF($P74=0,"",INDEX(PedEst,$P74)&amp;"")</f>
        <v/>
      </c>
      <c r="P74">
        <f>IFERROR(MATCH(LARGE(PEDIDOS!$Z$8:$Z$207,1),PEDIDOS!$Z$8:$Z$207,0),0)</f>
        <v/>
      </c>
    </row>
    <row r="75" ht="19" customHeight="1">
      <c r="B75" s="39">
        <f>IF($P75=0,"",INDEX(PedCli,$P75))</f>
        <v/>
      </c>
      <c r="E75" s="55">
        <f>IF($P75=0,"",INDEX(PedTel,$P75)&amp;"")</f>
        <v/>
      </c>
      <c r="G75" s="56">
        <f>IF($P75=0,"",INDEX(PedProd,$P75)&amp;"")</f>
        <v/>
      </c>
      <c r="J75" s="57">
        <f>IF($P75=0,"",INDEX(PedSal,$P75))</f>
        <v/>
      </c>
      <c r="L75" s="58">
        <f>IF($P75=0,"",INDEX(PedEst,$P75)&amp;"")</f>
        <v/>
      </c>
      <c r="P75">
        <f>IFERROR(MATCH(LARGE(PEDIDOS!$Z$8:$Z$207,2),PEDIDOS!$Z$8:$Z$207,0),0)</f>
        <v/>
      </c>
    </row>
    <row r="76" ht="19" customHeight="1">
      <c r="B76" s="36">
        <f>IF($P76=0,"",INDEX(PedCli,$P76))</f>
        <v/>
      </c>
      <c r="E76" s="51">
        <f>IF($P76=0,"",INDEX(PedTel,$P76)&amp;"")</f>
        <v/>
      </c>
      <c r="G76" s="52">
        <f>IF($P76=0,"",INDEX(PedProd,$P76)&amp;"")</f>
        <v/>
      </c>
      <c r="J76" s="53">
        <f>IF($P76=0,"",INDEX(PedSal,$P76))</f>
        <v/>
      </c>
      <c r="L76" s="54">
        <f>IF($P76=0,"",INDEX(PedEst,$P76)&amp;"")</f>
        <v/>
      </c>
      <c r="P76">
        <f>IFERROR(MATCH(LARGE(PEDIDOS!$Z$8:$Z$207,3),PEDIDOS!$Z$8:$Z$207,0),0)</f>
        <v/>
      </c>
    </row>
    <row r="77" ht="19" customHeight="1">
      <c r="B77" s="39">
        <f>IF($P77=0,"",INDEX(PedCli,$P77))</f>
        <v/>
      </c>
      <c r="E77" s="55">
        <f>IF($P77=0,"",INDEX(PedTel,$P77)&amp;"")</f>
        <v/>
      </c>
      <c r="G77" s="56">
        <f>IF($P77=0,"",INDEX(PedProd,$P77)&amp;"")</f>
        <v/>
      </c>
      <c r="J77" s="57">
        <f>IF($P77=0,"",INDEX(PedSal,$P77))</f>
        <v/>
      </c>
      <c r="L77" s="58">
        <f>IF($P77=0,"",INDEX(PedEst,$P77)&amp;"")</f>
        <v/>
      </c>
      <c r="P77">
        <f>IFERROR(MATCH(LARGE(PEDIDOS!$Z$8:$Z$207,4),PEDIDOS!$Z$8:$Z$207,0),0)</f>
        <v/>
      </c>
    </row>
    <row r="78" ht="19" customHeight="1">
      <c r="B78" s="36">
        <f>IF($P78=0,"",INDEX(PedCli,$P78))</f>
        <v/>
      </c>
      <c r="E78" s="51">
        <f>IF($P78=0,"",INDEX(PedTel,$P78)&amp;"")</f>
        <v/>
      </c>
      <c r="G78" s="52">
        <f>IF($P78=0,"",INDEX(PedProd,$P78)&amp;"")</f>
        <v/>
      </c>
      <c r="J78" s="53">
        <f>IF($P78=0,"",INDEX(PedSal,$P78))</f>
        <v/>
      </c>
      <c r="L78" s="54">
        <f>IF($P78=0,"",INDEX(PedEst,$P78)&amp;"")</f>
        <v/>
      </c>
      <c r="P78">
        <f>IFERROR(MATCH(LARGE(PEDIDOS!$Z$8:$Z$207,5),PEDIDOS!$Z$8:$Z$207,0),0)</f>
        <v/>
      </c>
    </row>
    <row r="79" ht="19" customHeight="1">
      <c r="B79" s="39">
        <f>IF($P79=0,"",INDEX(PedCli,$P79))</f>
        <v/>
      </c>
      <c r="E79" s="55">
        <f>IF($P79=0,"",INDEX(PedTel,$P79)&amp;"")</f>
        <v/>
      </c>
      <c r="G79" s="56">
        <f>IF($P79=0,"",INDEX(PedProd,$P79)&amp;"")</f>
        <v/>
      </c>
      <c r="J79" s="57">
        <f>IF($P79=0,"",INDEX(PedSal,$P79))</f>
        <v/>
      </c>
      <c r="L79" s="58">
        <f>IF($P79=0,"",INDEX(PedEst,$P79)&amp;"")</f>
        <v/>
      </c>
      <c r="P79">
        <f>IFERROR(MATCH(LARGE(PEDIDOS!$Z$8:$Z$207,6),PEDIDOS!$Z$8:$Z$207,0),0)</f>
        <v/>
      </c>
    </row>
    <row r="80" ht="19" customHeight="1">
      <c r="B80" s="36">
        <f>IF($P80=0,"",INDEX(PedCli,$P80))</f>
        <v/>
      </c>
      <c r="E80" s="51">
        <f>IF($P80=0,"",INDEX(PedTel,$P80)&amp;"")</f>
        <v/>
      </c>
      <c r="G80" s="52">
        <f>IF($P80=0,"",INDEX(PedProd,$P80)&amp;"")</f>
        <v/>
      </c>
      <c r="J80" s="53">
        <f>IF($P80=0,"",INDEX(PedSal,$P80))</f>
        <v/>
      </c>
      <c r="L80" s="54">
        <f>IF($P80=0,"",INDEX(PedEst,$P80)&amp;"")</f>
        <v/>
      </c>
      <c r="P80">
        <f>IFERROR(MATCH(LARGE(PEDIDOS!$Z$8:$Z$207,7),PEDIDOS!$Z$8:$Z$207,0),0)</f>
        <v/>
      </c>
    </row>
    <row r="81" ht="19" customHeight="1">
      <c r="B81" s="39">
        <f>IF($P81=0,"",INDEX(PedCli,$P81))</f>
        <v/>
      </c>
      <c r="E81" s="55">
        <f>IF($P81=0,"",INDEX(PedTel,$P81)&amp;"")</f>
        <v/>
      </c>
      <c r="G81" s="56">
        <f>IF($P81=0,"",INDEX(PedProd,$P81)&amp;"")</f>
        <v/>
      </c>
      <c r="J81" s="57">
        <f>IF($P81=0,"",INDEX(PedSal,$P81))</f>
        <v/>
      </c>
      <c r="L81" s="58">
        <f>IF($P81=0,"",INDEX(PedEst,$P81)&amp;"")</f>
        <v/>
      </c>
      <c r="P81">
        <f>IFERROR(MATCH(LARGE(PEDIDOS!$Z$8:$Z$207,8),PEDIDOS!$Z$8:$Z$207,0),0)</f>
        <v/>
      </c>
    </row>
    <row r="84">
      <c r="B84" s="45" t="inlineStr">
        <is>
          <t>PRÓXIMAS ENTREGAS · lo que tenés que entregar, de la fecha más cercana a la más lejana</t>
        </is>
      </c>
    </row>
    <row r="85" ht="22" customHeight="1">
      <c r="B85" s="14" t="inlineStr">
        <is>
          <t>Cliente</t>
        </is>
      </c>
      <c r="E85" s="14" t="inlineStr">
        <is>
          <t>Producto</t>
        </is>
      </c>
      <c r="H85" s="14" t="inlineStr">
        <is>
          <t>Entrega prometida</t>
        </is>
      </c>
      <c r="J85" s="14" t="inlineStr">
        <is>
          <t>Estado</t>
        </is>
      </c>
      <c r="L85" s="14" t="inlineStr">
        <is>
          <t>Aviso</t>
        </is>
      </c>
    </row>
    <row r="86" ht="19" customHeight="1">
      <c r="B86" s="36">
        <f>IF($Q86=0,"",INDEX(PedCli,$Q86))</f>
        <v/>
      </c>
      <c r="E86" s="52">
        <f>IF($Q86=0,"",INDEX(PedProd,$Q86)&amp;"")</f>
        <v/>
      </c>
      <c r="H86" s="59">
        <f>IF($Q86=0,"",INDEX(PEDIDOS!$U$8:$U$207,$Q86))</f>
        <v/>
      </c>
      <c r="J86" s="60">
        <f>IF($Q86=0,"",INDEX(PedEst,$Q86)&amp;"")</f>
        <v/>
      </c>
      <c r="L86" s="61">
        <f>IF($Q86=0,"",INDEX(PedAviso,$Q86)&amp;"")</f>
        <v/>
      </c>
      <c r="Q86">
        <f>IFERROR(MATCH(SMALL(PEDIDOS!$AA$8:$AA$207,1),PEDIDOS!$AA$8:$AA$207,0),0)</f>
        <v/>
      </c>
    </row>
    <row r="87" ht="19" customHeight="1">
      <c r="B87" s="39">
        <f>IF($Q87=0,"",INDEX(PedCli,$Q87))</f>
        <v/>
      </c>
      <c r="E87" s="56">
        <f>IF($Q87=0,"",INDEX(PedProd,$Q87)&amp;"")</f>
        <v/>
      </c>
      <c r="H87" s="62">
        <f>IF($Q87=0,"",INDEX(PEDIDOS!$U$8:$U$207,$Q87))</f>
        <v/>
      </c>
      <c r="J87" s="63">
        <f>IF($Q87=0,"",INDEX(PedEst,$Q87)&amp;"")</f>
        <v/>
      </c>
      <c r="L87" s="64">
        <f>IF($Q87=0,"",INDEX(PedAviso,$Q87)&amp;"")</f>
        <v/>
      </c>
      <c r="Q87">
        <f>IFERROR(MATCH(SMALL(PEDIDOS!$AA$8:$AA$207,2),PEDIDOS!$AA$8:$AA$207,0),0)</f>
        <v/>
      </c>
    </row>
    <row r="88" ht="19" customHeight="1">
      <c r="B88" s="36">
        <f>IF($Q88=0,"",INDEX(PedCli,$Q88))</f>
        <v/>
      </c>
      <c r="E88" s="52">
        <f>IF($Q88=0,"",INDEX(PedProd,$Q88)&amp;"")</f>
        <v/>
      </c>
      <c r="H88" s="59">
        <f>IF($Q88=0,"",INDEX(PEDIDOS!$U$8:$U$207,$Q88))</f>
        <v/>
      </c>
      <c r="J88" s="60">
        <f>IF($Q88=0,"",INDEX(PedEst,$Q88)&amp;"")</f>
        <v/>
      </c>
      <c r="L88" s="61">
        <f>IF($Q88=0,"",INDEX(PedAviso,$Q88)&amp;"")</f>
        <v/>
      </c>
      <c r="Q88">
        <f>IFERROR(MATCH(SMALL(PEDIDOS!$AA$8:$AA$207,3),PEDIDOS!$AA$8:$AA$207,0),0)</f>
        <v/>
      </c>
    </row>
    <row r="89" ht="19" customHeight="1">
      <c r="B89" s="39">
        <f>IF($Q89=0,"",INDEX(PedCli,$Q89))</f>
        <v/>
      </c>
      <c r="E89" s="56">
        <f>IF($Q89=0,"",INDEX(PedProd,$Q89)&amp;"")</f>
        <v/>
      </c>
      <c r="H89" s="62">
        <f>IF($Q89=0,"",INDEX(PEDIDOS!$U$8:$U$207,$Q89))</f>
        <v/>
      </c>
      <c r="J89" s="63">
        <f>IF($Q89=0,"",INDEX(PedEst,$Q89)&amp;"")</f>
        <v/>
      </c>
      <c r="L89" s="64">
        <f>IF($Q89=0,"",INDEX(PedAviso,$Q89)&amp;"")</f>
        <v/>
      </c>
      <c r="Q89">
        <f>IFERROR(MATCH(SMALL(PEDIDOS!$AA$8:$AA$207,4),PEDIDOS!$AA$8:$AA$207,0),0)</f>
        <v/>
      </c>
    </row>
    <row r="90" ht="19" customHeight="1">
      <c r="B90" s="36">
        <f>IF($Q90=0,"",INDEX(PedCli,$Q90))</f>
        <v/>
      </c>
      <c r="E90" s="52">
        <f>IF($Q90=0,"",INDEX(PedProd,$Q90)&amp;"")</f>
        <v/>
      </c>
      <c r="H90" s="59">
        <f>IF($Q90=0,"",INDEX(PEDIDOS!$U$8:$U$207,$Q90))</f>
        <v/>
      </c>
      <c r="J90" s="60">
        <f>IF($Q90=0,"",INDEX(PedEst,$Q90)&amp;"")</f>
        <v/>
      </c>
      <c r="L90" s="61">
        <f>IF($Q90=0,"",INDEX(PedAviso,$Q90)&amp;"")</f>
        <v/>
      </c>
      <c r="Q90">
        <f>IFERROR(MATCH(SMALL(PEDIDOS!$AA$8:$AA$207,5),PEDIDOS!$AA$8:$AA$207,0),0)</f>
        <v/>
      </c>
    </row>
    <row r="91" ht="19" customHeight="1">
      <c r="B91" s="39">
        <f>IF($Q91=0,"",INDEX(PedCli,$Q91))</f>
        <v/>
      </c>
      <c r="E91" s="56">
        <f>IF($Q91=0,"",INDEX(PedProd,$Q91)&amp;"")</f>
        <v/>
      </c>
      <c r="H91" s="62">
        <f>IF($Q91=0,"",INDEX(PEDIDOS!$U$8:$U$207,$Q91))</f>
        <v/>
      </c>
      <c r="J91" s="63">
        <f>IF($Q91=0,"",INDEX(PedEst,$Q91)&amp;"")</f>
        <v/>
      </c>
      <c r="L91" s="64">
        <f>IF($Q91=0,"",INDEX(PedAviso,$Q91)&amp;"")</f>
        <v/>
      </c>
      <c r="Q91">
        <f>IFERROR(MATCH(SMALL(PEDIDOS!$AA$8:$AA$207,6),PEDIDOS!$AA$8:$AA$207,0),0)</f>
        <v/>
      </c>
    </row>
    <row r="92" ht="19" customHeight="1">
      <c r="B92" s="36">
        <f>IF($Q92=0,"",INDEX(PedCli,$Q92))</f>
        <v/>
      </c>
      <c r="E92" s="52">
        <f>IF($Q92=0,"",INDEX(PedProd,$Q92)&amp;"")</f>
        <v/>
      </c>
      <c r="H92" s="59">
        <f>IF($Q92=0,"",INDEX(PEDIDOS!$U$8:$U$207,$Q92))</f>
        <v/>
      </c>
      <c r="J92" s="60">
        <f>IF($Q92=0,"",INDEX(PedEst,$Q92)&amp;"")</f>
        <v/>
      </c>
      <c r="L92" s="61">
        <f>IF($Q92=0,"",INDEX(PedAviso,$Q92)&amp;"")</f>
        <v/>
      </c>
      <c r="Q92">
        <f>IFERROR(MATCH(SMALL(PEDIDOS!$AA$8:$AA$207,7),PEDIDOS!$AA$8:$AA$207,0),0)</f>
        <v/>
      </c>
    </row>
    <row r="93" ht="19" customHeight="1">
      <c r="B93" s="39">
        <f>IF($Q93=0,"",INDEX(PedCli,$Q93))</f>
        <v/>
      </c>
      <c r="E93" s="56">
        <f>IF($Q93=0,"",INDEX(PedProd,$Q93)&amp;"")</f>
        <v/>
      </c>
      <c r="H93" s="62">
        <f>IF($Q93=0,"",INDEX(PEDIDOS!$U$8:$U$207,$Q93))</f>
        <v/>
      </c>
      <c r="J93" s="63">
        <f>IF($Q93=0,"",INDEX(PedEst,$Q93)&amp;"")</f>
        <v/>
      </c>
      <c r="L93" s="64">
        <f>IF($Q93=0,"",INDEX(PedAviso,$Q93)&amp;"")</f>
        <v/>
      </c>
      <c r="Q93">
        <f>IFERROR(MATCH(SMALL(PEDIDOS!$AA$8:$AA$207,8),PEDIDOS!$AA$8:$AA$207,0),0)</f>
        <v/>
      </c>
    </row>
    <row r="96" ht="8" customHeight="1">
      <c r="B96" s="65" t="n"/>
    </row>
    <row r="97" ht="16" customHeight="1">
      <c r="B97" s="66" t="inlineStr">
        <is>
          <t>MIX SHOP DIGITAL  ·  Herramientas inteligentes que simplifican tu vida.</t>
        </is>
      </c>
    </row>
    <row r="98" ht="16" customHeight="1">
      <c r="B98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172">
    <mergeCell ref="H35:I35"/>
    <mergeCell ref="C6:D6"/>
    <mergeCell ref="E13:G13"/>
    <mergeCell ref="L91:M91"/>
    <mergeCell ref="E62:F62"/>
    <mergeCell ref="L75:M75"/>
    <mergeCell ref="B18:F18"/>
    <mergeCell ref="B58:F58"/>
    <mergeCell ref="E64:F64"/>
    <mergeCell ref="E79:F79"/>
    <mergeCell ref="H39:I39"/>
    <mergeCell ref="E73:F73"/>
    <mergeCell ref="E89:G89"/>
    <mergeCell ref="E63:F63"/>
    <mergeCell ref="G79:I79"/>
    <mergeCell ref="B61:C61"/>
    <mergeCell ref="G73:I73"/>
    <mergeCell ref="B84:M84"/>
    <mergeCell ref="H89:I89"/>
    <mergeCell ref="B92:D92"/>
    <mergeCell ref="E65:F65"/>
    <mergeCell ref="J86:K86"/>
    <mergeCell ref="B38:C38"/>
    <mergeCell ref="B80:D80"/>
    <mergeCell ref="K10:M10"/>
    <mergeCell ref="B34:F34"/>
    <mergeCell ref="E36:F36"/>
    <mergeCell ref="H37:I37"/>
    <mergeCell ref="L79:M79"/>
    <mergeCell ref="B40:C40"/>
    <mergeCell ref="H87:I87"/>
    <mergeCell ref="B1:E1"/>
    <mergeCell ref="B64:C64"/>
    <mergeCell ref="B72:M72"/>
    <mergeCell ref="L81:M81"/>
    <mergeCell ref="K9:M9"/>
    <mergeCell ref="K36:M36"/>
    <mergeCell ref="E75:F75"/>
    <mergeCell ref="E92:G92"/>
    <mergeCell ref="B63:C63"/>
    <mergeCell ref="B96:M96"/>
    <mergeCell ref="B41:C41"/>
    <mergeCell ref="B35:C35"/>
    <mergeCell ref="H91:I91"/>
    <mergeCell ref="J73:K73"/>
    <mergeCell ref="B98:M98"/>
    <mergeCell ref="B8:D8"/>
    <mergeCell ref="E5:F5"/>
    <mergeCell ref="B73:D73"/>
    <mergeCell ref="B88:D88"/>
    <mergeCell ref="J88:K88"/>
    <mergeCell ref="G78:I78"/>
    <mergeCell ref="H93:I93"/>
    <mergeCell ref="K12:M12"/>
    <mergeCell ref="J93:K93"/>
    <mergeCell ref="B10:D10"/>
    <mergeCell ref="K8:M8"/>
    <mergeCell ref="E86:G86"/>
    <mergeCell ref="C4:M4"/>
    <mergeCell ref="E38:F38"/>
    <mergeCell ref="J77:K77"/>
    <mergeCell ref="G80:I80"/>
    <mergeCell ref="K14:M14"/>
    <mergeCell ref="L93:M93"/>
    <mergeCell ref="B9:D9"/>
    <mergeCell ref="B74:D74"/>
    <mergeCell ref="H36:I36"/>
    <mergeCell ref="H85:I85"/>
    <mergeCell ref="E40:F40"/>
    <mergeCell ref="L92:M92"/>
    <mergeCell ref="B5:D5"/>
    <mergeCell ref="B76:D76"/>
    <mergeCell ref="B85:D85"/>
    <mergeCell ref="J85:K85"/>
    <mergeCell ref="B37:C37"/>
    <mergeCell ref="L85:M85"/>
    <mergeCell ref="G81:I81"/>
    <mergeCell ref="B75:D75"/>
    <mergeCell ref="J75:K75"/>
    <mergeCell ref="E76:F76"/>
    <mergeCell ref="E8:G8"/>
    <mergeCell ref="L80:M80"/>
    <mergeCell ref="K35:M35"/>
    <mergeCell ref="E88:G88"/>
    <mergeCell ref="H34:M34"/>
    <mergeCell ref="E10:G10"/>
    <mergeCell ref="B14:D14"/>
    <mergeCell ref="H38:I38"/>
    <mergeCell ref="J81:K81"/>
    <mergeCell ref="B13:D13"/>
    <mergeCell ref="E9:G9"/>
    <mergeCell ref="G74:I74"/>
    <mergeCell ref="B78:D78"/>
    <mergeCell ref="E39:F39"/>
    <mergeCell ref="B87:D87"/>
    <mergeCell ref="E6:M6"/>
    <mergeCell ref="H13:J13"/>
    <mergeCell ref="J89:K89"/>
    <mergeCell ref="K39:M39"/>
    <mergeCell ref="B60:C60"/>
    <mergeCell ref="L89:M89"/>
    <mergeCell ref="J74:K74"/>
    <mergeCell ref="E78:F78"/>
    <mergeCell ref="L74:M74"/>
    <mergeCell ref="L88:M88"/>
    <mergeCell ref="E59:F59"/>
    <mergeCell ref="K38:M38"/>
    <mergeCell ref="E77:F77"/>
    <mergeCell ref="K13:M13"/>
    <mergeCell ref="E80:F80"/>
    <mergeCell ref="H8:J8"/>
    <mergeCell ref="L76:M76"/>
    <mergeCell ref="E12:G12"/>
    <mergeCell ref="B2:E2"/>
    <mergeCell ref="E61:F61"/>
    <mergeCell ref="B91:D91"/>
    <mergeCell ref="J91:K91"/>
    <mergeCell ref="H10:J10"/>
    <mergeCell ref="E14:G14"/>
    <mergeCell ref="H86:I86"/>
    <mergeCell ref="E41:F41"/>
    <mergeCell ref="B93:D93"/>
    <mergeCell ref="E81:F81"/>
    <mergeCell ref="H9:J9"/>
    <mergeCell ref="B12:D12"/>
    <mergeCell ref="B77:D77"/>
    <mergeCell ref="H92:I92"/>
    <mergeCell ref="L77:M77"/>
    <mergeCell ref="B86:D86"/>
    <mergeCell ref="E87:G87"/>
    <mergeCell ref="J92:K92"/>
    <mergeCell ref="L86:M86"/>
    <mergeCell ref="B62:C62"/>
    <mergeCell ref="B59:C59"/>
    <mergeCell ref="E90:G90"/>
    <mergeCell ref="J78:K78"/>
    <mergeCell ref="B39:C39"/>
    <mergeCell ref="E35:F35"/>
    <mergeCell ref="L78:M78"/>
    <mergeCell ref="J87:K87"/>
    <mergeCell ref="L87:M87"/>
    <mergeCell ref="J80:K80"/>
    <mergeCell ref="H12:J12"/>
    <mergeCell ref="E60:F60"/>
    <mergeCell ref="H88:I88"/>
    <mergeCell ref="E74:F74"/>
    <mergeCell ref="E91:G91"/>
    <mergeCell ref="G76:I76"/>
    <mergeCell ref="E85:G85"/>
    <mergeCell ref="J79:K79"/>
    <mergeCell ref="B89:D89"/>
    <mergeCell ref="F2:M2"/>
    <mergeCell ref="L73:M73"/>
    <mergeCell ref="H14:J14"/>
    <mergeCell ref="B79:D79"/>
    <mergeCell ref="K37:M37"/>
    <mergeCell ref="G75:I75"/>
    <mergeCell ref="H90:I90"/>
    <mergeCell ref="G5:H5"/>
    <mergeCell ref="E93:G93"/>
    <mergeCell ref="B97:M97"/>
    <mergeCell ref="B65:C65"/>
    <mergeCell ref="G77:I77"/>
    <mergeCell ref="B81:D81"/>
    <mergeCell ref="B16:M16"/>
    <mergeCell ref="B90:D90"/>
    <mergeCell ref="J90:K90"/>
    <mergeCell ref="L90:M90"/>
    <mergeCell ref="J76:K76"/>
    <mergeCell ref="B36:C36"/>
    <mergeCell ref="E37:F37"/>
    <mergeCell ref="F1:M1"/>
  </mergeCells>
  <conditionalFormatting sqref="K13:M13">
    <cfRule type="cellIs" priority="1" operator="greaterThan" dxfId="0">
      <formula>0</formula>
    </cfRule>
  </conditionalFormatting>
  <conditionalFormatting sqref="B16:M16">
    <cfRule type="expression" priority="2" dxfId="1" stopIfTrue="1">
      <formula>LEFT($B$16,1)="✖"</formula>
    </cfRule>
    <cfRule type="expression" priority="3" dxfId="1" stopIfTrue="1">
      <formula>ISNUMBER(SEARCH("érdida",$B$16))+ISNUMBER(SEARCH("NO conviene",$B$16))+ISNUMBER(SEARCH("por debajo",$B$16))&gt;0</formula>
    </cfRule>
    <cfRule type="expression" priority="4" dxfId="2" stopIfTrue="1">
      <formula>LEFT($B$16,1)="⚠"</formula>
    </cfRule>
    <cfRule type="expression" priority="5" dxfId="3">
      <formula>LEFT($B$16,1)="✔"</formula>
    </cfRule>
  </conditionalFormatting>
  <conditionalFormatting sqref="D60:D64">
    <cfRule type="dataBar" priority="6">
      <dataBar showValue="1">
        <cfvo type="num" val="0"/>
        <cfvo type="max"/>
        <color rgb="009ED8CF"/>
      </dataBar>
    </cfRule>
  </conditionalFormatting>
  <conditionalFormatting sqref="L86:M93">
    <cfRule type="expression" priority="7" dxfId="1" stopIfTrue="1">
      <formula>LEFT($L86,1)="✖"</formula>
    </cfRule>
    <cfRule type="expression" priority="8" dxfId="2">
      <formula>LEFT($L86,1)="⚠"</formula>
    </cfRule>
  </conditionalFormatting>
  <dataValidations count="1">
    <dataValidation sqref="C6" showDropDown="0" showInputMessage="1" showErrorMessage="1" allowBlank="0" errorTitle="Valor no válido" error="Elegí un valor de la lista desplegable." promptTitle="Período" prompt="Elegí «Todo el año» o un mes para ver sus resultados." type="list" errorStyle="stop">
      <formula1>"Todo el año,Enero,Febrero,Marzo,Abril,Mayo,Junio,Julio,Agosto,Septiembre,Octubre,Noviembre,Diciembre"</formula1>
    </dataValidation>
  </dataValidations>
  <hyperlinks>
    <hyperlink ref="B5" location="'PEDIDOS'!A1" display="+ Anotar pedidos"/>
    <hyperlink ref="E5" location="'AJUSTES'!A1" display="Ajustes"/>
    <hyperlink ref="G5" location="'AYUDA'!A1" display="Ayuda"/>
    <hyperlink xmlns:r="http://schemas.openxmlformats.org/officeDocument/2006/relationships" ref="B98" r:id="rId1"/>
  </hyperlinks>
  <printOptions horizontalCentered="1"/>
  <pageMargins left="0.75" right="0.75" top="1" bottom="1" header="0.5" footer="0.5"/>
  <pageSetup orientation="portrait" paperSize="9" fitToHeight="0" fitToWidth="1"/>
  <headerFooter>
    <oddHeader>&amp;C&amp;"Arial,Bold"&amp;14 &amp;K16423CMIX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2A9D8F"/>
    <outlinePr summaryBelow="1" summaryRight="1"/>
    <pageSetUpPr fitToPage="1"/>
  </sheetPr>
  <dimension ref="B1:AB211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1" customWidth="1" min="3" max="3"/>
    <col width="22" customWidth="1" min="4" max="4"/>
    <col width="16" customWidth="1" min="5" max="5"/>
    <col width="11" customWidth="1" min="6" max="6"/>
    <col width="28" customWidth="1" min="7" max="7"/>
    <col width="6" customWidth="1" min="8" max="8"/>
    <col width="12" customWidth="1" min="9" max="9"/>
    <col width="11" customWidth="1" min="10" max="10"/>
    <col width="11" customWidth="1" min="11" max="11"/>
    <col width="13" customWidth="1" min="12" max="12"/>
    <col width="12" customWidth="1" min="13" max="13"/>
    <col width="12" customWidth="1" min="14" max="14"/>
    <col width="13" customWidth="1" min="15" max="15"/>
    <col width="15" customWidth="1" min="16" max="16"/>
    <col width="12" customWidth="1" min="17" max="17"/>
    <col width="12" customWidth="1" min="18" max="18"/>
    <col width="15" customWidth="1" min="19" max="19"/>
    <col width="18" customWidth="1" min="20" max="20"/>
    <col width="12" customWidth="1" min="21" max="21"/>
    <col width="14" customWidth="1" min="22" max="22"/>
    <col width="26" customWidth="1" min="23" max="23"/>
    <col width="24" customWidth="1" min="24" max="24"/>
    <col hidden="1" width="3" customWidth="1" min="25" max="25"/>
    <col hidden="1" width="3" customWidth="1" min="26" max="26"/>
    <col hidden="1" width="3" customWidth="1" min="27" max="27"/>
    <col hidden="1" width="3" customWidth="1" min="28" max="28"/>
  </cols>
  <sheetData>
    <row r="1" ht="38" customHeight="1">
      <c r="B1" s="1" t="n"/>
      <c r="C1" s="2" t="n"/>
      <c r="D1" s="2" t="n"/>
      <c r="E1" s="2" t="n"/>
      <c r="F1" s="2" t="n"/>
      <c r="G1" s="3" t="inlineStr">
        <is>
          <t>PEDIDOS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18" customHeight="1">
      <c r="B2" s="4" t="inlineStr">
        <is>
          <t>Herramientas inteligentes que simplifican tu vida.</t>
        </is>
      </c>
      <c r="G2" s="5" t="inlineStr">
        <is>
          <t>Una fila por pedido</t>
        </is>
      </c>
    </row>
    <row r="3" ht="5" customHeight="1">
      <c r="B3" s="6" t="n"/>
      <c r="C3" s="7" t="n"/>
      <c r="D3" s="7" t="n"/>
      <c r="E3" s="7" t="n"/>
      <c r="F3" s="7" t="n"/>
      <c r="G3" s="8" t="n"/>
      <c r="H3" s="8" t="n"/>
      <c r="I3" s="8" t="n"/>
      <c r="J3" s="8" t="n"/>
      <c r="K3" s="8" t="n"/>
      <c r="L3" s="9" t="n"/>
      <c r="M3" s="9" t="n"/>
      <c r="N3" s="9" t="n"/>
      <c r="O3" s="9" t="n"/>
      <c r="P3" s="10" t="n"/>
      <c r="Q3" s="10" t="n"/>
      <c r="R3" s="10" t="n"/>
      <c r="S3" s="10" t="n"/>
      <c r="T3" s="10" t="n"/>
      <c r="U3" s="11" t="n"/>
      <c r="V3" s="11" t="n"/>
      <c r="W3" s="11" t="n"/>
      <c r="X3" s="11" t="n"/>
    </row>
    <row r="4" ht="20" customHeight="1">
      <c r="B4" s="68" t="n"/>
      <c r="C4" s="12" t="inlineStr">
        <is>
          <t>Completá las celdas amarillas. El total, el saldo, la ganancia y los avisos se calculan solos. Si dejás «Cant.» vacía se cuenta 1.</t>
        </is>
      </c>
    </row>
    <row r="5" ht="22" customHeight="1">
      <c r="B5" s="69" t="inlineStr">
        <is>
          <t>←  Volver al PANEL</t>
        </is>
      </c>
      <c r="E5" s="14" t="inlineStr">
        <is>
          <t>Ajustes</t>
        </is>
      </c>
    </row>
    <row r="6" ht="22" customHeight="1">
      <c r="B6" s="70" t="inlineStr">
        <is>
          <t>TOTAL de las filas visibles (usá el filtro de las flechas del encabezado) →</t>
        </is>
      </c>
      <c r="L6" s="44">
        <f>SUBTOTAL(109,AB8:AB207)</f>
        <v/>
      </c>
      <c r="M6" s="71" t="n"/>
      <c r="N6" s="71" t="n"/>
      <c r="O6" s="44">
        <f>SUBTOTAL(109,O8:O207)</f>
        <v/>
      </c>
      <c r="P6" s="71" t="n"/>
      <c r="Q6" s="44">
        <f>SUBTOTAL(109,Q8:Q207)</f>
        <v/>
      </c>
      <c r="R6" s="44">
        <f>SUBTOTAL(109,R8:R207)</f>
        <v/>
      </c>
    </row>
    <row r="7" ht="42" customHeight="1">
      <c r="B7" s="72" t="inlineStr">
        <is>
          <t>N°</t>
        </is>
      </c>
      <c r="C7" s="73" t="inlineStr">
        <is>
          <t>Fecha del pedido</t>
        </is>
      </c>
      <c r="D7" s="73" t="inlineStr">
        <is>
          <t>Cliente</t>
        </is>
      </c>
      <c r="E7" s="73" t="inlineStr">
        <is>
          <t>WhatsApp / teléfono</t>
        </is>
      </c>
      <c r="F7" s="72" t="inlineStr">
        <is>
          <t>Chat</t>
        </is>
      </c>
      <c r="G7" s="73" t="inlineStr">
        <is>
          <t>Producto o detalle</t>
        </is>
      </c>
      <c r="H7" s="73" t="inlineStr">
        <is>
          <t>Cant.</t>
        </is>
      </c>
      <c r="I7" s="73" t="inlineStr">
        <is>
          <t>Precio unitario</t>
        </is>
      </c>
      <c r="J7" s="73" t="inlineStr">
        <is>
          <t>Descuento</t>
        </is>
      </c>
      <c r="K7" s="73" t="inlineStr">
        <is>
          <t>Envío cobrado al cliente</t>
        </is>
      </c>
      <c r="L7" s="72" t="inlineStr">
        <is>
          <t>TOTAL del pedido</t>
        </is>
      </c>
      <c r="M7" s="73" t="inlineStr">
        <is>
          <t>Costo del producto (total)</t>
        </is>
      </c>
      <c r="N7" s="73" t="inlineStr">
        <is>
          <t>Costo del envío (lo que pagás)</t>
        </is>
      </c>
      <c r="O7" s="72" t="inlineStr">
        <is>
          <t>GANANCIA</t>
        </is>
      </c>
      <c r="P7" s="73" t="inlineStr">
        <is>
          <t>Forma de pago</t>
        </is>
      </c>
      <c r="Q7" s="73" t="inlineStr">
        <is>
          <t>Pagado hasta ahora</t>
        </is>
      </c>
      <c r="R7" s="72" t="inlineStr">
        <is>
          <t>SALDO</t>
        </is>
      </c>
      <c r="S7" s="72" t="inlineStr">
        <is>
          <t>Estado de pago</t>
        </is>
      </c>
      <c r="T7" s="73" t="inlineStr">
        <is>
          <t>Forma de entrega</t>
        </is>
      </c>
      <c r="U7" s="73" t="inlineStr">
        <is>
          <t>Entrega prometida</t>
        </is>
      </c>
      <c r="V7" s="73" t="inlineStr">
        <is>
          <t>Estado de entrega</t>
        </is>
      </c>
      <c r="W7" s="72" t="inlineStr">
        <is>
          <t>AVISO</t>
        </is>
      </c>
      <c r="X7" s="73" t="inlineStr">
        <is>
          <t>Nota</t>
        </is>
      </c>
    </row>
    <row r="8" ht="19" customHeight="1">
      <c r="B8" s="74">
        <f>IF(AND($D8="",$G8=""),"",ROW()-7)</f>
        <v/>
      </c>
      <c r="C8" s="75" t="n"/>
      <c r="D8" s="76" t="n"/>
      <c r="E8" s="77" t="n"/>
      <c r="F8" s="78">
        <f>IF($Y8="","",HYPERLINK("https://wa.me/"&amp;$Y8&amp;"?text="&amp;SUBSTITUTE("Hola "&amp;$D8&amp;", te escribo por tu pedido de "&amp;$G8&amp;"."," ","%20"),"Abrir chat"))</f>
        <v/>
      </c>
      <c r="G8" s="79" t="n"/>
      <c r="H8" s="80" t="n"/>
      <c r="I8" s="81" t="n"/>
      <c r="J8" s="81" t="n"/>
      <c r="K8" s="81" t="n"/>
      <c r="L8" s="82">
        <f>IF(AND($D8="",$G8=""),"",IF(N($H8)=0,1,$H8)*N($I8)-N($J8)+N($K8))</f>
        <v/>
      </c>
      <c r="M8" s="81" t="n"/>
      <c r="N8" s="81" t="n"/>
      <c r="O8" s="83">
        <f>IF(OR(AND($D8="",$G8=""),$M8="",$V8="Cancelado"),"",$L8-N($M8)-N($N8))</f>
        <v/>
      </c>
      <c r="P8" s="79" t="n"/>
      <c r="Q8" s="81" t="n"/>
      <c r="R8" s="82">
        <f>IF(AND($D8="",$G8=""),"",IF($V8="Cancelado",0,MAX(0,$L8-N($Q8))))</f>
        <v/>
      </c>
      <c r="S8" s="60">
        <f>IF(AND($D8="",$G8=""),"",IF($V8="Cancelado","Cancelado",IF($L8&lt;=0,"",IF(N($Q8)&gt;=$L8,"✔ Pagado",IF(N($Q8)&gt;0,"⚠ Pago parcial","✖ Sin pagar")))))</f>
        <v/>
      </c>
      <c r="T8" s="79" t="n"/>
      <c r="U8" s="75" t="n"/>
      <c r="V8" s="84" t="n"/>
      <c r="W8" s="61">
        <f>IF(AND($D8="",$G8=""),"",IF($C8="","⚠ Falta la fecha del pedido",IF($V8="","⚠ Elegí el estado de entrega",IF($V8="Cancelado","Cancelado",IF($V8="Entregado",IF($R8&gt;0,"⚠ Entregado: falta cobrar","✔ Cerrado"),IF(AND(N($U8)&gt;0,$U8&lt;TODAY()),"✖ Entrega atrasada ("&amp;(TODAY()-$U8)&amp;" d)","En curso"))))))</f>
        <v/>
      </c>
      <c r="X8" s="79" t="n"/>
      <c r="Y8">
        <f>IF($E8&amp;""="","",IF(LEFT(SUBSTITUTE(SUBSTITUTE(SUBSTITUTE(SUBSTITUTE(SUBSTITUTE($E8&amp;""," ",""),"-",""),"+",""),"(",""),")",""),1)="0",PaisCod&amp;MID(SUBSTITUTE(SUBSTITUTE(SUBSTITUTE(SUBSTITUTE(SUBSTITUTE($E8&amp;""," ",""),"-",""),"+",""),"(",""),")",""),2,20),SUBSTITUTE(SUBSTITUTE(SUBSTITUTE(SUBSTITUTE(SUBSTITUTE($E8&amp;""," ",""),"-",""),"+",""),"(",""),")","")))</f>
        <v/>
      </c>
      <c r="Z8">
        <f>IF(AND(N($R8)&gt;0,$V8&lt;&gt;"Cancelado"),$R8+ROW()/1000000,"")</f>
        <v/>
      </c>
      <c r="AA8">
        <f>IF(AND(OR($V8="Pendiente",$V8="Preparando",$V8="Enviado"),N($U8)&gt;0),$U8+ROW()/1000000,"")</f>
        <v/>
      </c>
      <c r="AB8">
        <f>IF(AND($D8="",$G8=""),"",IF($V8="Cancelado",0,$L8))</f>
        <v/>
      </c>
    </row>
    <row r="9" ht="19" customHeight="1">
      <c r="B9" s="85">
        <f>IF(AND($D9="",$G9=""),"",ROW()-7)</f>
        <v/>
      </c>
      <c r="C9" s="75" t="n"/>
      <c r="D9" s="76" t="n"/>
      <c r="E9" s="77" t="n"/>
      <c r="F9" s="86">
        <f>IF($Y9="","",HYPERLINK("https://wa.me/"&amp;$Y9&amp;"?text="&amp;SUBSTITUTE("Hola "&amp;$D9&amp;", te escribo por tu pedido de "&amp;$G9&amp;"."," ","%20"),"Abrir chat"))</f>
        <v/>
      </c>
      <c r="G9" s="79" t="n"/>
      <c r="H9" s="80" t="n"/>
      <c r="I9" s="81" t="n"/>
      <c r="J9" s="81" t="n"/>
      <c r="K9" s="81" t="n"/>
      <c r="L9" s="82">
        <f>IF(AND($D9="",$G9=""),"",IF(N($H9)=0,1,$H9)*N($I9)-N($J9)+N($K9))</f>
        <v/>
      </c>
      <c r="M9" s="81" t="n"/>
      <c r="N9" s="81" t="n"/>
      <c r="O9" s="87">
        <f>IF(OR(AND($D9="",$G9=""),$M9="",$V9="Cancelado"),"",$L9-N($M9)-N($N9))</f>
        <v/>
      </c>
      <c r="P9" s="79" t="n"/>
      <c r="Q9" s="81" t="n"/>
      <c r="R9" s="82">
        <f>IF(AND($D9="",$G9=""),"",IF($V9="Cancelado",0,MAX(0,$L9-N($Q9))))</f>
        <v/>
      </c>
      <c r="S9" s="63">
        <f>IF(AND($D9="",$G9=""),"",IF($V9="Cancelado","Cancelado",IF($L9&lt;=0,"",IF(N($Q9)&gt;=$L9,"✔ Pagado",IF(N($Q9)&gt;0,"⚠ Pago parcial","✖ Sin pagar")))))</f>
        <v/>
      </c>
      <c r="T9" s="79" t="n"/>
      <c r="U9" s="75" t="n"/>
      <c r="V9" s="84" t="n"/>
      <c r="W9" s="64">
        <f>IF(AND($D9="",$G9=""),"",IF($C9="","⚠ Falta la fecha del pedido",IF($V9="","⚠ Elegí el estado de entrega",IF($V9="Cancelado","Cancelado",IF($V9="Entregado",IF($R9&gt;0,"⚠ Entregado: falta cobrar","✔ Cerrado"),IF(AND(N($U9)&gt;0,$U9&lt;TODAY()),"✖ Entrega atrasada ("&amp;(TODAY()-$U9)&amp;" d)","En curso"))))))</f>
        <v/>
      </c>
      <c r="X9" s="79" t="n"/>
      <c r="Y9">
        <f>IF($E9&amp;""="","",IF(LEFT(SUBSTITUTE(SUBSTITUTE(SUBSTITUTE(SUBSTITUTE(SUBSTITUTE($E9&amp;""," ",""),"-",""),"+",""),"(",""),")",""),1)="0",PaisCod&amp;MID(SUBSTITUTE(SUBSTITUTE(SUBSTITUTE(SUBSTITUTE(SUBSTITUTE($E9&amp;""," ",""),"-",""),"+",""),"(",""),")",""),2,20),SUBSTITUTE(SUBSTITUTE(SUBSTITUTE(SUBSTITUTE(SUBSTITUTE($E9&amp;""," ",""),"-",""),"+",""),"(",""),")","")))</f>
        <v/>
      </c>
      <c r="Z9">
        <f>IF(AND(N($R9)&gt;0,$V9&lt;&gt;"Cancelado"),$R9+ROW()/1000000,"")</f>
        <v/>
      </c>
      <c r="AA9">
        <f>IF(AND(OR($V9="Pendiente",$V9="Preparando",$V9="Enviado"),N($U9)&gt;0),$U9+ROW()/1000000,"")</f>
        <v/>
      </c>
      <c r="AB9">
        <f>IF(AND($D9="",$G9=""),"",IF($V9="Cancelado",0,$L9))</f>
        <v/>
      </c>
    </row>
    <row r="10" ht="19" customHeight="1">
      <c r="B10" s="74">
        <f>IF(AND($D10="",$G10=""),"",ROW()-7)</f>
        <v/>
      </c>
      <c r="C10" s="75" t="n"/>
      <c r="D10" s="76" t="n"/>
      <c r="E10" s="77" t="n"/>
      <c r="F10" s="78">
        <f>IF($Y10="","",HYPERLINK("https://wa.me/"&amp;$Y10&amp;"?text="&amp;SUBSTITUTE("Hola "&amp;$D10&amp;", te escribo por tu pedido de "&amp;$G10&amp;"."," ","%20"),"Abrir chat"))</f>
        <v/>
      </c>
      <c r="G10" s="79" t="n"/>
      <c r="H10" s="80" t="n"/>
      <c r="I10" s="81" t="n"/>
      <c r="J10" s="81" t="n"/>
      <c r="K10" s="81" t="n"/>
      <c r="L10" s="82">
        <f>IF(AND($D10="",$G10=""),"",IF(N($H10)=0,1,$H10)*N($I10)-N($J10)+N($K10))</f>
        <v/>
      </c>
      <c r="M10" s="81" t="n"/>
      <c r="N10" s="81" t="n"/>
      <c r="O10" s="83">
        <f>IF(OR(AND($D10="",$G10=""),$M10="",$V10="Cancelado"),"",$L10-N($M10)-N($N10))</f>
        <v/>
      </c>
      <c r="P10" s="79" t="n"/>
      <c r="Q10" s="81" t="n"/>
      <c r="R10" s="82">
        <f>IF(AND($D10="",$G10=""),"",IF($V10="Cancelado",0,MAX(0,$L10-N($Q10))))</f>
        <v/>
      </c>
      <c r="S10" s="60">
        <f>IF(AND($D10="",$G10=""),"",IF($V10="Cancelado","Cancelado",IF($L10&lt;=0,"",IF(N($Q10)&gt;=$L10,"✔ Pagado",IF(N($Q10)&gt;0,"⚠ Pago parcial","✖ Sin pagar")))))</f>
        <v/>
      </c>
      <c r="T10" s="79" t="n"/>
      <c r="U10" s="75" t="n"/>
      <c r="V10" s="84" t="n"/>
      <c r="W10" s="61">
        <f>IF(AND($D10="",$G10=""),"",IF($C10="","⚠ Falta la fecha del pedido",IF($V10="","⚠ Elegí el estado de entrega",IF($V10="Cancelado","Cancelado",IF($V10="Entregado",IF($R10&gt;0,"⚠ Entregado: falta cobrar","✔ Cerrado"),IF(AND(N($U10)&gt;0,$U10&lt;TODAY()),"✖ Entrega atrasada ("&amp;(TODAY()-$U10)&amp;" d)","En curso"))))))</f>
        <v/>
      </c>
      <c r="X10" s="79" t="n"/>
      <c r="Y10">
        <f>IF($E10&amp;""="","",IF(LEFT(SUBSTITUTE(SUBSTITUTE(SUBSTITUTE(SUBSTITUTE(SUBSTITUTE($E10&amp;""," ",""),"-",""),"+",""),"(",""),")",""),1)="0",PaisCod&amp;MID(SUBSTITUTE(SUBSTITUTE(SUBSTITUTE(SUBSTITUTE(SUBSTITUTE($E10&amp;""," ",""),"-",""),"+",""),"(",""),")",""),2,20),SUBSTITUTE(SUBSTITUTE(SUBSTITUTE(SUBSTITUTE(SUBSTITUTE($E10&amp;""," ",""),"-",""),"+",""),"(",""),")","")))</f>
        <v/>
      </c>
      <c r="Z10">
        <f>IF(AND(N($R10)&gt;0,$V10&lt;&gt;"Cancelado"),$R10+ROW()/1000000,"")</f>
        <v/>
      </c>
      <c r="AA10">
        <f>IF(AND(OR($V10="Pendiente",$V10="Preparando",$V10="Enviado"),N($U10)&gt;0),$U10+ROW()/1000000,"")</f>
        <v/>
      </c>
      <c r="AB10">
        <f>IF(AND($D10="",$G10=""),"",IF($V10="Cancelado",0,$L10))</f>
        <v/>
      </c>
    </row>
    <row r="11" ht="19" customHeight="1">
      <c r="B11" s="85">
        <f>IF(AND($D11="",$G11=""),"",ROW()-7)</f>
        <v/>
      </c>
      <c r="C11" s="75" t="n"/>
      <c r="D11" s="76" t="n"/>
      <c r="E11" s="77" t="n"/>
      <c r="F11" s="86">
        <f>IF($Y11="","",HYPERLINK("https://wa.me/"&amp;$Y11&amp;"?text="&amp;SUBSTITUTE("Hola "&amp;$D11&amp;", te escribo por tu pedido de "&amp;$G11&amp;"."," ","%20"),"Abrir chat"))</f>
        <v/>
      </c>
      <c r="G11" s="79" t="n"/>
      <c r="H11" s="80" t="n"/>
      <c r="I11" s="81" t="n"/>
      <c r="J11" s="81" t="n"/>
      <c r="K11" s="81" t="n"/>
      <c r="L11" s="82">
        <f>IF(AND($D11="",$G11=""),"",IF(N($H11)=0,1,$H11)*N($I11)-N($J11)+N($K11))</f>
        <v/>
      </c>
      <c r="M11" s="81" t="n"/>
      <c r="N11" s="81" t="n"/>
      <c r="O11" s="87">
        <f>IF(OR(AND($D11="",$G11=""),$M11="",$V11="Cancelado"),"",$L11-N($M11)-N($N11))</f>
        <v/>
      </c>
      <c r="P11" s="79" t="n"/>
      <c r="Q11" s="81" t="n"/>
      <c r="R11" s="82">
        <f>IF(AND($D11="",$G11=""),"",IF($V11="Cancelado",0,MAX(0,$L11-N($Q11))))</f>
        <v/>
      </c>
      <c r="S11" s="63">
        <f>IF(AND($D11="",$G11=""),"",IF($V11="Cancelado","Cancelado",IF($L11&lt;=0,"",IF(N($Q11)&gt;=$L11,"✔ Pagado",IF(N($Q11)&gt;0,"⚠ Pago parcial","✖ Sin pagar")))))</f>
        <v/>
      </c>
      <c r="T11" s="79" t="n"/>
      <c r="U11" s="75" t="n"/>
      <c r="V11" s="84" t="n"/>
      <c r="W11" s="64">
        <f>IF(AND($D11="",$G11=""),"",IF($C11="","⚠ Falta la fecha del pedido",IF($V11="","⚠ Elegí el estado de entrega",IF($V11="Cancelado","Cancelado",IF($V11="Entregado",IF($R11&gt;0,"⚠ Entregado: falta cobrar","✔ Cerrado"),IF(AND(N($U11)&gt;0,$U11&lt;TODAY()),"✖ Entrega atrasada ("&amp;(TODAY()-$U11)&amp;" d)","En curso"))))))</f>
        <v/>
      </c>
      <c r="X11" s="79" t="n"/>
      <c r="Y11">
        <f>IF($E11&amp;""="","",IF(LEFT(SUBSTITUTE(SUBSTITUTE(SUBSTITUTE(SUBSTITUTE(SUBSTITUTE($E11&amp;""," ",""),"-",""),"+",""),"(",""),")",""),1)="0",PaisCod&amp;MID(SUBSTITUTE(SUBSTITUTE(SUBSTITUTE(SUBSTITUTE(SUBSTITUTE($E11&amp;""," ",""),"-",""),"+",""),"(",""),")",""),2,20),SUBSTITUTE(SUBSTITUTE(SUBSTITUTE(SUBSTITUTE(SUBSTITUTE($E11&amp;""," ",""),"-",""),"+",""),"(",""),")","")))</f>
        <v/>
      </c>
      <c r="Z11">
        <f>IF(AND(N($R11)&gt;0,$V11&lt;&gt;"Cancelado"),$R11+ROW()/1000000,"")</f>
        <v/>
      </c>
      <c r="AA11">
        <f>IF(AND(OR($V11="Pendiente",$V11="Preparando",$V11="Enviado"),N($U11)&gt;0),$U11+ROW()/1000000,"")</f>
        <v/>
      </c>
      <c r="AB11">
        <f>IF(AND($D11="",$G11=""),"",IF($V11="Cancelado",0,$L11))</f>
        <v/>
      </c>
    </row>
    <row r="12" ht="19" customHeight="1">
      <c r="B12" s="74">
        <f>IF(AND($D12="",$G12=""),"",ROW()-7)</f>
        <v/>
      </c>
      <c r="C12" s="75" t="n"/>
      <c r="D12" s="76" t="n"/>
      <c r="E12" s="77" t="n"/>
      <c r="F12" s="78">
        <f>IF($Y12="","",HYPERLINK("https://wa.me/"&amp;$Y12&amp;"?text="&amp;SUBSTITUTE("Hola "&amp;$D12&amp;", te escribo por tu pedido de "&amp;$G12&amp;"."," ","%20"),"Abrir chat"))</f>
        <v/>
      </c>
      <c r="G12" s="79" t="n"/>
      <c r="H12" s="80" t="n"/>
      <c r="I12" s="81" t="n"/>
      <c r="J12" s="81" t="n"/>
      <c r="K12" s="81" t="n"/>
      <c r="L12" s="82">
        <f>IF(AND($D12="",$G12=""),"",IF(N($H12)=0,1,$H12)*N($I12)-N($J12)+N($K12))</f>
        <v/>
      </c>
      <c r="M12" s="81" t="n"/>
      <c r="N12" s="81" t="n"/>
      <c r="O12" s="83">
        <f>IF(OR(AND($D12="",$G12=""),$M12="",$V12="Cancelado"),"",$L12-N($M12)-N($N12))</f>
        <v/>
      </c>
      <c r="P12" s="79" t="n"/>
      <c r="Q12" s="81" t="n"/>
      <c r="R12" s="82">
        <f>IF(AND($D12="",$G12=""),"",IF($V12="Cancelado",0,MAX(0,$L12-N($Q12))))</f>
        <v/>
      </c>
      <c r="S12" s="60">
        <f>IF(AND($D12="",$G12=""),"",IF($V12="Cancelado","Cancelado",IF($L12&lt;=0,"",IF(N($Q12)&gt;=$L12,"✔ Pagado",IF(N($Q12)&gt;0,"⚠ Pago parcial","✖ Sin pagar")))))</f>
        <v/>
      </c>
      <c r="T12" s="79" t="n"/>
      <c r="U12" s="75" t="n"/>
      <c r="V12" s="84" t="n"/>
      <c r="W12" s="61">
        <f>IF(AND($D12="",$G12=""),"",IF($C12="","⚠ Falta la fecha del pedido",IF($V12="","⚠ Elegí el estado de entrega",IF($V12="Cancelado","Cancelado",IF($V12="Entregado",IF($R12&gt;0,"⚠ Entregado: falta cobrar","✔ Cerrado"),IF(AND(N($U12)&gt;0,$U12&lt;TODAY()),"✖ Entrega atrasada ("&amp;(TODAY()-$U12)&amp;" d)","En curso"))))))</f>
        <v/>
      </c>
      <c r="X12" s="79" t="n"/>
      <c r="Y12">
        <f>IF($E12&amp;""="","",IF(LEFT(SUBSTITUTE(SUBSTITUTE(SUBSTITUTE(SUBSTITUTE(SUBSTITUTE($E12&amp;""," ",""),"-",""),"+",""),"(",""),")",""),1)="0",PaisCod&amp;MID(SUBSTITUTE(SUBSTITUTE(SUBSTITUTE(SUBSTITUTE(SUBSTITUTE($E12&amp;""," ",""),"-",""),"+",""),"(",""),")",""),2,20),SUBSTITUTE(SUBSTITUTE(SUBSTITUTE(SUBSTITUTE(SUBSTITUTE($E12&amp;""," ",""),"-",""),"+",""),"(",""),")","")))</f>
        <v/>
      </c>
      <c r="Z12">
        <f>IF(AND(N($R12)&gt;0,$V12&lt;&gt;"Cancelado"),$R12+ROW()/1000000,"")</f>
        <v/>
      </c>
      <c r="AA12">
        <f>IF(AND(OR($V12="Pendiente",$V12="Preparando",$V12="Enviado"),N($U12)&gt;0),$U12+ROW()/1000000,"")</f>
        <v/>
      </c>
      <c r="AB12">
        <f>IF(AND($D12="",$G12=""),"",IF($V12="Cancelado",0,$L12))</f>
        <v/>
      </c>
    </row>
    <row r="13" ht="19" customHeight="1">
      <c r="B13" s="85">
        <f>IF(AND($D13="",$G13=""),"",ROW()-7)</f>
        <v/>
      </c>
      <c r="C13" s="75" t="n"/>
      <c r="D13" s="76" t="n"/>
      <c r="E13" s="77" t="n"/>
      <c r="F13" s="86">
        <f>IF($Y13="","",HYPERLINK("https://wa.me/"&amp;$Y13&amp;"?text="&amp;SUBSTITUTE("Hola "&amp;$D13&amp;", te escribo por tu pedido de "&amp;$G13&amp;"."," ","%20"),"Abrir chat"))</f>
        <v/>
      </c>
      <c r="G13" s="79" t="n"/>
      <c r="H13" s="80" t="n"/>
      <c r="I13" s="81" t="n"/>
      <c r="J13" s="81" t="n"/>
      <c r="K13" s="81" t="n"/>
      <c r="L13" s="82">
        <f>IF(AND($D13="",$G13=""),"",IF(N($H13)=0,1,$H13)*N($I13)-N($J13)+N($K13))</f>
        <v/>
      </c>
      <c r="M13" s="81" t="n"/>
      <c r="N13" s="81" t="n"/>
      <c r="O13" s="87">
        <f>IF(OR(AND($D13="",$G13=""),$M13="",$V13="Cancelado"),"",$L13-N($M13)-N($N13))</f>
        <v/>
      </c>
      <c r="P13" s="79" t="n"/>
      <c r="Q13" s="81" t="n"/>
      <c r="R13" s="82">
        <f>IF(AND($D13="",$G13=""),"",IF($V13="Cancelado",0,MAX(0,$L13-N($Q13))))</f>
        <v/>
      </c>
      <c r="S13" s="63">
        <f>IF(AND($D13="",$G13=""),"",IF($V13="Cancelado","Cancelado",IF($L13&lt;=0,"",IF(N($Q13)&gt;=$L13,"✔ Pagado",IF(N($Q13)&gt;0,"⚠ Pago parcial","✖ Sin pagar")))))</f>
        <v/>
      </c>
      <c r="T13" s="79" t="n"/>
      <c r="U13" s="75" t="n"/>
      <c r="V13" s="84" t="n"/>
      <c r="W13" s="64">
        <f>IF(AND($D13="",$G13=""),"",IF($C13="","⚠ Falta la fecha del pedido",IF($V13="","⚠ Elegí el estado de entrega",IF($V13="Cancelado","Cancelado",IF($V13="Entregado",IF($R13&gt;0,"⚠ Entregado: falta cobrar","✔ Cerrado"),IF(AND(N($U13)&gt;0,$U13&lt;TODAY()),"✖ Entrega atrasada ("&amp;(TODAY()-$U13)&amp;" d)","En curso"))))))</f>
        <v/>
      </c>
      <c r="X13" s="79" t="n"/>
      <c r="Y13">
        <f>IF($E13&amp;""="","",IF(LEFT(SUBSTITUTE(SUBSTITUTE(SUBSTITUTE(SUBSTITUTE(SUBSTITUTE($E13&amp;""," ",""),"-",""),"+",""),"(",""),")",""),1)="0",PaisCod&amp;MID(SUBSTITUTE(SUBSTITUTE(SUBSTITUTE(SUBSTITUTE(SUBSTITUTE($E13&amp;""," ",""),"-",""),"+",""),"(",""),")",""),2,20),SUBSTITUTE(SUBSTITUTE(SUBSTITUTE(SUBSTITUTE(SUBSTITUTE($E13&amp;""," ",""),"-",""),"+",""),"(",""),")","")))</f>
        <v/>
      </c>
      <c r="Z13">
        <f>IF(AND(N($R13)&gt;0,$V13&lt;&gt;"Cancelado"),$R13+ROW()/1000000,"")</f>
        <v/>
      </c>
      <c r="AA13">
        <f>IF(AND(OR($V13="Pendiente",$V13="Preparando",$V13="Enviado"),N($U13)&gt;0),$U13+ROW()/1000000,"")</f>
        <v/>
      </c>
      <c r="AB13">
        <f>IF(AND($D13="",$G13=""),"",IF($V13="Cancelado",0,$L13))</f>
        <v/>
      </c>
    </row>
    <row r="14" ht="19" customHeight="1">
      <c r="B14" s="74">
        <f>IF(AND($D14="",$G14=""),"",ROW()-7)</f>
        <v/>
      </c>
      <c r="C14" s="75" t="n"/>
      <c r="D14" s="76" t="n"/>
      <c r="E14" s="77" t="n"/>
      <c r="F14" s="78">
        <f>IF($Y14="","",HYPERLINK("https://wa.me/"&amp;$Y14&amp;"?text="&amp;SUBSTITUTE("Hola "&amp;$D14&amp;", te escribo por tu pedido de "&amp;$G14&amp;"."," ","%20"),"Abrir chat"))</f>
        <v/>
      </c>
      <c r="G14" s="79" t="n"/>
      <c r="H14" s="80" t="n"/>
      <c r="I14" s="81" t="n"/>
      <c r="J14" s="81" t="n"/>
      <c r="K14" s="81" t="n"/>
      <c r="L14" s="82">
        <f>IF(AND($D14="",$G14=""),"",IF(N($H14)=0,1,$H14)*N($I14)-N($J14)+N($K14))</f>
        <v/>
      </c>
      <c r="M14" s="81" t="n"/>
      <c r="N14" s="81" t="n"/>
      <c r="O14" s="83">
        <f>IF(OR(AND($D14="",$G14=""),$M14="",$V14="Cancelado"),"",$L14-N($M14)-N($N14))</f>
        <v/>
      </c>
      <c r="P14" s="79" t="n"/>
      <c r="Q14" s="81" t="n"/>
      <c r="R14" s="82">
        <f>IF(AND($D14="",$G14=""),"",IF($V14="Cancelado",0,MAX(0,$L14-N($Q14))))</f>
        <v/>
      </c>
      <c r="S14" s="60">
        <f>IF(AND($D14="",$G14=""),"",IF($V14="Cancelado","Cancelado",IF($L14&lt;=0,"",IF(N($Q14)&gt;=$L14,"✔ Pagado",IF(N($Q14)&gt;0,"⚠ Pago parcial","✖ Sin pagar")))))</f>
        <v/>
      </c>
      <c r="T14" s="79" t="n"/>
      <c r="U14" s="75" t="n"/>
      <c r="V14" s="84" t="n"/>
      <c r="W14" s="61">
        <f>IF(AND($D14="",$G14=""),"",IF($C14="","⚠ Falta la fecha del pedido",IF($V14="","⚠ Elegí el estado de entrega",IF($V14="Cancelado","Cancelado",IF($V14="Entregado",IF($R14&gt;0,"⚠ Entregado: falta cobrar","✔ Cerrado"),IF(AND(N($U14)&gt;0,$U14&lt;TODAY()),"✖ Entrega atrasada ("&amp;(TODAY()-$U14)&amp;" d)","En curso"))))))</f>
        <v/>
      </c>
      <c r="X14" s="79" t="n"/>
      <c r="Y14">
        <f>IF($E14&amp;""="","",IF(LEFT(SUBSTITUTE(SUBSTITUTE(SUBSTITUTE(SUBSTITUTE(SUBSTITUTE($E14&amp;""," ",""),"-",""),"+",""),"(",""),")",""),1)="0",PaisCod&amp;MID(SUBSTITUTE(SUBSTITUTE(SUBSTITUTE(SUBSTITUTE(SUBSTITUTE($E14&amp;""," ",""),"-",""),"+",""),"(",""),")",""),2,20),SUBSTITUTE(SUBSTITUTE(SUBSTITUTE(SUBSTITUTE(SUBSTITUTE($E14&amp;""," ",""),"-",""),"+",""),"(",""),")","")))</f>
        <v/>
      </c>
      <c r="Z14">
        <f>IF(AND(N($R14)&gt;0,$V14&lt;&gt;"Cancelado"),$R14+ROW()/1000000,"")</f>
        <v/>
      </c>
      <c r="AA14">
        <f>IF(AND(OR($V14="Pendiente",$V14="Preparando",$V14="Enviado"),N($U14)&gt;0),$U14+ROW()/1000000,"")</f>
        <v/>
      </c>
      <c r="AB14">
        <f>IF(AND($D14="",$G14=""),"",IF($V14="Cancelado",0,$L14))</f>
        <v/>
      </c>
    </row>
    <row r="15" ht="19" customHeight="1">
      <c r="B15" s="85">
        <f>IF(AND($D15="",$G15=""),"",ROW()-7)</f>
        <v/>
      </c>
      <c r="C15" s="75" t="n"/>
      <c r="D15" s="76" t="n"/>
      <c r="E15" s="77" t="n"/>
      <c r="F15" s="86">
        <f>IF($Y15="","",HYPERLINK("https://wa.me/"&amp;$Y15&amp;"?text="&amp;SUBSTITUTE("Hola "&amp;$D15&amp;", te escribo por tu pedido de "&amp;$G15&amp;"."," ","%20"),"Abrir chat"))</f>
        <v/>
      </c>
      <c r="G15" s="79" t="n"/>
      <c r="H15" s="80" t="n"/>
      <c r="I15" s="81" t="n"/>
      <c r="J15" s="81" t="n"/>
      <c r="K15" s="81" t="n"/>
      <c r="L15" s="82">
        <f>IF(AND($D15="",$G15=""),"",IF(N($H15)=0,1,$H15)*N($I15)-N($J15)+N($K15))</f>
        <v/>
      </c>
      <c r="M15" s="81" t="n"/>
      <c r="N15" s="81" t="n"/>
      <c r="O15" s="87">
        <f>IF(OR(AND($D15="",$G15=""),$M15="",$V15="Cancelado"),"",$L15-N($M15)-N($N15))</f>
        <v/>
      </c>
      <c r="P15" s="79" t="n"/>
      <c r="Q15" s="81" t="n"/>
      <c r="R15" s="82">
        <f>IF(AND($D15="",$G15=""),"",IF($V15="Cancelado",0,MAX(0,$L15-N($Q15))))</f>
        <v/>
      </c>
      <c r="S15" s="63">
        <f>IF(AND($D15="",$G15=""),"",IF($V15="Cancelado","Cancelado",IF($L15&lt;=0,"",IF(N($Q15)&gt;=$L15,"✔ Pagado",IF(N($Q15)&gt;0,"⚠ Pago parcial","✖ Sin pagar")))))</f>
        <v/>
      </c>
      <c r="T15" s="79" t="n"/>
      <c r="U15" s="75" t="n"/>
      <c r="V15" s="84" t="n"/>
      <c r="W15" s="64">
        <f>IF(AND($D15="",$G15=""),"",IF($C15="","⚠ Falta la fecha del pedido",IF($V15="","⚠ Elegí el estado de entrega",IF($V15="Cancelado","Cancelado",IF($V15="Entregado",IF($R15&gt;0,"⚠ Entregado: falta cobrar","✔ Cerrado"),IF(AND(N($U15)&gt;0,$U15&lt;TODAY()),"✖ Entrega atrasada ("&amp;(TODAY()-$U15)&amp;" d)","En curso"))))))</f>
        <v/>
      </c>
      <c r="X15" s="79" t="n"/>
      <c r="Y15">
        <f>IF($E15&amp;""="","",IF(LEFT(SUBSTITUTE(SUBSTITUTE(SUBSTITUTE(SUBSTITUTE(SUBSTITUTE($E15&amp;""," ",""),"-",""),"+",""),"(",""),")",""),1)="0",PaisCod&amp;MID(SUBSTITUTE(SUBSTITUTE(SUBSTITUTE(SUBSTITUTE(SUBSTITUTE($E15&amp;""," ",""),"-",""),"+",""),"(",""),")",""),2,20),SUBSTITUTE(SUBSTITUTE(SUBSTITUTE(SUBSTITUTE(SUBSTITUTE($E15&amp;""," ",""),"-",""),"+",""),"(",""),")","")))</f>
        <v/>
      </c>
      <c r="Z15">
        <f>IF(AND(N($R15)&gt;0,$V15&lt;&gt;"Cancelado"),$R15+ROW()/1000000,"")</f>
        <v/>
      </c>
      <c r="AA15">
        <f>IF(AND(OR($V15="Pendiente",$V15="Preparando",$V15="Enviado"),N($U15)&gt;0),$U15+ROW()/1000000,"")</f>
        <v/>
      </c>
      <c r="AB15">
        <f>IF(AND($D15="",$G15=""),"",IF($V15="Cancelado",0,$L15))</f>
        <v/>
      </c>
    </row>
    <row r="16" ht="19" customHeight="1">
      <c r="B16" s="74">
        <f>IF(AND($D16="",$G16=""),"",ROW()-7)</f>
        <v/>
      </c>
      <c r="C16" s="75" t="n"/>
      <c r="D16" s="76" t="n"/>
      <c r="E16" s="77" t="n"/>
      <c r="F16" s="78">
        <f>IF($Y16="","",HYPERLINK("https://wa.me/"&amp;$Y16&amp;"?text="&amp;SUBSTITUTE("Hola "&amp;$D16&amp;", te escribo por tu pedido de "&amp;$G16&amp;"."," ","%20"),"Abrir chat"))</f>
        <v/>
      </c>
      <c r="G16" s="79" t="n"/>
      <c r="H16" s="80" t="n"/>
      <c r="I16" s="81" t="n"/>
      <c r="J16" s="81" t="n"/>
      <c r="K16" s="81" t="n"/>
      <c r="L16" s="82">
        <f>IF(AND($D16="",$G16=""),"",IF(N($H16)=0,1,$H16)*N($I16)-N($J16)+N($K16))</f>
        <v/>
      </c>
      <c r="M16" s="81" t="n"/>
      <c r="N16" s="81" t="n"/>
      <c r="O16" s="83">
        <f>IF(OR(AND($D16="",$G16=""),$M16="",$V16="Cancelado"),"",$L16-N($M16)-N($N16))</f>
        <v/>
      </c>
      <c r="P16" s="79" t="n"/>
      <c r="Q16" s="81" t="n"/>
      <c r="R16" s="82">
        <f>IF(AND($D16="",$G16=""),"",IF($V16="Cancelado",0,MAX(0,$L16-N($Q16))))</f>
        <v/>
      </c>
      <c r="S16" s="60">
        <f>IF(AND($D16="",$G16=""),"",IF($V16="Cancelado","Cancelado",IF($L16&lt;=0,"",IF(N($Q16)&gt;=$L16,"✔ Pagado",IF(N($Q16)&gt;0,"⚠ Pago parcial","✖ Sin pagar")))))</f>
        <v/>
      </c>
      <c r="T16" s="79" t="n"/>
      <c r="U16" s="75" t="n"/>
      <c r="V16" s="84" t="n"/>
      <c r="W16" s="61">
        <f>IF(AND($D16="",$G16=""),"",IF($C16="","⚠ Falta la fecha del pedido",IF($V16="","⚠ Elegí el estado de entrega",IF($V16="Cancelado","Cancelado",IF($V16="Entregado",IF($R16&gt;0,"⚠ Entregado: falta cobrar","✔ Cerrado"),IF(AND(N($U16)&gt;0,$U16&lt;TODAY()),"✖ Entrega atrasada ("&amp;(TODAY()-$U16)&amp;" d)","En curso"))))))</f>
        <v/>
      </c>
      <c r="X16" s="79" t="n"/>
      <c r="Y16">
        <f>IF($E16&amp;""="","",IF(LEFT(SUBSTITUTE(SUBSTITUTE(SUBSTITUTE(SUBSTITUTE(SUBSTITUTE($E16&amp;""," ",""),"-",""),"+",""),"(",""),")",""),1)="0",PaisCod&amp;MID(SUBSTITUTE(SUBSTITUTE(SUBSTITUTE(SUBSTITUTE(SUBSTITUTE($E16&amp;""," ",""),"-",""),"+",""),"(",""),")",""),2,20),SUBSTITUTE(SUBSTITUTE(SUBSTITUTE(SUBSTITUTE(SUBSTITUTE($E16&amp;""," ",""),"-",""),"+",""),"(",""),")","")))</f>
        <v/>
      </c>
      <c r="Z16">
        <f>IF(AND(N($R16)&gt;0,$V16&lt;&gt;"Cancelado"),$R16+ROW()/1000000,"")</f>
        <v/>
      </c>
      <c r="AA16">
        <f>IF(AND(OR($V16="Pendiente",$V16="Preparando",$V16="Enviado"),N($U16)&gt;0),$U16+ROW()/1000000,"")</f>
        <v/>
      </c>
      <c r="AB16">
        <f>IF(AND($D16="",$G16=""),"",IF($V16="Cancelado",0,$L16))</f>
        <v/>
      </c>
    </row>
    <row r="17" ht="19" customHeight="1">
      <c r="B17" s="85">
        <f>IF(AND($D17="",$G17=""),"",ROW()-7)</f>
        <v/>
      </c>
      <c r="C17" s="75" t="n"/>
      <c r="D17" s="76" t="n"/>
      <c r="E17" s="77" t="n"/>
      <c r="F17" s="86">
        <f>IF($Y17="","",HYPERLINK("https://wa.me/"&amp;$Y17&amp;"?text="&amp;SUBSTITUTE("Hola "&amp;$D17&amp;", te escribo por tu pedido de "&amp;$G17&amp;"."," ","%20"),"Abrir chat"))</f>
        <v/>
      </c>
      <c r="G17" s="79" t="n"/>
      <c r="H17" s="80" t="n"/>
      <c r="I17" s="81" t="n"/>
      <c r="J17" s="81" t="n"/>
      <c r="K17" s="81" t="n"/>
      <c r="L17" s="82">
        <f>IF(AND($D17="",$G17=""),"",IF(N($H17)=0,1,$H17)*N($I17)-N($J17)+N($K17))</f>
        <v/>
      </c>
      <c r="M17" s="81" t="n"/>
      <c r="N17" s="81" t="n"/>
      <c r="O17" s="87">
        <f>IF(OR(AND($D17="",$G17=""),$M17="",$V17="Cancelado"),"",$L17-N($M17)-N($N17))</f>
        <v/>
      </c>
      <c r="P17" s="79" t="n"/>
      <c r="Q17" s="81" t="n"/>
      <c r="R17" s="82">
        <f>IF(AND($D17="",$G17=""),"",IF($V17="Cancelado",0,MAX(0,$L17-N($Q17))))</f>
        <v/>
      </c>
      <c r="S17" s="63">
        <f>IF(AND($D17="",$G17=""),"",IF($V17="Cancelado","Cancelado",IF($L17&lt;=0,"",IF(N($Q17)&gt;=$L17,"✔ Pagado",IF(N($Q17)&gt;0,"⚠ Pago parcial","✖ Sin pagar")))))</f>
        <v/>
      </c>
      <c r="T17" s="79" t="n"/>
      <c r="U17" s="75" t="n"/>
      <c r="V17" s="84" t="n"/>
      <c r="W17" s="64">
        <f>IF(AND($D17="",$G17=""),"",IF($C17="","⚠ Falta la fecha del pedido",IF($V17="","⚠ Elegí el estado de entrega",IF($V17="Cancelado","Cancelado",IF($V17="Entregado",IF($R17&gt;0,"⚠ Entregado: falta cobrar","✔ Cerrado"),IF(AND(N($U17)&gt;0,$U17&lt;TODAY()),"✖ Entrega atrasada ("&amp;(TODAY()-$U17)&amp;" d)","En curso"))))))</f>
        <v/>
      </c>
      <c r="X17" s="79" t="n"/>
      <c r="Y17">
        <f>IF($E17&amp;""="","",IF(LEFT(SUBSTITUTE(SUBSTITUTE(SUBSTITUTE(SUBSTITUTE(SUBSTITUTE($E17&amp;""," ",""),"-",""),"+",""),"(",""),")",""),1)="0",PaisCod&amp;MID(SUBSTITUTE(SUBSTITUTE(SUBSTITUTE(SUBSTITUTE(SUBSTITUTE($E17&amp;""," ",""),"-",""),"+",""),"(",""),")",""),2,20),SUBSTITUTE(SUBSTITUTE(SUBSTITUTE(SUBSTITUTE(SUBSTITUTE($E17&amp;""," ",""),"-",""),"+",""),"(",""),")","")))</f>
        <v/>
      </c>
      <c r="Z17">
        <f>IF(AND(N($R17)&gt;0,$V17&lt;&gt;"Cancelado"),$R17+ROW()/1000000,"")</f>
        <v/>
      </c>
      <c r="AA17">
        <f>IF(AND(OR($V17="Pendiente",$V17="Preparando",$V17="Enviado"),N($U17)&gt;0),$U17+ROW()/1000000,"")</f>
        <v/>
      </c>
      <c r="AB17">
        <f>IF(AND($D17="",$G17=""),"",IF($V17="Cancelado",0,$L17))</f>
        <v/>
      </c>
    </row>
    <row r="18" ht="19" customHeight="1">
      <c r="B18" s="74">
        <f>IF(AND($D18="",$G18=""),"",ROW()-7)</f>
        <v/>
      </c>
      <c r="C18" s="75" t="n"/>
      <c r="D18" s="76" t="n"/>
      <c r="E18" s="77" t="n"/>
      <c r="F18" s="78">
        <f>IF($Y18="","",HYPERLINK("https://wa.me/"&amp;$Y18&amp;"?text="&amp;SUBSTITUTE("Hola "&amp;$D18&amp;", te escribo por tu pedido de "&amp;$G18&amp;"."," ","%20"),"Abrir chat"))</f>
        <v/>
      </c>
      <c r="G18" s="79" t="n"/>
      <c r="H18" s="80" t="n"/>
      <c r="I18" s="81" t="n"/>
      <c r="J18" s="81" t="n"/>
      <c r="K18" s="81" t="n"/>
      <c r="L18" s="82">
        <f>IF(AND($D18="",$G18=""),"",IF(N($H18)=0,1,$H18)*N($I18)-N($J18)+N($K18))</f>
        <v/>
      </c>
      <c r="M18" s="81" t="n"/>
      <c r="N18" s="81" t="n"/>
      <c r="O18" s="83">
        <f>IF(OR(AND($D18="",$G18=""),$M18="",$V18="Cancelado"),"",$L18-N($M18)-N($N18))</f>
        <v/>
      </c>
      <c r="P18" s="79" t="n"/>
      <c r="Q18" s="81" t="n"/>
      <c r="R18" s="82">
        <f>IF(AND($D18="",$G18=""),"",IF($V18="Cancelado",0,MAX(0,$L18-N($Q18))))</f>
        <v/>
      </c>
      <c r="S18" s="60">
        <f>IF(AND($D18="",$G18=""),"",IF($V18="Cancelado","Cancelado",IF($L18&lt;=0,"",IF(N($Q18)&gt;=$L18,"✔ Pagado",IF(N($Q18)&gt;0,"⚠ Pago parcial","✖ Sin pagar")))))</f>
        <v/>
      </c>
      <c r="T18" s="79" t="n"/>
      <c r="U18" s="75" t="n"/>
      <c r="V18" s="84" t="n"/>
      <c r="W18" s="61">
        <f>IF(AND($D18="",$G18=""),"",IF($C18="","⚠ Falta la fecha del pedido",IF($V18="","⚠ Elegí el estado de entrega",IF($V18="Cancelado","Cancelado",IF($V18="Entregado",IF($R18&gt;0,"⚠ Entregado: falta cobrar","✔ Cerrado"),IF(AND(N($U18)&gt;0,$U18&lt;TODAY()),"✖ Entrega atrasada ("&amp;(TODAY()-$U18)&amp;" d)","En curso"))))))</f>
        <v/>
      </c>
      <c r="X18" s="79" t="n"/>
      <c r="Y18">
        <f>IF($E18&amp;""="","",IF(LEFT(SUBSTITUTE(SUBSTITUTE(SUBSTITUTE(SUBSTITUTE(SUBSTITUTE($E18&amp;""," ",""),"-",""),"+",""),"(",""),")",""),1)="0",PaisCod&amp;MID(SUBSTITUTE(SUBSTITUTE(SUBSTITUTE(SUBSTITUTE(SUBSTITUTE($E18&amp;""," ",""),"-",""),"+",""),"(",""),")",""),2,20),SUBSTITUTE(SUBSTITUTE(SUBSTITUTE(SUBSTITUTE(SUBSTITUTE($E18&amp;""," ",""),"-",""),"+",""),"(",""),")","")))</f>
        <v/>
      </c>
      <c r="Z18">
        <f>IF(AND(N($R18)&gt;0,$V18&lt;&gt;"Cancelado"),$R18+ROW()/1000000,"")</f>
        <v/>
      </c>
      <c r="AA18">
        <f>IF(AND(OR($V18="Pendiente",$V18="Preparando",$V18="Enviado"),N($U18)&gt;0),$U18+ROW()/1000000,"")</f>
        <v/>
      </c>
      <c r="AB18">
        <f>IF(AND($D18="",$G18=""),"",IF($V18="Cancelado",0,$L18))</f>
        <v/>
      </c>
    </row>
    <row r="19" ht="19" customHeight="1">
      <c r="B19" s="85">
        <f>IF(AND($D19="",$G19=""),"",ROW()-7)</f>
        <v/>
      </c>
      <c r="C19" s="75" t="n"/>
      <c r="D19" s="76" t="n"/>
      <c r="E19" s="77" t="n"/>
      <c r="F19" s="86">
        <f>IF($Y19="","",HYPERLINK("https://wa.me/"&amp;$Y19&amp;"?text="&amp;SUBSTITUTE("Hola "&amp;$D19&amp;", te escribo por tu pedido de "&amp;$G19&amp;"."," ","%20"),"Abrir chat"))</f>
        <v/>
      </c>
      <c r="G19" s="79" t="n"/>
      <c r="H19" s="80" t="n"/>
      <c r="I19" s="81" t="n"/>
      <c r="J19" s="81" t="n"/>
      <c r="K19" s="81" t="n"/>
      <c r="L19" s="82">
        <f>IF(AND($D19="",$G19=""),"",IF(N($H19)=0,1,$H19)*N($I19)-N($J19)+N($K19))</f>
        <v/>
      </c>
      <c r="M19" s="81" t="n"/>
      <c r="N19" s="81" t="n"/>
      <c r="O19" s="87">
        <f>IF(OR(AND($D19="",$G19=""),$M19="",$V19="Cancelado"),"",$L19-N($M19)-N($N19))</f>
        <v/>
      </c>
      <c r="P19" s="79" t="n"/>
      <c r="Q19" s="81" t="n"/>
      <c r="R19" s="82">
        <f>IF(AND($D19="",$G19=""),"",IF($V19="Cancelado",0,MAX(0,$L19-N($Q19))))</f>
        <v/>
      </c>
      <c r="S19" s="63">
        <f>IF(AND($D19="",$G19=""),"",IF($V19="Cancelado","Cancelado",IF($L19&lt;=0,"",IF(N($Q19)&gt;=$L19,"✔ Pagado",IF(N($Q19)&gt;0,"⚠ Pago parcial","✖ Sin pagar")))))</f>
        <v/>
      </c>
      <c r="T19" s="79" t="n"/>
      <c r="U19" s="75" t="n"/>
      <c r="V19" s="84" t="n"/>
      <c r="W19" s="64">
        <f>IF(AND($D19="",$G19=""),"",IF($C19="","⚠ Falta la fecha del pedido",IF($V19="","⚠ Elegí el estado de entrega",IF($V19="Cancelado","Cancelado",IF($V19="Entregado",IF($R19&gt;0,"⚠ Entregado: falta cobrar","✔ Cerrado"),IF(AND(N($U19)&gt;0,$U19&lt;TODAY()),"✖ Entrega atrasada ("&amp;(TODAY()-$U19)&amp;" d)","En curso"))))))</f>
        <v/>
      </c>
      <c r="X19" s="79" t="n"/>
      <c r="Y19">
        <f>IF($E19&amp;""="","",IF(LEFT(SUBSTITUTE(SUBSTITUTE(SUBSTITUTE(SUBSTITUTE(SUBSTITUTE($E19&amp;""," ",""),"-",""),"+",""),"(",""),")",""),1)="0",PaisCod&amp;MID(SUBSTITUTE(SUBSTITUTE(SUBSTITUTE(SUBSTITUTE(SUBSTITUTE($E19&amp;""," ",""),"-",""),"+",""),"(",""),")",""),2,20),SUBSTITUTE(SUBSTITUTE(SUBSTITUTE(SUBSTITUTE(SUBSTITUTE($E19&amp;""," ",""),"-",""),"+",""),"(",""),")","")))</f>
        <v/>
      </c>
      <c r="Z19">
        <f>IF(AND(N($R19)&gt;0,$V19&lt;&gt;"Cancelado"),$R19+ROW()/1000000,"")</f>
        <v/>
      </c>
      <c r="AA19">
        <f>IF(AND(OR($V19="Pendiente",$V19="Preparando",$V19="Enviado"),N($U19)&gt;0),$U19+ROW()/1000000,"")</f>
        <v/>
      </c>
      <c r="AB19">
        <f>IF(AND($D19="",$G19=""),"",IF($V19="Cancelado",0,$L19))</f>
        <v/>
      </c>
    </row>
    <row r="20" ht="19" customHeight="1">
      <c r="B20" s="74">
        <f>IF(AND($D20="",$G20=""),"",ROW()-7)</f>
        <v/>
      </c>
      <c r="C20" s="75" t="n"/>
      <c r="D20" s="76" t="n"/>
      <c r="E20" s="77" t="n"/>
      <c r="F20" s="78">
        <f>IF($Y20="","",HYPERLINK("https://wa.me/"&amp;$Y20&amp;"?text="&amp;SUBSTITUTE("Hola "&amp;$D20&amp;", te escribo por tu pedido de "&amp;$G20&amp;"."," ","%20"),"Abrir chat"))</f>
        <v/>
      </c>
      <c r="G20" s="79" t="n"/>
      <c r="H20" s="80" t="n"/>
      <c r="I20" s="81" t="n"/>
      <c r="J20" s="81" t="n"/>
      <c r="K20" s="81" t="n"/>
      <c r="L20" s="82">
        <f>IF(AND($D20="",$G20=""),"",IF(N($H20)=0,1,$H20)*N($I20)-N($J20)+N($K20))</f>
        <v/>
      </c>
      <c r="M20" s="81" t="n"/>
      <c r="N20" s="81" t="n"/>
      <c r="O20" s="83">
        <f>IF(OR(AND($D20="",$G20=""),$M20="",$V20="Cancelado"),"",$L20-N($M20)-N($N20))</f>
        <v/>
      </c>
      <c r="P20" s="79" t="n"/>
      <c r="Q20" s="81" t="n"/>
      <c r="R20" s="82">
        <f>IF(AND($D20="",$G20=""),"",IF($V20="Cancelado",0,MAX(0,$L20-N($Q20))))</f>
        <v/>
      </c>
      <c r="S20" s="60">
        <f>IF(AND($D20="",$G20=""),"",IF($V20="Cancelado","Cancelado",IF($L20&lt;=0,"",IF(N($Q20)&gt;=$L20,"✔ Pagado",IF(N($Q20)&gt;0,"⚠ Pago parcial","✖ Sin pagar")))))</f>
        <v/>
      </c>
      <c r="T20" s="79" t="n"/>
      <c r="U20" s="75" t="n"/>
      <c r="V20" s="84" t="n"/>
      <c r="W20" s="61">
        <f>IF(AND($D20="",$G20=""),"",IF($C20="","⚠ Falta la fecha del pedido",IF($V20="","⚠ Elegí el estado de entrega",IF($V20="Cancelado","Cancelado",IF($V20="Entregado",IF($R20&gt;0,"⚠ Entregado: falta cobrar","✔ Cerrado"),IF(AND(N($U20)&gt;0,$U20&lt;TODAY()),"✖ Entrega atrasada ("&amp;(TODAY()-$U20)&amp;" d)","En curso"))))))</f>
        <v/>
      </c>
      <c r="X20" s="79" t="n"/>
      <c r="Y20">
        <f>IF($E20&amp;""="","",IF(LEFT(SUBSTITUTE(SUBSTITUTE(SUBSTITUTE(SUBSTITUTE(SUBSTITUTE($E20&amp;""," ",""),"-",""),"+",""),"(",""),")",""),1)="0",PaisCod&amp;MID(SUBSTITUTE(SUBSTITUTE(SUBSTITUTE(SUBSTITUTE(SUBSTITUTE($E20&amp;""," ",""),"-",""),"+",""),"(",""),")",""),2,20),SUBSTITUTE(SUBSTITUTE(SUBSTITUTE(SUBSTITUTE(SUBSTITUTE($E20&amp;""," ",""),"-",""),"+",""),"(",""),")","")))</f>
        <v/>
      </c>
      <c r="Z20">
        <f>IF(AND(N($R20)&gt;0,$V20&lt;&gt;"Cancelado"),$R20+ROW()/1000000,"")</f>
        <v/>
      </c>
      <c r="AA20">
        <f>IF(AND(OR($V20="Pendiente",$V20="Preparando",$V20="Enviado"),N($U20)&gt;0),$U20+ROW()/1000000,"")</f>
        <v/>
      </c>
      <c r="AB20">
        <f>IF(AND($D20="",$G20=""),"",IF($V20="Cancelado",0,$L20))</f>
        <v/>
      </c>
    </row>
    <row r="21" ht="19" customHeight="1">
      <c r="B21" s="85">
        <f>IF(AND($D21="",$G21=""),"",ROW()-7)</f>
        <v/>
      </c>
      <c r="C21" s="75" t="n"/>
      <c r="D21" s="76" t="n"/>
      <c r="E21" s="77" t="n"/>
      <c r="F21" s="86">
        <f>IF($Y21="","",HYPERLINK("https://wa.me/"&amp;$Y21&amp;"?text="&amp;SUBSTITUTE("Hola "&amp;$D21&amp;", te escribo por tu pedido de "&amp;$G21&amp;"."," ","%20"),"Abrir chat"))</f>
        <v/>
      </c>
      <c r="G21" s="79" t="n"/>
      <c r="H21" s="80" t="n"/>
      <c r="I21" s="81" t="n"/>
      <c r="J21" s="81" t="n"/>
      <c r="K21" s="81" t="n"/>
      <c r="L21" s="82">
        <f>IF(AND($D21="",$G21=""),"",IF(N($H21)=0,1,$H21)*N($I21)-N($J21)+N($K21))</f>
        <v/>
      </c>
      <c r="M21" s="81" t="n"/>
      <c r="N21" s="81" t="n"/>
      <c r="O21" s="87">
        <f>IF(OR(AND($D21="",$G21=""),$M21="",$V21="Cancelado"),"",$L21-N($M21)-N($N21))</f>
        <v/>
      </c>
      <c r="P21" s="79" t="n"/>
      <c r="Q21" s="81" t="n"/>
      <c r="R21" s="82">
        <f>IF(AND($D21="",$G21=""),"",IF($V21="Cancelado",0,MAX(0,$L21-N($Q21))))</f>
        <v/>
      </c>
      <c r="S21" s="63">
        <f>IF(AND($D21="",$G21=""),"",IF($V21="Cancelado","Cancelado",IF($L21&lt;=0,"",IF(N($Q21)&gt;=$L21,"✔ Pagado",IF(N($Q21)&gt;0,"⚠ Pago parcial","✖ Sin pagar")))))</f>
        <v/>
      </c>
      <c r="T21" s="79" t="n"/>
      <c r="U21" s="75" t="n"/>
      <c r="V21" s="84" t="n"/>
      <c r="W21" s="64">
        <f>IF(AND($D21="",$G21=""),"",IF($C21="","⚠ Falta la fecha del pedido",IF($V21="","⚠ Elegí el estado de entrega",IF($V21="Cancelado","Cancelado",IF($V21="Entregado",IF($R21&gt;0,"⚠ Entregado: falta cobrar","✔ Cerrado"),IF(AND(N($U21)&gt;0,$U21&lt;TODAY()),"✖ Entrega atrasada ("&amp;(TODAY()-$U21)&amp;" d)","En curso"))))))</f>
        <v/>
      </c>
      <c r="X21" s="79" t="n"/>
      <c r="Y21">
        <f>IF($E21&amp;""="","",IF(LEFT(SUBSTITUTE(SUBSTITUTE(SUBSTITUTE(SUBSTITUTE(SUBSTITUTE($E21&amp;""," ",""),"-",""),"+",""),"(",""),")",""),1)="0",PaisCod&amp;MID(SUBSTITUTE(SUBSTITUTE(SUBSTITUTE(SUBSTITUTE(SUBSTITUTE($E21&amp;""," ",""),"-",""),"+",""),"(",""),")",""),2,20),SUBSTITUTE(SUBSTITUTE(SUBSTITUTE(SUBSTITUTE(SUBSTITUTE($E21&amp;""," ",""),"-",""),"+",""),"(",""),")","")))</f>
        <v/>
      </c>
      <c r="Z21">
        <f>IF(AND(N($R21)&gt;0,$V21&lt;&gt;"Cancelado"),$R21+ROW()/1000000,"")</f>
        <v/>
      </c>
      <c r="AA21">
        <f>IF(AND(OR($V21="Pendiente",$V21="Preparando",$V21="Enviado"),N($U21)&gt;0),$U21+ROW()/1000000,"")</f>
        <v/>
      </c>
      <c r="AB21">
        <f>IF(AND($D21="",$G21=""),"",IF($V21="Cancelado",0,$L21))</f>
        <v/>
      </c>
    </row>
    <row r="22" ht="19" customHeight="1">
      <c r="B22" s="74">
        <f>IF(AND($D22="",$G22=""),"",ROW()-7)</f>
        <v/>
      </c>
      <c r="C22" s="75" t="n"/>
      <c r="D22" s="76" t="n"/>
      <c r="E22" s="77" t="n"/>
      <c r="F22" s="78">
        <f>IF($Y22="","",HYPERLINK("https://wa.me/"&amp;$Y22&amp;"?text="&amp;SUBSTITUTE("Hola "&amp;$D22&amp;", te escribo por tu pedido de "&amp;$G22&amp;"."," ","%20"),"Abrir chat"))</f>
        <v/>
      </c>
      <c r="G22" s="79" t="n"/>
      <c r="H22" s="80" t="n"/>
      <c r="I22" s="81" t="n"/>
      <c r="J22" s="81" t="n"/>
      <c r="K22" s="81" t="n"/>
      <c r="L22" s="82">
        <f>IF(AND($D22="",$G22=""),"",IF(N($H22)=0,1,$H22)*N($I22)-N($J22)+N($K22))</f>
        <v/>
      </c>
      <c r="M22" s="81" t="n"/>
      <c r="N22" s="81" t="n"/>
      <c r="O22" s="83">
        <f>IF(OR(AND($D22="",$G22=""),$M22="",$V22="Cancelado"),"",$L22-N($M22)-N($N22))</f>
        <v/>
      </c>
      <c r="P22" s="79" t="n"/>
      <c r="Q22" s="81" t="n"/>
      <c r="R22" s="82">
        <f>IF(AND($D22="",$G22=""),"",IF($V22="Cancelado",0,MAX(0,$L22-N($Q22))))</f>
        <v/>
      </c>
      <c r="S22" s="60">
        <f>IF(AND($D22="",$G22=""),"",IF($V22="Cancelado","Cancelado",IF($L22&lt;=0,"",IF(N($Q22)&gt;=$L22,"✔ Pagado",IF(N($Q22)&gt;0,"⚠ Pago parcial","✖ Sin pagar")))))</f>
        <v/>
      </c>
      <c r="T22" s="79" t="n"/>
      <c r="U22" s="75" t="n"/>
      <c r="V22" s="84" t="n"/>
      <c r="W22" s="61">
        <f>IF(AND($D22="",$G22=""),"",IF($C22="","⚠ Falta la fecha del pedido",IF($V22="","⚠ Elegí el estado de entrega",IF($V22="Cancelado","Cancelado",IF($V22="Entregado",IF($R22&gt;0,"⚠ Entregado: falta cobrar","✔ Cerrado"),IF(AND(N($U22)&gt;0,$U22&lt;TODAY()),"✖ Entrega atrasada ("&amp;(TODAY()-$U22)&amp;" d)","En curso"))))))</f>
        <v/>
      </c>
      <c r="X22" s="79" t="n"/>
      <c r="Y22">
        <f>IF($E22&amp;""="","",IF(LEFT(SUBSTITUTE(SUBSTITUTE(SUBSTITUTE(SUBSTITUTE(SUBSTITUTE($E22&amp;""," ",""),"-",""),"+",""),"(",""),")",""),1)="0",PaisCod&amp;MID(SUBSTITUTE(SUBSTITUTE(SUBSTITUTE(SUBSTITUTE(SUBSTITUTE($E22&amp;""," ",""),"-",""),"+",""),"(",""),")",""),2,20),SUBSTITUTE(SUBSTITUTE(SUBSTITUTE(SUBSTITUTE(SUBSTITUTE($E22&amp;""," ",""),"-",""),"+",""),"(",""),")","")))</f>
        <v/>
      </c>
      <c r="Z22">
        <f>IF(AND(N($R22)&gt;0,$V22&lt;&gt;"Cancelado"),$R22+ROW()/1000000,"")</f>
        <v/>
      </c>
      <c r="AA22">
        <f>IF(AND(OR($V22="Pendiente",$V22="Preparando",$V22="Enviado"),N($U22)&gt;0),$U22+ROW()/1000000,"")</f>
        <v/>
      </c>
      <c r="AB22">
        <f>IF(AND($D22="",$G22=""),"",IF($V22="Cancelado",0,$L22))</f>
        <v/>
      </c>
    </row>
    <row r="23" ht="19" customHeight="1">
      <c r="B23" s="85">
        <f>IF(AND($D23="",$G23=""),"",ROW()-7)</f>
        <v/>
      </c>
      <c r="C23" s="75" t="n"/>
      <c r="D23" s="76" t="n"/>
      <c r="E23" s="77" t="n"/>
      <c r="F23" s="86">
        <f>IF($Y23="","",HYPERLINK("https://wa.me/"&amp;$Y23&amp;"?text="&amp;SUBSTITUTE("Hola "&amp;$D23&amp;", te escribo por tu pedido de "&amp;$G23&amp;"."," ","%20"),"Abrir chat"))</f>
        <v/>
      </c>
      <c r="G23" s="79" t="n"/>
      <c r="H23" s="80" t="n"/>
      <c r="I23" s="81" t="n"/>
      <c r="J23" s="81" t="n"/>
      <c r="K23" s="81" t="n"/>
      <c r="L23" s="82">
        <f>IF(AND($D23="",$G23=""),"",IF(N($H23)=0,1,$H23)*N($I23)-N($J23)+N($K23))</f>
        <v/>
      </c>
      <c r="M23" s="81" t="n"/>
      <c r="N23" s="81" t="n"/>
      <c r="O23" s="87">
        <f>IF(OR(AND($D23="",$G23=""),$M23="",$V23="Cancelado"),"",$L23-N($M23)-N($N23))</f>
        <v/>
      </c>
      <c r="P23" s="79" t="n"/>
      <c r="Q23" s="81" t="n"/>
      <c r="R23" s="82">
        <f>IF(AND($D23="",$G23=""),"",IF($V23="Cancelado",0,MAX(0,$L23-N($Q23))))</f>
        <v/>
      </c>
      <c r="S23" s="63">
        <f>IF(AND($D23="",$G23=""),"",IF($V23="Cancelado","Cancelado",IF($L23&lt;=0,"",IF(N($Q23)&gt;=$L23,"✔ Pagado",IF(N($Q23)&gt;0,"⚠ Pago parcial","✖ Sin pagar")))))</f>
        <v/>
      </c>
      <c r="T23" s="79" t="n"/>
      <c r="U23" s="75" t="n"/>
      <c r="V23" s="84" t="n"/>
      <c r="W23" s="64">
        <f>IF(AND($D23="",$G23=""),"",IF($C23="","⚠ Falta la fecha del pedido",IF($V23="","⚠ Elegí el estado de entrega",IF($V23="Cancelado","Cancelado",IF($V23="Entregado",IF($R23&gt;0,"⚠ Entregado: falta cobrar","✔ Cerrado"),IF(AND(N($U23)&gt;0,$U23&lt;TODAY()),"✖ Entrega atrasada ("&amp;(TODAY()-$U23)&amp;" d)","En curso"))))))</f>
        <v/>
      </c>
      <c r="X23" s="79" t="n"/>
      <c r="Y23">
        <f>IF($E23&amp;""="","",IF(LEFT(SUBSTITUTE(SUBSTITUTE(SUBSTITUTE(SUBSTITUTE(SUBSTITUTE($E23&amp;""," ",""),"-",""),"+",""),"(",""),")",""),1)="0",PaisCod&amp;MID(SUBSTITUTE(SUBSTITUTE(SUBSTITUTE(SUBSTITUTE(SUBSTITUTE($E23&amp;""," ",""),"-",""),"+",""),"(",""),")",""),2,20),SUBSTITUTE(SUBSTITUTE(SUBSTITUTE(SUBSTITUTE(SUBSTITUTE($E23&amp;""," ",""),"-",""),"+",""),"(",""),")","")))</f>
        <v/>
      </c>
      <c r="Z23">
        <f>IF(AND(N($R23)&gt;0,$V23&lt;&gt;"Cancelado"),$R23+ROW()/1000000,"")</f>
        <v/>
      </c>
      <c r="AA23">
        <f>IF(AND(OR($V23="Pendiente",$V23="Preparando",$V23="Enviado"),N($U23)&gt;0),$U23+ROW()/1000000,"")</f>
        <v/>
      </c>
      <c r="AB23">
        <f>IF(AND($D23="",$G23=""),"",IF($V23="Cancelado",0,$L23))</f>
        <v/>
      </c>
    </row>
    <row r="24" ht="19" customHeight="1">
      <c r="B24" s="74">
        <f>IF(AND($D24="",$G24=""),"",ROW()-7)</f>
        <v/>
      </c>
      <c r="C24" s="75" t="n"/>
      <c r="D24" s="76" t="n"/>
      <c r="E24" s="77" t="n"/>
      <c r="F24" s="78">
        <f>IF($Y24="","",HYPERLINK("https://wa.me/"&amp;$Y24&amp;"?text="&amp;SUBSTITUTE("Hola "&amp;$D24&amp;", te escribo por tu pedido de "&amp;$G24&amp;"."," ","%20"),"Abrir chat"))</f>
        <v/>
      </c>
      <c r="G24" s="79" t="n"/>
      <c r="H24" s="80" t="n"/>
      <c r="I24" s="81" t="n"/>
      <c r="J24" s="81" t="n"/>
      <c r="K24" s="81" t="n"/>
      <c r="L24" s="82">
        <f>IF(AND($D24="",$G24=""),"",IF(N($H24)=0,1,$H24)*N($I24)-N($J24)+N($K24))</f>
        <v/>
      </c>
      <c r="M24" s="81" t="n"/>
      <c r="N24" s="81" t="n"/>
      <c r="O24" s="83">
        <f>IF(OR(AND($D24="",$G24=""),$M24="",$V24="Cancelado"),"",$L24-N($M24)-N($N24))</f>
        <v/>
      </c>
      <c r="P24" s="79" t="n"/>
      <c r="Q24" s="81" t="n"/>
      <c r="R24" s="82">
        <f>IF(AND($D24="",$G24=""),"",IF($V24="Cancelado",0,MAX(0,$L24-N($Q24))))</f>
        <v/>
      </c>
      <c r="S24" s="60">
        <f>IF(AND($D24="",$G24=""),"",IF($V24="Cancelado","Cancelado",IF($L24&lt;=0,"",IF(N($Q24)&gt;=$L24,"✔ Pagado",IF(N($Q24)&gt;0,"⚠ Pago parcial","✖ Sin pagar")))))</f>
        <v/>
      </c>
      <c r="T24" s="79" t="n"/>
      <c r="U24" s="75" t="n"/>
      <c r="V24" s="84" t="n"/>
      <c r="W24" s="61">
        <f>IF(AND($D24="",$G24=""),"",IF($C24="","⚠ Falta la fecha del pedido",IF($V24="","⚠ Elegí el estado de entrega",IF($V24="Cancelado","Cancelado",IF($V24="Entregado",IF($R24&gt;0,"⚠ Entregado: falta cobrar","✔ Cerrado"),IF(AND(N($U24)&gt;0,$U24&lt;TODAY()),"✖ Entrega atrasada ("&amp;(TODAY()-$U24)&amp;" d)","En curso"))))))</f>
        <v/>
      </c>
      <c r="X24" s="79" t="n"/>
      <c r="Y24">
        <f>IF($E24&amp;""="","",IF(LEFT(SUBSTITUTE(SUBSTITUTE(SUBSTITUTE(SUBSTITUTE(SUBSTITUTE($E24&amp;""," ",""),"-",""),"+",""),"(",""),")",""),1)="0",PaisCod&amp;MID(SUBSTITUTE(SUBSTITUTE(SUBSTITUTE(SUBSTITUTE(SUBSTITUTE($E24&amp;""," ",""),"-",""),"+",""),"(",""),")",""),2,20),SUBSTITUTE(SUBSTITUTE(SUBSTITUTE(SUBSTITUTE(SUBSTITUTE($E24&amp;""," ",""),"-",""),"+",""),"(",""),")","")))</f>
        <v/>
      </c>
      <c r="Z24">
        <f>IF(AND(N($R24)&gt;0,$V24&lt;&gt;"Cancelado"),$R24+ROW()/1000000,"")</f>
        <v/>
      </c>
      <c r="AA24">
        <f>IF(AND(OR($V24="Pendiente",$V24="Preparando",$V24="Enviado"),N($U24)&gt;0),$U24+ROW()/1000000,"")</f>
        <v/>
      </c>
      <c r="AB24">
        <f>IF(AND($D24="",$G24=""),"",IF($V24="Cancelado",0,$L24))</f>
        <v/>
      </c>
    </row>
    <row r="25" ht="19" customHeight="1">
      <c r="B25" s="85">
        <f>IF(AND($D25="",$G25=""),"",ROW()-7)</f>
        <v/>
      </c>
      <c r="C25" s="75" t="n"/>
      <c r="D25" s="76" t="n"/>
      <c r="E25" s="77" t="n"/>
      <c r="F25" s="86">
        <f>IF($Y25="","",HYPERLINK("https://wa.me/"&amp;$Y25&amp;"?text="&amp;SUBSTITUTE("Hola "&amp;$D25&amp;", te escribo por tu pedido de "&amp;$G25&amp;"."," ","%20"),"Abrir chat"))</f>
        <v/>
      </c>
      <c r="G25" s="79" t="n"/>
      <c r="H25" s="80" t="n"/>
      <c r="I25" s="81" t="n"/>
      <c r="J25" s="81" t="n"/>
      <c r="K25" s="81" t="n"/>
      <c r="L25" s="82">
        <f>IF(AND($D25="",$G25=""),"",IF(N($H25)=0,1,$H25)*N($I25)-N($J25)+N($K25))</f>
        <v/>
      </c>
      <c r="M25" s="81" t="n"/>
      <c r="N25" s="81" t="n"/>
      <c r="O25" s="87">
        <f>IF(OR(AND($D25="",$G25=""),$M25="",$V25="Cancelado"),"",$L25-N($M25)-N($N25))</f>
        <v/>
      </c>
      <c r="P25" s="79" t="n"/>
      <c r="Q25" s="81" t="n"/>
      <c r="R25" s="82">
        <f>IF(AND($D25="",$G25=""),"",IF($V25="Cancelado",0,MAX(0,$L25-N($Q25))))</f>
        <v/>
      </c>
      <c r="S25" s="63">
        <f>IF(AND($D25="",$G25=""),"",IF($V25="Cancelado","Cancelado",IF($L25&lt;=0,"",IF(N($Q25)&gt;=$L25,"✔ Pagado",IF(N($Q25)&gt;0,"⚠ Pago parcial","✖ Sin pagar")))))</f>
        <v/>
      </c>
      <c r="T25" s="79" t="n"/>
      <c r="U25" s="75" t="n"/>
      <c r="V25" s="84" t="n"/>
      <c r="W25" s="64">
        <f>IF(AND($D25="",$G25=""),"",IF($C25="","⚠ Falta la fecha del pedido",IF($V25="","⚠ Elegí el estado de entrega",IF($V25="Cancelado","Cancelado",IF($V25="Entregado",IF($R25&gt;0,"⚠ Entregado: falta cobrar","✔ Cerrado"),IF(AND(N($U25)&gt;0,$U25&lt;TODAY()),"✖ Entrega atrasada ("&amp;(TODAY()-$U25)&amp;" d)","En curso"))))))</f>
        <v/>
      </c>
      <c r="X25" s="79" t="n"/>
      <c r="Y25">
        <f>IF($E25&amp;""="","",IF(LEFT(SUBSTITUTE(SUBSTITUTE(SUBSTITUTE(SUBSTITUTE(SUBSTITUTE($E25&amp;""," ",""),"-",""),"+",""),"(",""),")",""),1)="0",PaisCod&amp;MID(SUBSTITUTE(SUBSTITUTE(SUBSTITUTE(SUBSTITUTE(SUBSTITUTE($E25&amp;""," ",""),"-",""),"+",""),"(",""),")",""),2,20),SUBSTITUTE(SUBSTITUTE(SUBSTITUTE(SUBSTITUTE(SUBSTITUTE($E25&amp;""," ",""),"-",""),"+",""),"(",""),")","")))</f>
        <v/>
      </c>
      <c r="Z25">
        <f>IF(AND(N($R25)&gt;0,$V25&lt;&gt;"Cancelado"),$R25+ROW()/1000000,"")</f>
        <v/>
      </c>
      <c r="AA25">
        <f>IF(AND(OR($V25="Pendiente",$V25="Preparando",$V25="Enviado"),N($U25)&gt;0),$U25+ROW()/1000000,"")</f>
        <v/>
      </c>
      <c r="AB25">
        <f>IF(AND($D25="",$G25=""),"",IF($V25="Cancelado",0,$L25))</f>
        <v/>
      </c>
    </row>
    <row r="26" ht="19" customHeight="1">
      <c r="B26" s="74">
        <f>IF(AND($D26="",$G26=""),"",ROW()-7)</f>
        <v/>
      </c>
      <c r="C26" s="75" t="n"/>
      <c r="D26" s="76" t="n"/>
      <c r="E26" s="77" t="n"/>
      <c r="F26" s="78">
        <f>IF($Y26="","",HYPERLINK("https://wa.me/"&amp;$Y26&amp;"?text="&amp;SUBSTITUTE("Hola "&amp;$D26&amp;", te escribo por tu pedido de "&amp;$G26&amp;"."," ","%20"),"Abrir chat"))</f>
        <v/>
      </c>
      <c r="G26" s="79" t="n"/>
      <c r="H26" s="80" t="n"/>
      <c r="I26" s="81" t="n"/>
      <c r="J26" s="81" t="n"/>
      <c r="K26" s="81" t="n"/>
      <c r="L26" s="82">
        <f>IF(AND($D26="",$G26=""),"",IF(N($H26)=0,1,$H26)*N($I26)-N($J26)+N($K26))</f>
        <v/>
      </c>
      <c r="M26" s="81" t="n"/>
      <c r="N26" s="81" t="n"/>
      <c r="O26" s="83">
        <f>IF(OR(AND($D26="",$G26=""),$M26="",$V26="Cancelado"),"",$L26-N($M26)-N($N26))</f>
        <v/>
      </c>
      <c r="P26" s="79" t="n"/>
      <c r="Q26" s="81" t="n"/>
      <c r="R26" s="82">
        <f>IF(AND($D26="",$G26=""),"",IF($V26="Cancelado",0,MAX(0,$L26-N($Q26))))</f>
        <v/>
      </c>
      <c r="S26" s="60">
        <f>IF(AND($D26="",$G26=""),"",IF($V26="Cancelado","Cancelado",IF($L26&lt;=0,"",IF(N($Q26)&gt;=$L26,"✔ Pagado",IF(N($Q26)&gt;0,"⚠ Pago parcial","✖ Sin pagar")))))</f>
        <v/>
      </c>
      <c r="T26" s="79" t="n"/>
      <c r="U26" s="75" t="n"/>
      <c r="V26" s="84" t="n"/>
      <c r="W26" s="61">
        <f>IF(AND($D26="",$G26=""),"",IF($C26="","⚠ Falta la fecha del pedido",IF($V26="","⚠ Elegí el estado de entrega",IF($V26="Cancelado","Cancelado",IF($V26="Entregado",IF($R26&gt;0,"⚠ Entregado: falta cobrar","✔ Cerrado"),IF(AND(N($U26)&gt;0,$U26&lt;TODAY()),"✖ Entrega atrasada ("&amp;(TODAY()-$U26)&amp;" d)","En curso"))))))</f>
        <v/>
      </c>
      <c r="X26" s="79" t="n"/>
      <c r="Y26">
        <f>IF($E26&amp;""="","",IF(LEFT(SUBSTITUTE(SUBSTITUTE(SUBSTITUTE(SUBSTITUTE(SUBSTITUTE($E26&amp;""," ",""),"-",""),"+",""),"(",""),")",""),1)="0",PaisCod&amp;MID(SUBSTITUTE(SUBSTITUTE(SUBSTITUTE(SUBSTITUTE(SUBSTITUTE($E26&amp;""," ",""),"-",""),"+",""),"(",""),")",""),2,20),SUBSTITUTE(SUBSTITUTE(SUBSTITUTE(SUBSTITUTE(SUBSTITUTE($E26&amp;""," ",""),"-",""),"+",""),"(",""),")","")))</f>
        <v/>
      </c>
      <c r="Z26">
        <f>IF(AND(N($R26)&gt;0,$V26&lt;&gt;"Cancelado"),$R26+ROW()/1000000,"")</f>
        <v/>
      </c>
      <c r="AA26">
        <f>IF(AND(OR($V26="Pendiente",$V26="Preparando",$V26="Enviado"),N($U26)&gt;0),$U26+ROW()/1000000,"")</f>
        <v/>
      </c>
      <c r="AB26">
        <f>IF(AND($D26="",$G26=""),"",IF($V26="Cancelado",0,$L26))</f>
        <v/>
      </c>
    </row>
    <row r="27" ht="19" customHeight="1">
      <c r="B27" s="85">
        <f>IF(AND($D27="",$G27=""),"",ROW()-7)</f>
        <v/>
      </c>
      <c r="C27" s="75" t="n"/>
      <c r="D27" s="76" t="n"/>
      <c r="E27" s="77" t="n"/>
      <c r="F27" s="86">
        <f>IF($Y27="","",HYPERLINK("https://wa.me/"&amp;$Y27&amp;"?text="&amp;SUBSTITUTE("Hola "&amp;$D27&amp;", te escribo por tu pedido de "&amp;$G27&amp;"."," ","%20"),"Abrir chat"))</f>
        <v/>
      </c>
      <c r="G27" s="79" t="n"/>
      <c r="H27" s="80" t="n"/>
      <c r="I27" s="81" t="n"/>
      <c r="J27" s="81" t="n"/>
      <c r="K27" s="81" t="n"/>
      <c r="L27" s="82">
        <f>IF(AND($D27="",$G27=""),"",IF(N($H27)=0,1,$H27)*N($I27)-N($J27)+N($K27))</f>
        <v/>
      </c>
      <c r="M27" s="81" t="n"/>
      <c r="N27" s="81" t="n"/>
      <c r="O27" s="87">
        <f>IF(OR(AND($D27="",$G27=""),$M27="",$V27="Cancelado"),"",$L27-N($M27)-N($N27))</f>
        <v/>
      </c>
      <c r="P27" s="79" t="n"/>
      <c r="Q27" s="81" t="n"/>
      <c r="R27" s="82">
        <f>IF(AND($D27="",$G27=""),"",IF($V27="Cancelado",0,MAX(0,$L27-N($Q27))))</f>
        <v/>
      </c>
      <c r="S27" s="63">
        <f>IF(AND($D27="",$G27=""),"",IF($V27="Cancelado","Cancelado",IF($L27&lt;=0,"",IF(N($Q27)&gt;=$L27,"✔ Pagado",IF(N($Q27)&gt;0,"⚠ Pago parcial","✖ Sin pagar")))))</f>
        <v/>
      </c>
      <c r="T27" s="79" t="n"/>
      <c r="U27" s="75" t="n"/>
      <c r="V27" s="84" t="n"/>
      <c r="W27" s="64">
        <f>IF(AND($D27="",$G27=""),"",IF($C27="","⚠ Falta la fecha del pedido",IF($V27="","⚠ Elegí el estado de entrega",IF($V27="Cancelado","Cancelado",IF($V27="Entregado",IF($R27&gt;0,"⚠ Entregado: falta cobrar","✔ Cerrado"),IF(AND(N($U27)&gt;0,$U27&lt;TODAY()),"✖ Entrega atrasada ("&amp;(TODAY()-$U27)&amp;" d)","En curso"))))))</f>
        <v/>
      </c>
      <c r="X27" s="79" t="n"/>
      <c r="Y27">
        <f>IF($E27&amp;""="","",IF(LEFT(SUBSTITUTE(SUBSTITUTE(SUBSTITUTE(SUBSTITUTE(SUBSTITUTE($E27&amp;""," ",""),"-",""),"+",""),"(",""),")",""),1)="0",PaisCod&amp;MID(SUBSTITUTE(SUBSTITUTE(SUBSTITUTE(SUBSTITUTE(SUBSTITUTE($E27&amp;""," ",""),"-",""),"+",""),"(",""),")",""),2,20),SUBSTITUTE(SUBSTITUTE(SUBSTITUTE(SUBSTITUTE(SUBSTITUTE($E27&amp;""," ",""),"-",""),"+",""),"(",""),")","")))</f>
        <v/>
      </c>
      <c r="Z27">
        <f>IF(AND(N($R27)&gt;0,$V27&lt;&gt;"Cancelado"),$R27+ROW()/1000000,"")</f>
        <v/>
      </c>
      <c r="AA27">
        <f>IF(AND(OR($V27="Pendiente",$V27="Preparando",$V27="Enviado"),N($U27)&gt;0),$U27+ROW()/1000000,"")</f>
        <v/>
      </c>
      <c r="AB27">
        <f>IF(AND($D27="",$G27=""),"",IF($V27="Cancelado",0,$L27))</f>
        <v/>
      </c>
    </row>
    <row r="28" ht="19" customHeight="1">
      <c r="B28" s="74">
        <f>IF(AND($D28="",$G28=""),"",ROW()-7)</f>
        <v/>
      </c>
      <c r="C28" s="75" t="n"/>
      <c r="D28" s="76" t="n"/>
      <c r="E28" s="77" t="n"/>
      <c r="F28" s="78">
        <f>IF($Y28="","",HYPERLINK("https://wa.me/"&amp;$Y28&amp;"?text="&amp;SUBSTITUTE("Hola "&amp;$D28&amp;", te escribo por tu pedido de "&amp;$G28&amp;"."," ","%20"),"Abrir chat"))</f>
        <v/>
      </c>
      <c r="G28" s="79" t="n"/>
      <c r="H28" s="80" t="n"/>
      <c r="I28" s="81" t="n"/>
      <c r="J28" s="81" t="n"/>
      <c r="K28" s="81" t="n"/>
      <c r="L28" s="82">
        <f>IF(AND($D28="",$G28=""),"",IF(N($H28)=0,1,$H28)*N($I28)-N($J28)+N($K28))</f>
        <v/>
      </c>
      <c r="M28" s="81" t="n"/>
      <c r="N28" s="81" t="n"/>
      <c r="O28" s="83">
        <f>IF(OR(AND($D28="",$G28=""),$M28="",$V28="Cancelado"),"",$L28-N($M28)-N($N28))</f>
        <v/>
      </c>
      <c r="P28" s="79" t="n"/>
      <c r="Q28" s="81" t="n"/>
      <c r="R28" s="82">
        <f>IF(AND($D28="",$G28=""),"",IF($V28="Cancelado",0,MAX(0,$L28-N($Q28))))</f>
        <v/>
      </c>
      <c r="S28" s="60">
        <f>IF(AND($D28="",$G28=""),"",IF($V28="Cancelado","Cancelado",IF($L28&lt;=0,"",IF(N($Q28)&gt;=$L28,"✔ Pagado",IF(N($Q28)&gt;0,"⚠ Pago parcial","✖ Sin pagar")))))</f>
        <v/>
      </c>
      <c r="T28" s="79" t="n"/>
      <c r="U28" s="75" t="n"/>
      <c r="V28" s="84" t="n"/>
      <c r="W28" s="61">
        <f>IF(AND($D28="",$G28=""),"",IF($C28="","⚠ Falta la fecha del pedido",IF($V28="","⚠ Elegí el estado de entrega",IF($V28="Cancelado","Cancelado",IF($V28="Entregado",IF($R28&gt;0,"⚠ Entregado: falta cobrar","✔ Cerrado"),IF(AND(N($U28)&gt;0,$U28&lt;TODAY()),"✖ Entrega atrasada ("&amp;(TODAY()-$U28)&amp;" d)","En curso"))))))</f>
        <v/>
      </c>
      <c r="X28" s="79" t="n"/>
      <c r="Y28">
        <f>IF($E28&amp;""="","",IF(LEFT(SUBSTITUTE(SUBSTITUTE(SUBSTITUTE(SUBSTITUTE(SUBSTITUTE($E28&amp;""," ",""),"-",""),"+",""),"(",""),")",""),1)="0",PaisCod&amp;MID(SUBSTITUTE(SUBSTITUTE(SUBSTITUTE(SUBSTITUTE(SUBSTITUTE($E28&amp;""," ",""),"-",""),"+",""),"(",""),")",""),2,20),SUBSTITUTE(SUBSTITUTE(SUBSTITUTE(SUBSTITUTE(SUBSTITUTE($E28&amp;""," ",""),"-",""),"+",""),"(",""),")","")))</f>
        <v/>
      </c>
      <c r="Z28">
        <f>IF(AND(N($R28)&gt;0,$V28&lt;&gt;"Cancelado"),$R28+ROW()/1000000,"")</f>
        <v/>
      </c>
      <c r="AA28">
        <f>IF(AND(OR($V28="Pendiente",$V28="Preparando",$V28="Enviado"),N($U28)&gt;0),$U28+ROW()/1000000,"")</f>
        <v/>
      </c>
      <c r="AB28">
        <f>IF(AND($D28="",$G28=""),"",IF($V28="Cancelado",0,$L28))</f>
        <v/>
      </c>
    </row>
    <row r="29" ht="19" customHeight="1">
      <c r="B29" s="85">
        <f>IF(AND($D29="",$G29=""),"",ROW()-7)</f>
        <v/>
      </c>
      <c r="C29" s="75" t="n"/>
      <c r="D29" s="76" t="n"/>
      <c r="E29" s="77" t="n"/>
      <c r="F29" s="86">
        <f>IF($Y29="","",HYPERLINK("https://wa.me/"&amp;$Y29&amp;"?text="&amp;SUBSTITUTE("Hola "&amp;$D29&amp;", te escribo por tu pedido de "&amp;$G29&amp;"."," ","%20"),"Abrir chat"))</f>
        <v/>
      </c>
      <c r="G29" s="79" t="n"/>
      <c r="H29" s="80" t="n"/>
      <c r="I29" s="81" t="n"/>
      <c r="J29" s="81" t="n"/>
      <c r="K29" s="81" t="n"/>
      <c r="L29" s="82">
        <f>IF(AND($D29="",$G29=""),"",IF(N($H29)=0,1,$H29)*N($I29)-N($J29)+N($K29))</f>
        <v/>
      </c>
      <c r="M29" s="81" t="n"/>
      <c r="N29" s="81" t="n"/>
      <c r="O29" s="87">
        <f>IF(OR(AND($D29="",$G29=""),$M29="",$V29="Cancelado"),"",$L29-N($M29)-N($N29))</f>
        <v/>
      </c>
      <c r="P29" s="79" t="n"/>
      <c r="Q29" s="81" t="n"/>
      <c r="R29" s="82">
        <f>IF(AND($D29="",$G29=""),"",IF($V29="Cancelado",0,MAX(0,$L29-N($Q29))))</f>
        <v/>
      </c>
      <c r="S29" s="63">
        <f>IF(AND($D29="",$G29=""),"",IF($V29="Cancelado","Cancelado",IF($L29&lt;=0,"",IF(N($Q29)&gt;=$L29,"✔ Pagado",IF(N($Q29)&gt;0,"⚠ Pago parcial","✖ Sin pagar")))))</f>
        <v/>
      </c>
      <c r="T29" s="79" t="n"/>
      <c r="U29" s="75" t="n"/>
      <c r="V29" s="84" t="n"/>
      <c r="W29" s="64">
        <f>IF(AND($D29="",$G29=""),"",IF($C29="","⚠ Falta la fecha del pedido",IF($V29="","⚠ Elegí el estado de entrega",IF($V29="Cancelado","Cancelado",IF($V29="Entregado",IF($R29&gt;0,"⚠ Entregado: falta cobrar","✔ Cerrado"),IF(AND(N($U29)&gt;0,$U29&lt;TODAY()),"✖ Entrega atrasada ("&amp;(TODAY()-$U29)&amp;" d)","En curso"))))))</f>
        <v/>
      </c>
      <c r="X29" s="79" t="n"/>
      <c r="Y29">
        <f>IF($E29&amp;""="","",IF(LEFT(SUBSTITUTE(SUBSTITUTE(SUBSTITUTE(SUBSTITUTE(SUBSTITUTE($E29&amp;""," ",""),"-",""),"+",""),"(",""),")",""),1)="0",PaisCod&amp;MID(SUBSTITUTE(SUBSTITUTE(SUBSTITUTE(SUBSTITUTE(SUBSTITUTE($E29&amp;""," ",""),"-",""),"+",""),"(",""),")",""),2,20),SUBSTITUTE(SUBSTITUTE(SUBSTITUTE(SUBSTITUTE(SUBSTITUTE($E29&amp;""," ",""),"-",""),"+",""),"(",""),")","")))</f>
        <v/>
      </c>
      <c r="Z29">
        <f>IF(AND(N($R29)&gt;0,$V29&lt;&gt;"Cancelado"),$R29+ROW()/1000000,"")</f>
        <v/>
      </c>
      <c r="AA29">
        <f>IF(AND(OR($V29="Pendiente",$V29="Preparando",$V29="Enviado"),N($U29)&gt;0),$U29+ROW()/1000000,"")</f>
        <v/>
      </c>
      <c r="AB29">
        <f>IF(AND($D29="",$G29=""),"",IF($V29="Cancelado",0,$L29))</f>
        <v/>
      </c>
    </row>
    <row r="30" ht="19" customHeight="1">
      <c r="B30" s="74">
        <f>IF(AND($D30="",$G30=""),"",ROW()-7)</f>
        <v/>
      </c>
      <c r="C30" s="75" t="n"/>
      <c r="D30" s="76" t="n"/>
      <c r="E30" s="77" t="n"/>
      <c r="F30" s="78">
        <f>IF($Y30="","",HYPERLINK("https://wa.me/"&amp;$Y30&amp;"?text="&amp;SUBSTITUTE("Hola "&amp;$D30&amp;", te escribo por tu pedido de "&amp;$G30&amp;"."," ","%20"),"Abrir chat"))</f>
        <v/>
      </c>
      <c r="G30" s="79" t="n"/>
      <c r="H30" s="80" t="n"/>
      <c r="I30" s="81" t="n"/>
      <c r="J30" s="81" t="n"/>
      <c r="K30" s="81" t="n"/>
      <c r="L30" s="82">
        <f>IF(AND($D30="",$G30=""),"",IF(N($H30)=0,1,$H30)*N($I30)-N($J30)+N($K30))</f>
        <v/>
      </c>
      <c r="M30" s="81" t="n"/>
      <c r="N30" s="81" t="n"/>
      <c r="O30" s="83">
        <f>IF(OR(AND($D30="",$G30=""),$M30="",$V30="Cancelado"),"",$L30-N($M30)-N($N30))</f>
        <v/>
      </c>
      <c r="P30" s="79" t="n"/>
      <c r="Q30" s="81" t="n"/>
      <c r="R30" s="82">
        <f>IF(AND($D30="",$G30=""),"",IF($V30="Cancelado",0,MAX(0,$L30-N($Q30))))</f>
        <v/>
      </c>
      <c r="S30" s="60">
        <f>IF(AND($D30="",$G30=""),"",IF($V30="Cancelado","Cancelado",IF($L30&lt;=0,"",IF(N($Q30)&gt;=$L30,"✔ Pagado",IF(N($Q30)&gt;0,"⚠ Pago parcial","✖ Sin pagar")))))</f>
        <v/>
      </c>
      <c r="T30" s="79" t="n"/>
      <c r="U30" s="75" t="n"/>
      <c r="V30" s="84" t="n"/>
      <c r="W30" s="61">
        <f>IF(AND($D30="",$G30=""),"",IF($C30="","⚠ Falta la fecha del pedido",IF($V30="","⚠ Elegí el estado de entrega",IF($V30="Cancelado","Cancelado",IF($V30="Entregado",IF($R30&gt;0,"⚠ Entregado: falta cobrar","✔ Cerrado"),IF(AND(N($U30)&gt;0,$U30&lt;TODAY()),"✖ Entrega atrasada ("&amp;(TODAY()-$U30)&amp;" d)","En curso"))))))</f>
        <v/>
      </c>
      <c r="X30" s="79" t="n"/>
      <c r="Y30">
        <f>IF($E30&amp;""="","",IF(LEFT(SUBSTITUTE(SUBSTITUTE(SUBSTITUTE(SUBSTITUTE(SUBSTITUTE($E30&amp;""," ",""),"-",""),"+",""),"(",""),")",""),1)="0",PaisCod&amp;MID(SUBSTITUTE(SUBSTITUTE(SUBSTITUTE(SUBSTITUTE(SUBSTITUTE($E30&amp;""," ",""),"-",""),"+",""),"(",""),")",""),2,20),SUBSTITUTE(SUBSTITUTE(SUBSTITUTE(SUBSTITUTE(SUBSTITUTE($E30&amp;""," ",""),"-",""),"+",""),"(",""),")","")))</f>
        <v/>
      </c>
      <c r="Z30">
        <f>IF(AND(N($R30)&gt;0,$V30&lt;&gt;"Cancelado"),$R30+ROW()/1000000,"")</f>
        <v/>
      </c>
      <c r="AA30">
        <f>IF(AND(OR($V30="Pendiente",$V30="Preparando",$V30="Enviado"),N($U30)&gt;0),$U30+ROW()/1000000,"")</f>
        <v/>
      </c>
      <c r="AB30">
        <f>IF(AND($D30="",$G30=""),"",IF($V30="Cancelado",0,$L30))</f>
        <v/>
      </c>
    </row>
    <row r="31" ht="19" customHeight="1">
      <c r="B31" s="85">
        <f>IF(AND($D31="",$G31=""),"",ROW()-7)</f>
        <v/>
      </c>
      <c r="C31" s="75" t="n"/>
      <c r="D31" s="76" t="n"/>
      <c r="E31" s="77" t="n"/>
      <c r="F31" s="86">
        <f>IF($Y31="","",HYPERLINK("https://wa.me/"&amp;$Y31&amp;"?text="&amp;SUBSTITUTE("Hola "&amp;$D31&amp;", te escribo por tu pedido de "&amp;$G31&amp;"."," ","%20"),"Abrir chat"))</f>
        <v/>
      </c>
      <c r="G31" s="79" t="n"/>
      <c r="H31" s="80" t="n"/>
      <c r="I31" s="81" t="n"/>
      <c r="J31" s="81" t="n"/>
      <c r="K31" s="81" t="n"/>
      <c r="L31" s="82">
        <f>IF(AND($D31="",$G31=""),"",IF(N($H31)=0,1,$H31)*N($I31)-N($J31)+N($K31))</f>
        <v/>
      </c>
      <c r="M31" s="81" t="n"/>
      <c r="N31" s="81" t="n"/>
      <c r="O31" s="87">
        <f>IF(OR(AND($D31="",$G31=""),$M31="",$V31="Cancelado"),"",$L31-N($M31)-N($N31))</f>
        <v/>
      </c>
      <c r="P31" s="79" t="n"/>
      <c r="Q31" s="81" t="n"/>
      <c r="R31" s="82">
        <f>IF(AND($D31="",$G31=""),"",IF($V31="Cancelado",0,MAX(0,$L31-N($Q31))))</f>
        <v/>
      </c>
      <c r="S31" s="63">
        <f>IF(AND($D31="",$G31=""),"",IF($V31="Cancelado","Cancelado",IF($L31&lt;=0,"",IF(N($Q31)&gt;=$L31,"✔ Pagado",IF(N($Q31)&gt;0,"⚠ Pago parcial","✖ Sin pagar")))))</f>
        <v/>
      </c>
      <c r="T31" s="79" t="n"/>
      <c r="U31" s="75" t="n"/>
      <c r="V31" s="84" t="n"/>
      <c r="W31" s="64">
        <f>IF(AND($D31="",$G31=""),"",IF($C31="","⚠ Falta la fecha del pedido",IF($V31="","⚠ Elegí el estado de entrega",IF($V31="Cancelado","Cancelado",IF($V31="Entregado",IF($R31&gt;0,"⚠ Entregado: falta cobrar","✔ Cerrado"),IF(AND(N($U31)&gt;0,$U31&lt;TODAY()),"✖ Entrega atrasada ("&amp;(TODAY()-$U31)&amp;" d)","En curso"))))))</f>
        <v/>
      </c>
      <c r="X31" s="79" t="n"/>
      <c r="Y31">
        <f>IF($E31&amp;""="","",IF(LEFT(SUBSTITUTE(SUBSTITUTE(SUBSTITUTE(SUBSTITUTE(SUBSTITUTE($E31&amp;""," ",""),"-",""),"+",""),"(",""),")",""),1)="0",PaisCod&amp;MID(SUBSTITUTE(SUBSTITUTE(SUBSTITUTE(SUBSTITUTE(SUBSTITUTE($E31&amp;""," ",""),"-",""),"+",""),"(",""),")",""),2,20),SUBSTITUTE(SUBSTITUTE(SUBSTITUTE(SUBSTITUTE(SUBSTITUTE($E31&amp;""," ",""),"-",""),"+",""),"(",""),")","")))</f>
        <v/>
      </c>
      <c r="Z31">
        <f>IF(AND(N($R31)&gt;0,$V31&lt;&gt;"Cancelado"),$R31+ROW()/1000000,"")</f>
        <v/>
      </c>
      <c r="AA31">
        <f>IF(AND(OR($V31="Pendiente",$V31="Preparando",$V31="Enviado"),N($U31)&gt;0),$U31+ROW()/1000000,"")</f>
        <v/>
      </c>
      <c r="AB31">
        <f>IF(AND($D31="",$G31=""),"",IF($V31="Cancelado",0,$L31))</f>
        <v/>
      </c>
    </row>
    <row r="32" ht="19" customHeight="1">
      <c r="B32" s="74">
        <f>IF(AND($D32="",$G32=""),"",ROW()-7)</f>
        <v/>
      </c>
      <c r="C32" s="75" t="n"/>
      <c r="D32" s="76" t="n"/>
      <c r="E32" s="77" t="n"/>
      <c r="F32" s="78">
        <f>IF($Y32="","",HYPERLINK("https://wa.me/"&amp;$Y32&amp;"?text="&amp;SUBSTITUTE("Hola "&amp;$D32&amp;", te escribo por tu pedido de "&amp;$G32&amp;"."," ","%20"),"Abrir chat"))</f>
        <v/>
      </c>
      <c r="G32" s="79" t="n"/>
      <c r="H32" s="80" t="n"/>
      <c r="I32" s="81" t="n"/>
      <c r="J32" s="81" t="n"/>
      <c r="K32" s="81" t="n"/>
      <c r="L32" s="82">
        <f>IF(AND($D32="",$G32=""),"",IF(N($H32)=0,1,$H32)*N($I32)-N($J32)+N($K32))</f>
        <v/>
      </c>
      <c r="M32" s="81" t="n"/>
      <c r="N32" s="81" t="n"/>
      <c r="O32" s="83">
        <f>IF(OR(AND($D32="",$G32=""),$M32="",$V32="Cancelado"),"",$L32-N($M32)-N($N32))</f>
        <v/>
      </c>
      <c r="P32" s="79" t="n"/>
      <c r="Q32" s="81" t="n"/>
      <c r="R32" s="82">
        <f>IF(AND($D32="",$G32=""),"",IF($V32="Cancelado",0,MAX(0,$L32-N($Q32))))</f>
        <v/>
      </c>
      <c r="S32" s="60">
        <f>IF(AND($D32="",$G32=""),"",IF($V32="Cancelado","Cancelado",IF($L32&lt;=0,"",IF(N($Q32)&gt;=$L32,"✔ Pagado",IF(N($Q32)&gt;0,"⚠ Pago parcial","✖ Sin pagar")))))</f>
        <v/>
      </c>
      <c r="T32" s="79" t="n"/>
      <c r="U32" s="75" t="n"/>
      <c r="V32" s="84" t="n"/>
      <c r="W32" s="61">
        <f>IF(AND($D32="",$G32=""),"",IF($C32="","⚠ Falta la fecha del pedido",IF($V32="","⚠ Elegí el estado de entrega",IF($V32="Cancelado","Cancelado",IF($V32="Entregado",IF($R32&gt;0,"⚠ Entregado: falta cobrar","✔ Cerrado"),IF(AND(N($U32)&gt;0,$U32&lt;TODAY()),"✖ Entrega atrasada ("&amp;(TODAY()-$U32)&amp;" d)","En curso"))))))</f>
        <v/>
      </c>
      <c r="X32" s="79" t="n"/>
      <c r="Y32">
        <f>IF($E32&amp;""="","",IF(LEFT(SUBSTITUTE(SUBSTITUTE(SUBSTITUTE(SUBSTITUTE(SUBSTITUTE($E32&amp;""," ",""),"-",""),"+",""),"(",""),")",""),1)="0",PaisCod&amp;MID(SUBSTITUTE(SUBSTITUTE(SUBSTITUTE(SUBSTITUTE(SUBSTITUTE($E32&amp;""," ",""),"-",""),"+",""),"(",""),")",""),2,20),SUBSTITUTE(SUBSTITUTE(SUBSTITUTE(SUBSTITUTE(SUBSTITUTE($E32&amp;""," ",""),"-",""),"+",""),"(",""),")","")))</f>
        <v/>
      </c>
      <c r="Z32">
        <f>IF(AND(N($R32)&gt;0,$V32&lt;&gt;"Cancelado"),$R32+ROW()/1000000,"")</f>
        <v/>
      </c>
      <c r="AA32">
        <f>IF(AND(OR($V32="Pendiente",$V32="Preparando",$V32="Enviado"),N($U32)&gt;0),$U32+ROW()/1000000,"")</f>
        <v/>
      </c>
      <c r="AB32">
        <f>IF(AND($D32="",$G32=""),"",IF($V32="Cancelado",0,$L32))</f>
        <v/>
      </c>
    </row>
    <row r="33" ht="19" customHeight="1">
      <c r="B33" s="85">
        <f>IF(AND($D33="",$G33=""),"",ROW()-7)</f>
        <v/>
      </c>
      <c r="C33" s="75" t="n"/>
      <c r="D33" s="76" t="n"/>
      <c r="E33" s="77" t="n"/>
      <c r="F33" s="86">
        <f>IF($Y33="","",HYPERLINK("https://wa.me/"&amp;$Y33&amp;"?text="&amp;SUBSTITUTE("Hola "&amp;$D33&amp;", te escribo por tu pedido de "&amp;$G33&amp;"."," ","%20"),"Abrir chat"))</f>
        <v/>
      </c>
      <c r="G33" s="79" t="n"/>
      <c r="H33" s="80" t="n"/>
      <c r="I33" s="81" t="n"/>
      <c r="J33" s="81" t="n"/>
      <c r="K33" s="81" t="n"/>
      <c r="L33" s="82">
        <f>IF(AND($D33="",$G33=""),"",IF(N($H33)=0,1,$H33)*N($I33)-N($J33)+N($K33))</f>
        <v/>
      </c>
      <c r="M33" s="81" t="n"/>
      <c r="N33" s="81" t="n"/>
      <c r="O33" s="87">
        <f>IF(OR(AND($D33="",$G33=""),$M33="",$V33="Cancelado"),"",$L33-N($M33)-N($N33))</f>
        <v/>
      </c>
      <c r="P33" s="79" t="n"/>
      <c r="Q33" s="81" t="n"/>
      <c r="R33" s="82">
        <f>IF(AND($D33="",$G33=""),"",IF($V33="Cancelado",0,MAX(0,$L33-N($Q33))))</f>
        <v/>
      </c>
      <c r="S33" s="63">
        <f>IF(AND($D33="",$G33=""),"",IF($V33="Cancelado","Cancelado",IF($L33&lt;=0,"",IF(N($Q33)&gt;=$L33,"✔ Pagado",IF(N($Q33)&gt;0,"⚠ Pago parcial","✖ Sin pagar")))))</f>
        <v/>
      </c>
      <c r="T33" s="79" t="n"/>
      <c r="U33" s="75" t="n"/>
      <c r="V33" s="84" t="n"/>
      <c r="W33" s="64">
        <f>IF(AND($D33="",$G33=""),"",IF($C33="","⚠ Falta la fecha del pedido",IF($V33="","⚠ Elegí el estado de entrega",IF($V33="Cancelado","Cancelado",IF($V33="Entregado",IF($R33&gt;0,"⚠ Entregado: falta cobrar","✔ Cerrado"),IF(AND(N($U33)&gt;0,$U33&lt;TODAY()),"✖ Entrega atrasada ("&amp;(TODAY()-$U33)&amp;" d)","En curso"))))))</f>
        <v/>
      </c>
      <c r="X33" s="79" t="n"/>
      <c r="Y33">
        <f>IF($E33&amp;""="","",IF(LEFT(SUBSTITUTE(SUBSTITUTE(SUBSTITUTE(SUBSTITUTE(SUBSTITUTE($E33&amp;""," ",""),"-",""),"+",""),"(",""),")",""),1)="0",PaisCod&amp;MID(SUBSTITUTE(SUBSTITUTE(SUBSTITUTE(SUBSTITUTE(SUBSTITUTE($E33&amp;""," ",""),"-",""),"+",""),"(",""),")",""),2,20),SUBSTITUTE(SUBSTITUTE(SUBSTITUTE(SUBSTITUTE(SUBSTITUTE($E33&amp;""," ",""),"-",""),"+",""),"(",""),")","")))</f>
        <v/>
      </c>
      <c r="Z33">
        <f>IF(AND(N($R33)&gt;0,$V33&lt;&gt;"Cancelado"),$R33+ROW()/1000000,"")</f>
        <v/>
      </c>
      <c r="AA33">
        <f>IF(AND(OR($V33="Pendiente",$V33="Preparando",$V33="Enviado"),N($U33)&gt;0),$U33+ROW()/1000000,"")</f>
        <v/>
      </c>
      <c r="AB33">
        <f>IF(AND($D33="",$G33=""),"",IF($V33="Cancelado",0,$L33))</f>
        <v/>
      </c>
    </row>
    <row r="34" ht="19" customHeight="1">
      <c r="B34" s="74">
        <f>IF(AND($D34="",$G34=""),"",ROW()-7)</f>
        <v/>
      </c>
      <c r="C34" s="75" t="n"/>
      <c r="D34" s="76" t="n"/>
      <c r="E34" s="77" t="n"/>
      <c r="F34" s="78">
        <f>IF($Y34="","",HYPERLINK("https://wa.me/"&amp;$Y34&amp;"?text="&amp;SUBSTITUTE("Hola "&amp;$D34&amp;", te escribo por tu pedido de "&amp;$G34&amp;"."," ","%20"),"Abrir chat"))</f>
        <v/>
      </c>
      <c r="G34" s="79" t="n"/>
      <c r="H34" s="80" t="n"/>
      <c r="I34" s="81" t="n"/>
      <c r="J34" s="81" t="n"/>
      <c r="K34" s="81" t="n"/>
      <c r="L34" s="82">
        <f>IF(AND($D34="",$G34=""),"",IF(N($H34)=0,1,$H34)*N($I34)-N($J34)+N($K34))</f>
        <v/>
      </c>
      <c r="M34" s="81" t="n"/>
      <c r="N34" s="81" t="n"/>
      <c r="O34" s="83">
        <f>IF(OR(AND($D34="",$G34=""),$M34="",$V34="Cancelado"),"",$L34-N($M34)-N($N34))</f>
        <v/>
      </c>
      <c r="P34" s="79" t="n"/>
      <c r="Q34" s="81" t="n"/>
      <c r="R34" s="82">
        <f>IF(AND($D34="",$G34=""),"",IF($V34="Cancelado",0,MAX(0,$L34-N($Q34))))</f>
        <v/>
      </c>
      <c r="S34" s="60">
        <f>IF(AND($D34="",$G34=""),"",IF($V34="Cancelado","Cancelado",IF($L34&lt;=0,"",IF(N($Q34)&gt;=$L34,"✔ Pagado",IF(N($Q34)&gt;0,"⚠ Pago parcial","✖ Sin pagar")))))</f>
        <v/>
      </c>
      <c r="T34" s="79" t="n"/>
      <c r="U34" s="75" t="n"/>
      <c r="V34" s="84" t="n"/>
      <c r="W34" s="61">
        <f>IF(AND($D34="",$G34=""),"",IF($C34="","⚠ Falta la fecha del pedido",IF($V34="","⚠ Elegí el estado de entrega",IF($V34="Cancelado","Cancelado",IF($V34="Entregado",IF($R34&gt;0,"⚠ Entregado: falta cobrar","✔ Cerrado"),IF(AND(N($U34)&gt;0,$U34&lt;TODAY()),"✖ Entrega atrasada ("&amp;(TODAY()-$U34)&amp;" d)","En curso"))))))</f>
        <v/>
      </c>
      <c r="X34" s="79" t="n"/>
      <c r="Y34">
        <f>IF($E34&amp;""="","",IF(LEFT(SUBSTITUTE(SUBSTITUTE(SUBSTITUTE(SUBSTITUTE(SUBSTITUTE($E34&amp;""," ",""),"-",""),"+",""),"(",""),")",""),1)="0",PaisCod&amp;MID(SUBSTITUTE(SUBSTITUTE(SUBSTITUTE(SUBSTITUTE(SUBSTITUTE($E34&amp;""," ",""),"-",""),"+",""),"(",""),")",""),2,20),SUBSTITUTE(SUBSTITUTE(SUBSTITUTE(SUBSTITUTE(SUBSTITUTE($E34&amp;""," ",""),"-",""),"+",""),"(",""),")","")))</f>
        <v/>
      </c>
      <c r="Z34">
        <f>IF(AND(N($R34)&gt;0,$V34&lt;&gt;"Cancelado"),$R34+ROW()/1000000,"")</f>
        <v/>
      </c>
      <c r="AA34">
        <f>IF(AND(OR($V34="Pendiente",$V34="Preparando",$V34="Enviado"),N($U34)&gt;0),$U34+ROW()/1000000,"")</f>
        <v/>
      </c>
      <c r="AB34">
        <f>IF(AND($D34="",$G34=""),"",IF($V34="Cancelado",0,$L34))</f>
        <v/>
      </c>
    </row>
    <row r="35" ht="19" customHeight="1">
      <c r="B35" s="85">
        <f>IF(AND($D35="",$G35=""),"",ROW()-7)</f>
        <v/>
      </c>
      <c r="C35" s="75" t="n"/>
      <c r="D35" s="76" t="n"/>
      <c r="E35" s="77" t="n"/>
      <c r="F35" s="86">
        <f>IF($Y35="","",HYPERLINK("https://wa.me/"&amp;$Y35&amp;"?text="&amp;SUBSTITUTE("Hola "&amp;$D35&amp;", te escribo por tu pedido de "&amp;$G35&amp;"."," ","%20"),"Abrir chat"))</f>
        <v/>
      </c>
      <c r="G35" s="79" t="n"/>
      <c r="H35" s="80" t="n"/>
      <c r="I35" s="81" t="n"/>
      <c r="J35" s="81" t="n"/>
      <c r="K35" s="81" t="n"/>
      <c r="L35" s="82">
        <f>IF(AND($D35="",$G35=""),"",IF(N($H35)=0,1,$H35)*N($I35)-N($J35)+N($K35))</f>
        <v/>
      </c>
      <c r="M35" s="81" t="n"/>
      <c r="N35" s="81" t="n"/>
      <c r="O35" s="87">
        <f>IF(OR(AND($D35="",$G35=""),$M35="",$V35="Cancelado"),"",$L35-N($M35)-N($N35))</f>
        <v/>
      </c>
      <c r="P35" s="79" t="n"/>
      <c r="Q35" s="81" t="n"/>
      <c r="R35" s="82">
        <f>IF(AND($D35="",$G35=""),"",IF($V35="Cancelado",0,MAX(0,$L35-N($Q35))))</f>
        <v/>
      </c>
      <c r="S35" s="63">
        <f>IF(AND($D35="",$G35=""),"",IF($V35="Cancelado","Cancelado",IF($L35&lt;=0,"",IF(N($Q35)&gt;=$L35,"✔ Pagado",IF(N($Q35)&gt;0,"⚠ Pago parcial","✖ Sin pagar")))))</f>
        <v/>
      </c>
      <c r="T35" s="79" t="n"/>
      <c r="U35" s="75" t="n"/>
      <c r="V35" s="84" t="n"/>
      <c r="W35" s="64">
        <f>IF(AND($D35="",$G35=""),"",IF($C35="","⚠ Falta la fecha del pedido",IF($V35="","⚠ Elegí el estado de entrega",IF($V35="Cancelado","Cancelado",IF($V35="Entregado",IF($R35&gt;0,"⚠ Entregado: falta cobrar","✔ Cerrado"),IF(AND(N($U35)&gt;0,$U35&lt;TODAY()),"✖ Entrega atrasada ("&amp;(TODAY()-$U35)&amp;" d)","En curso"))))))</f>
        <v/>
      </c>
      <c r="X35" s="79" t="n"/>
      <c r="Y35">
        <f>IF($E35&amp;""="","",IF(LEFT(SUBSTITUTE(SUBSTITUTE(SUBSTITUTE(SUBSTITUTE(SUBSTITUTE($E35&amp;""," ",""),"-",""),"+",""),"(",""),")",""),1)="0",PaisCod&amp;MID(SUBSTITUTE(SUBSTITUTE(SUBSTITUTE(SUBSTITUTE(SUBSTITUTE($E35&amp;""," ",""),"-",""),"+",""),"(",""),")",""),2,20),SUBSTITUTE(SUBSTITUTE(SUBSTITUTE(SUBSTITUTE(SUBSTITUTE($E35&amp;""," ",""),"-",""),"+",""),"(",""),")","")))</f>
        <v/>
      </c>
      <c r="Z35">
        <f>IF(AND(N($R35)&gt;0,$V35&lt;&gt;"Cancelado"),$R35+ROW()/1000000,"")</f>
        <v/>
      </c>
      <c r="AA35">
        <f>IF(AND(OR($V35="Pendiente",$V35="Preparando",$V35="Enviado"),N($U35)&gt;0),$U35+ROW()/1000000,"")</f>
        <v/>
      </c>
      <c r="AB35">
        <f>IF(AND($D35="",$G35=""),"",IF($V35="Cancelado",0,$L35))</f>
        <v/>
      </c>
    </row>
    <row r="36" ht="19" customHeight="1">
      <c r="B36" s="74">
        <f>IF(AND($D36="",$G36=""),"",ROW()-7)</f>
        <v/>
      </c>
      <c r="C36" s="75" t="n"/>
      <c r="D36" s="76" t="n"/>
      <c r="E36" s="77" t="n"/>
      <c r="F36" s="78">
        <f>IF($Y36="","",HYPERLINK("https://wa.me/"&amp;$Y36&amp;"?text="&amp;SUBSTITUTE("Hola "&amp;$D36&amp;", te escribo por tu pedido de "&amp;$G36&amp;"."," ","%20"),"Abrir chat"))</f>
        <v/>
      </c>
      <c r="G36" s="79" t="n"/>
      <c r="H36" s="80" t="n"/>
      <c r="I36" s="81" t="n"/>
      <c r="J36" s="81" t="n"/>
      <c r="K36" s="81" t="n"/>
      <c r="L36" s="82">
        <f>IF(AND($D36="",$G36=""),"",IF(N($H36)=0,1,$H36)*N($I36)-N($J36)+N($K36))</f>
        <v/>
      </c>
      <c r="M36" s="81" t="n"/>
      <c r="N36" s="81" t="n"/>
      <c r="O36" s="83">
        <f>IF(OR(AND($D36="",$G36=""),$M36="",$V36="Cancelado"),"",$L36-N($M36)-N($N36))</f>
        <v/>
      </c>
      <c r="P36" s="79" t="n"/>
      <c r="Q36" s="81" t="n"/>
      <c r="R36" s="82">
        <f>IF(AND($D36="",$G36=""),"",IF($V36="Cancelado",0,MAX(0,$L36-N($Q36))))</f>
        <v/>
      </c>
      <c r="S36" s="60">
        <f>IF(AND($D36="",$G36=""),"",IF($V36="Cancelado","Cancelado",IF($L36&lt;=0,"",IF(N($Q36)&gt;=$L36,"✔ Pagado",IF(N($Q36)&gt;0,"⚠ Pago parcial","✖ Sin pagar")))))</f>
        <v/>
      </c>
      <c r="T36" s="79" t="n"/>
      <c r="U36" s="75" t="n"/>
      <c r="V36" s="84" t="n"/>
      <c r="W36" s="61">
        <f>IF(AND($D36="",$G36=""),"",IF($C36="","⚠ Falta la fecha del pedido",IF($V36="","⚠ Elegí el estado de entrega",IF($V36="Cancelado","Cancelado",IF($V36="Entregado",IF($R36&gt;0,"⚠ Entregado: falta cobrar","✔ Cerrado"),IF(AND(N($U36)&gt;0,$U36&lt;TODAY()),"✖ Entrega atrasada ("&amp;(TODAY()-$U36)&amp;" d)","En curso"))))))</f>
        <v/>
      </c>
      <c r="X36" s="79" t="n"/>
      <c r="Y36">
        <f>IF($E36&amp;""="","",IF(LEFT(SUBSTITUTE(SUBSTITUTE(SUBSTITUTE(SUBSTITUTE(SUBSTITUTE($E36&amp;""," ",""),"-",""),"+",""),"(",""),")",""),1)="0",PaisCod&amp;MID(SUBSTITUTE(SUBSTITUTE(SUBSTITUTE(SUBSTITUTE(SUBSTITUTE($E36&amp;""," ",""),"-",""),"+",""),"(",""),")",""),2,20),SUBSTITUTE(SUBSTITUTE(SUBSTITUTE(SUBSTITUTE(SUBSTITUTE($E36&amp;""," ",""),"-",""),"+",""),"(",""),")","")))</f>
        <v/>
      </c>
      <c r="Z36">
        <f>IF(AND(N($R36)&gt;0,$V36&lt;&gt;"Cancelado"),$R36+ROW()/1000000,"")</f>
        <v/>
      </c>
      <c r="AA36">
        <f>IF(AND(OR($V36="Pendiente",$V36="Preparando",$V36="Enviado"),N($U36)&gt;0),$U36+ROW()/1000000,"")</f>
        <v/>
      </c>
      <c r="AB36">
        <f>IF(AND($D36="",$G36=""),"",IF($V36="Cancelado",0,$L36))</f>
        <v/>
      </c>
    </row>
    <row r="37" ht="19" customHeight="1">
      <c r="B37" s="85">
        <f>IF(AND($D37="",$G37=""),"",ROW()-7)</f>
        <v/>
      </c>
      <c r="C37" s="75" t="n"/>
      <c r="D37" s="76" t="n"/>
      <c r="E37" s="77" t="n"/>
      <c r="F37" s="86">
        <f>IF($Y37="","",HYPERLINK("https://wa.me/"&amp;$Y37&amp;"?text="&amp;SUBSTITUTE("Hola "&amp;$D37&amp;", te escribo por tu pedido de "&amp;$G37&amp;"."," ","%20"),"Abrir chat"))</f>
        <v/>
      </c>
      <c r="G37" s="79" t="n"/>
      <c r="H37" s="80" t="n"/>
      <c r="I37" s="81" t="n"/>
      <c r="J37" s="81" t="n"/>
      <c r="K37" s="81" t="n"/>
      <c r="L37" s="82">
        <f>IF(AND($D37="",$G37=""),"",IF(N($H37)=0,1,$H37)*N($I37)-N($J37)+N($K37))</f>
        <v/>
      </c>
      <c r="M37" s="81" t="n"/>
      <c r="N37" s="81" t="n"/>
      <c r="O37" s="87">
        <f>IF(OR(AND($D37="",$G37=""),$M37="",$V37="Cancelado"),"",$L37-N($M37)-N($N37))</f>
        <v/>
      </c>
      <c r="P37" s="79" t="n"/>
      <c r="Q37" s="81" t="n"/>
      <c r="R37" s="82">
        <f>IF(AND($D37="",$G37=""),"",IF($V37="Cancelado",0,MAX(0,$L37-N($Q37))))</f>
        <v/>
      </c>
      <c r="S37" s="63">
        <f>IF(AND($D37="",$G37=""),"",IF($V37="Cancelado","Cancelado",IF($L37&lt;=0,"",IF(N($Q37)&gt;=$L37,"✔ Pagado",IF(N($Q37)&gt;0,"⚠ Pago parcial","✖ Sin pagar")))))</f>
        <v/>
      </c>
      <c r="T37" s="79" t="n"/>
      <c r="U37" s="75" t="n"/>
      <c r="V37" s="84" t="n"/>
      <c r="W37" s="64">
        <f>IF(AND($D37="",$G37=""),"",IF($C37="","⚠ Falta la fecha del pedido",IF($V37="","⚠ Elegí el estado de entrega",IF($V37="Cancelado","Cancelado",IF($V37="Entregado",IF($R37&gt;0,"⚠ Entregado: falta cobrar","✔ Cerrado"),IF(AND(N($U37)&gt;0,$U37&lt;TODAY()),"✖ Entrega atrasada ("&amp;(TODAY()-$U37)&amp;" d)","En curso"))))))</f>
        <v/>
      </c>
      <c r="X37" s="79" t="n"/>
      <c r="Y37">
        <f>IF($E37&amp;""="","",IF(LEFT(SUBSTITUTE(SUBSTITUTE(SUBSTITUTE(SUBSTITUTE(SUBSTITUTE($E37&amp;""," ",""),"-",""),"+",""),"(",""),")",""),1)="0",PaisCod&amp;MID(SUBSTITUTE(SUBSTITUTE(SUBSTITUTE(SUBSTITUTE(SUBSTITUTE($E37&amp;""," ",""),"-",""),"+",""),"(",""),")",""),2,20),SUBSTITUTE(SUBSTITUTE(SUBSTITUTE(SUBSTITUTE(SUBSTITUTE($E37&amp;""," ",""),"-",""),"+",""),"(",""),")","")))</f>
        <v/>
      </c>
      <c r="Z37">
        <f>IF(AND(N($R37)&gt;0,$V37&lt;&gt;"Cancelado"),$R37+ROW()/1000000,"")</f>
        <v/>
      </c>
      <c r="AA37">
        <f>IF(AND(OR($V37="Pendiente",$V37="Preparando",$V37="Enviado"),N($U37)&gt;0),$U37+ROW()/1000000,"")</f>
        <v/>
      </c>
      <c r="AB37">
        <f>IF(AND($D37="",$G37=""),"",IF($V37="Cancelado",0,$L37))</f>
        <v/>
      </c>
    </row>
    <row r="38" ht="19" customHeight="1">
      <c r="B38" s="74">
        <f>IF(AND($D38="",$G38=""),"",ROW()-7)</f>
        <v/>
      </c>
      <c r="C38" s="75" t="n"/>
      <c r="D38" s="76" t="n"/>
      <c r="E38" s="77" t="n"/>
      <c r="F38" s="78">
        <f>IF($Y38="","",HYPERLINK("https://wa.me/"&amp;$Y38&amp;"?text="&amp;SUBSTITUTE("Hola "&amp;$D38&amp;", te escribo por tu pedido de "&amp;$G38&amp;"."," ","%20"),"Abrir chat"))</f>
        <v/>
      </c>
      <c r="G38" s="79" t="n"/>
      <c r="H38" s="80" t="n"/>
      <c r="I38" s="81" t="n"/>
      <c r="J38" s="81" t="n"/>
      <c r="K38" s="81" t="n"/>
      <c r="L38" s="82">
        <f>IF(AND($D38="",$G38=""),"",IF(N($H38)=0,1,$H38)*N($I38)-N($J38)+N($K38))</f>
        <v/>
      </c>
      <c r="M38" s="81" t="n"/>
      <c r="N38" s="81" t="n"/>
      <c r="O38" s="83">
        <f>IF(OR(AND($D38="",$G38=""),$M38="",$V38="Cancelado"),"",$L38-N($M38)-N($N38))</f>
        <v/>
      </c>
      <c r="P38" s="79" t="n"/>
      <c r="Q38" s="81" t="n"/>
      <c r="R38" s="82">
        <f>IF(AND($D38="",$G38=""),"",IF($V38="Cancelado",0,MAX(0,$L38-N($Q38))))</f>
        <v/>
      </c>
      <c r="S38" s="60">
        <f>IF(AND($D38="",$G38=""),"",IF($V38="Cancelado","Cancelado",IF($L38&lt;=0,"",IF(N($Q38)&gt;=$L38,"✔ Pagado",IF(N($Q38)&gt;0,"⚠ Pago parcial","✖ Sin pagar")))))</f>
        <v/>
      </c>
      <c r="T38" s="79" t="n"/>
      <c r="U38" s="75" t="n"/>
      <c r="V38" s="84" t="n"/>
      <c r="W38" s="61">
        <f>IF(AND($D38="",$G38=""),"",IF($C38="","⚠ Falta la fecha del pedido",IF($V38="","⚠ Elegí el estado de entrega",IF($V38="Cancelado","Cancelado",IF($V38="Entregado",IF($R38&gt;0,"⚠ Entregado: falta cobrar","✔ Cerrado"),IF(AND(N($U38)&gt;0,$U38&lt;TODAY()),"✖ Entrega atrasada ("&amp;(TODAY()-$U38)&amp;" d)","En curso"))))))</f>
        <v/>
      </c>
      <c r="X38" s="79" t="n"/>
      <c r="Y38">
        <f>IF($E38&amp;""="","",IF(LEFT(SUBSTITUTE(SUBSTITUTE(SUBSTITUTE(SUBSTITUTE(SUBSTITUTE($E38&amp;""," ",""),"-",""),"+",""),"(",""),")",""),1)="0",PaisCod&amp;MID(SUBSTITUTE(SUBSTITUTE(SUBSTITUTE(SUBSTITUTE(SUBSTITUTE($E38&amp;""," ",""),"-",""),"+",""),"(",""),")",""),2,20),SUBSTITUTE(SUBSTITUTE(SUBSTITUTE(SUBSTITUTE(SUBSTITUTE($E38&amp;""," ",""),"-",""),"+",""),"(",""),")","")))</f>
        <v/>
      </c>
      <c r="Z38">
        <f>IF(AND(N($R38)&gt;0,$V38&lt;&gt;"Cancelado"),$R38+ROW()/1000000,"")</f>
        <v/>
      </c>
      <c r="AA38">
        <f>IF(AND(OR($V38="Pendiente",$V38="Preparando",$V38="Enviado"),N($U38)&gt;0),$U38+ROW()/1000000,"")</f>
        <v/>
      </c>
      <c r="AB38">
        <f>IF(AND($D38="",$G38=""),"",IF($V38="Cancelado",0,$L38))</f>
        <v/>
      </c>
    </row>
    <row r="39" ht="19" customHeight="1">
      <c r="B39" s="85">
        <f>IF(AND($D39="",$G39=""),"",ROW()-7)</f>
        <v/>
      </c>
      <c r="C39" s="75" t="n"/>
      <c r="D39" s="76" t="n"/>
      <c r="E39" s="77" t="n"/>
      <c r="F39" s="86">
        <f>IF($Y39="","",HYPERLINK("https://wa.me/"&amp;$Y39&amp;"?text="&amp;SUBSTITUTE("Hola "&amp;$D39&amp;", te escribo por tu pedido de "&amp;$G39&amp;"."," ","%20"),"Abrir chat"))</f>
        <v/>
      </c>
      <c r="G39" s="79" t="n"/>
      <c r="H39" s="80" t="n"/>
      <c r="I39" s="81" t="n"/>
      <c r="J39" s="81" t="n"/>
      <c r="K39" s="81" t="n"/>
      <c r="L39" s="82">
        <f>IF(AND($D39="",$G39=""),"",IF(N($H39)=0,1,$H39)*N($I39)-N($J39)+N($K39))</f>
        <v/>
      </c>
      <c r="M39" s="81" t="n"/>
      <c r="N39" s="81" t="n"/>
      <c r="O39" s="87">
        <f>IF(OR(AND($D39="",$G39=""),$M39="",$V39="Cancelado"),"",$L39-N($M39)-N($N39))</f>
        <v/>
      </c>
      <c r="P39" s="79" t="n"/>
      <c r="Q39" s="81" t="n"/>
      <c r="R39" s="82">
        <f>IF(AND($D39="",$G39=""),"",IF($V39="Cancelado",0,MAX(0,$L39-N($Q39))))</f>
        <v/>
      </c>
      <c r="S39" s="63">
        <f>IF(AND($D39="",$G39=""),"",IF($V39="Cancelado","Cancelado",IF($L39&lt;=0,"",IF(N($Q39)&gt;=$L39,"✔ Pagado",IF(N($Q39)&gt;0,"⚠ Pago parcial","✖ Sin pagar")))))</f>
        <v/>
      </c>
      <c r="T39" s="79" t="n"/>
      <c r="U39" s="75" t="n"/>
      <c r="V39" s="84" t="n"/>
      <c r="W39" s="64">
        <f>IF(AND($D39="",$G39=""),"",IF($C39="","⚠ Falta la fecha del pedido",IF($V39="","⚠ Elegí el estado de entrega",IF($V39="Cancelado","Cancelado",IF($V39="Entregado",IF($R39&gt;0,"⚠ Entregado: falta cobrar","✔ Cerrado"),IF(AND(N($U39)&gt;0,$U39&lt;TODAY()),"✖ Entrega atrasada ("&amp;(TODAY()-$U39)&amp;" d)","En curso"))))))</f>
        <v/>
      </c>
      <c r="X39" s="79" t="n"/>
      <c r="Y39">
        <f>IF($E39&amp;""="","",IF(LEFT(SUBSTITUTE(SUBSTITUTE(SUBSTITUTE(SUBSTITUTE(SUBSTITUTE($E39&amp;""," ",""),"-",""),"+",""),"(",""),")",""),1)="0",PaisCod&amp;MID(SUBSTITUTE(SUBSTITUTE(SUBSTITUTE(SUBSTITUTE(SUBSTITUTE($E39&amp;""," ",""),"-",""),"+",""),"(",""),")",""),2,20),SUBSTITUTE(SUBSTITUTE(SUBSTITUTE(SUBSTITUTE(SUBSTITUTE($E39&amp;""," ",""),"-",""),"+",""),"(",""),")","")))</f>
        <v/>
      </c>
      <c r="Z39">
        <f>IF(AND(N($R39)&gt;0,$V39&lt;&gt;"Cancelado"),$R39+ROW()/1000000,"")</f>
        <v/>
      </c>
      <c r="AA39">
        <f>IF(AND(OR($V39="Pendiente",$V39="Preparando",$V39="Enviado"),N($U39)&gt;0),$U39+ROW()/1000000,"")</f>
        <v/>
      </c>
      <c r="AB39">
        <f>IF(AND($D39="",$G39=""),"",IF($V39="Cancelado",0,$L39))</f>
        <v/>
      </c>
    </row>
    <row r="40" ht="19" customHeight="1">
      <c r="B40" s="74">
        <f>IF(AND($D40="",$G40=""),"",ROW()-7)</f>
        <v/>
      </c>
      <c r="C40" s="75" t="n"/>
      <c r="D40" s="76" t="n"/>
      <c r="E40" s="77" t="n"/>
      <c r="F40" s="78">
        <f>IF($Y40="","",HYPERLINK("https://wa.me/"&amp;$Y40&amp;"?text="&amp;SUBSTITUTE("Hola "&amp;$D40&amp;", te escribo por tu pedido de "&amp;$G40&amp;"."," ","%20"),"Abrir chat"))</f>
        <v/>
      </c>
      <c r="G40" s="79" t="n"/>
      <c r="H40" s="80" t="n"/>
      <c r="I40" s="81" t="n"/>
      <c r="J40" s="81" t="n"/>
      <c r="K40" s="81" t="n"/>
      <c r="L40" s="82">
        <f>IF(AND($D40="",$G40=""),"",IF(N($H40)=0,1,$H40)*N($I40)-N($J40)+N($K40))</f>
        <v/>
      </c>
      <c r="M40" s="81" t="n"/>
      <c r="N40" s="81" t="n"/>
      <c r="O40" s="83">
        <f>IF(OR(AND($D40="",$G40=""),$M40="",$V40="Cancelado"),"",$L40-N($M40)-N($N40))</f>
        <v/>
      </c>
      <c r="P40" s="79" t="n"/>
      <c r="Q40" s="81" t="n"/>
      <c r="R40" s="82">
        <f>IF(AND($D40="",$G40=""),"",IF($V40="Cancelado",0,MAX(0,$L40-N($Q40))))</f>
        <v/>
      </c>
      <c r="S40" s="60">
        <f>IF(AND($D40="",$G40=""),"",IF($V40="Cancelado","Cancelado",IF($L40&lt;=0,"",IF(N($Q40)&gt;=$L40,"✔ Pagado",IF(N($Q40)&gt;0,"⚠ Pago parcial","✖ Sin pagar")))))</f>
        <v/>
      </c>
      <c r="T40" s="79" t="n"/>
      <c r="U40" s="75" t="n"/>
      <c r="V40" s="84" t="n"/>
      <c r="W40" s="61">
        <f>IF(AND($D40="",$G40=""),"",IF($C40="","⚠ Falta la fecha del pedido",IF($V40="","⚠ Elegí el estado de entrega",IF($V40="Cancelado","Cancelado",IF($V40="Entregado",IF($R40&gt;0,"⚠ Entregado: falta cobrar","✔ Cerrado"),IF(AND(N($U40)&gt;0,$U40&lt;TODAY()),"✖ Entrega atrasada ("&amp;(TODAY()-$U40)&amp;" d)","En curso"))))))</f>
        <v/>
      </c>
      <c r="X40" s="79" t="n"/>
      <c r="Y40">
        <f>IF($E40&amp;""="","",IF(LEFT(SUBSTITUTE(SUBSTITUTE(SUBSTITUTE(SUBSTITUTE(SUBSTITUTE($E40&amp;""," ",""),"-",""),"+",""),"(",""),")",""),1)="0",PaisCod&amp;MID(SUBSTITUTE(SUBSTITUTE(SUBSTITUTE(SUBSTITUTE(SUBSTITUTE($E40&amp;""," ",""),"-",""),"+",""),"(",""),")",""),2,20),SUBSTITUTE(SUBSTITUTE(SUBSTITUTE(SUBSTITUTE(SUBSTITUTE($E40&amp;""," ",""),"-",""),"+",""),"(",""),")","")))</f>
        <v/>
      </c>
      <c r="Z40">
        <f>IF(AND(N($R40)&gt;0,$V40&lt;&gt;"Cancelado"),$R40+ROW()/1000000,"")</f>
        <v/>
      </c>
      <c r="AA40">
        <f>IF(AND(OR($V40="Pendiente",$V40="Preparando",$V40="Enviado"),N($U40)&gt;0),$U40+ROW()/1000000,"")</f>
        <v/>
      </c>
      <c r="AB40">
        <f>IF(AND($D40="",$G40=""),"",IF($V40="Cancelado",0,$L40))</f>
        <v/>
      </c>
    </row>
    <row r="41" ht="19" customHeight="1">
      <c r="B41" s="85">
        <f>IF(AND($D41="",$G41=""),"",ROW()-7)</f>
        <v/>
      </c>
      <c r="C41" s="75" t="n"/>
      <c r="D41" s="76" t="n"/>
      <c r="E41" s="77" t="n"/>
      <c r="F41" s="86">
        <f>IF($Y41="","",HYPERLINK("https://wa.me/"&amp;$Y41&amp;"?text="&amp;SUBSTITUTE("Hola "&amp;$D41&amp;", te escribo por tu pedido de "&amp;$G41&amp;"."," ","%20"),"Abrir chat"))</f>
        <v/>
      </c>
      <c r="G41" s="79" t="n"/>
      <c r="H41" s="80" t="n"/>
      <c r="I41" s="81" t="n"/>
      <c r="J41" s="81" t="n"/>
      <c r="K41" s="81" t="n"/>
      <c r="L41" s="82">
        <f>IF(AND($D41="",$G41=""),"",IF(N($H41)=0,1,$H41)*N($I41)-N($J41)+N($K41))</f>
        <v/>
      </c>
      <c r="M41" s="81" t="n"/>
      <c r="N41" s="81" t="n"/>
      <c r="O41" s="87">
        <f>IF(OR(AND($D41="",$G41=""),$M41="",$V41="Cancelado"),"",$L41-N($M41)-N($N41))</f>
        <v/>
      </c>
      <c r="P41" s="79" t="n"/>
      <c r="Q41" s="81" t="n"/>
      <c r="R41" s="82">
        <f>IF(AND($D41="",$G41=""),"",IF($V41="Cancelado",0,MAX(0,$L41-N($Q41))))</f>
        <v/>
      </c>
      <c r="S41" s="63">
        <f>IF(AND($D41="",$G41=""),"",IF($V41="Cancelado","Cancelado",IF($L41&lt;=0,"",IF(N($Q41)&gt;=$L41,"✔ Pagado",IF(N($Q41)&gt;0,"⚠ Pago parcial","✖ Sin pagar")))))</f>
        <v/>
      </c>
      <c r="T41" s="79" t="n"/>
      <c r="U41" s="75" t="n"/>
      <c r="V41" s="84" t="n"/>
      <c r="W41" s="64">
        <f>IF(AND($D41="",$G41=""),"",IF($C41="","⚠ Falta la fecha del pedido",IF($V41="","⚠ Elegí el estado de entrega",IF($V41="Cancelado","Cancelado",IF($V41="Entregado",IF($R41&gt;0,"⚠ Entregado: falta cobrar","✔ Cerrado"),IF(AND(N($U41)&gt;0,$U41&lt;TODAY()),"✖ Entrega atrasada ("&amp;(TODAY()-$U41)&amp;" d)","En curso"))))))</f>
        <v/>
      </c>
      <c r="X41" s="79" t="n"/>
      <c r="Y41">
        <f>IF($E41&amp;""="","",IF(LEFT(SUBSTITUTE(SUBSTITUTE(SUBSTITUTE(SUBSTITUTE(SUBSTITUTE($E41&amp;""," ",""),"-",""),"+",""),"(",""),")",""),1)="0",PaisCod&amp;MID(SUBSTITUTE(SUBSTITUTE(SUBSTITUTE(SUBSTITUTE(SUBSTITUTE($E41&amp;""," ",""),"-",""),"+",""),"(",""),")",""),2,20),SUBSTITUTE(SUBSTITUTE(SUBSTITUTE(SUBSTITUTE(SUBSTITUTE($E41&amp;""," ",""),"-",""),"+",""),"(",""),")","")))</f>
        <v/>
      </c>
      <c r="Z41">
        <f>IF(AND(N($R41)&gt;0,$V41&lt;&gt;"Cancelado"),$R41+ROW()/1000000,"")</f>
        <v/>
      </c>
      <c r="AA41">
        <f>IF(AND(OR($V41="Pendiente",$V41="Preparando",$V41="Enviado"),N($U41)&gt;0),$U41+ROW()/1000000,"")</f>
        <v/>
      </c>
      <c r="AB41">
        <f>IF(AND($D41="",$G41=""),"",IF($V41="Cancelado",0,$L41))</f>
        <v/>
      </c>
    </row>
    <row r="42" ht="19" customHeight="1">
      <c r="B42" s="74">
        <f>IF(AND($D42="",$G42=""),"",ROW()-7)</f>
        <v/>
      </c>
      <c r="C42" s="75" t="n"/>
      <c r="D42" s="76" t="n"/>
      <c r="E42" s="77" t="n"/>
      <c r="F42" s="78">
        <f>IF($Y42="","",HYPERLINK("https://wa.me/"&amp;$Y42&amp;"?text="&amp;SUBSTITUTE("Hola "&amp;$D42&amp;", te escribo por tu pedido de "&amp;$G42&amp;"."," ","%20"),"Abrir chat"))</f>
        <v/>
      </c>
      <c r="G42" s="79" t="n"/>
      <c r="H42" s="80" t="n"/>
      <c r="I42" s="81" t="n"/>
      <c r="J42" s="81" t="n"/>
      <c r="K42" s="81" t="n"/>
      <c r="L42" s="82">
        <f>IF(AND($D42="",$G42=""),"",IF(N($H42)=0,1,$H42)*N($I42)-N($J42)+N($K42))</f>
        <v/>
      </c>
      <c r="M42" s="81" t="n"/>
      <c r="N42" s="81" t="n"/>
      <c r="O42" s="83">
        <f>IF(OR(AND($D42="",$G42=""),$M42="",$V42="Cancelado"),"",$L42-N($M42)-N($N42))</f>
        <v/>
      </c>
      <c r="P42" s="79" t="n"/>
      <c r="Q42" s="81" t="n"/>
      <c r="R42" s="82">
        <f>IF(AND($D42="",$G42=""),"",IF($V42="Cancelado",0,MAX(0,$L42-N($Q42))))</f>
        <v/>
      </c>
      <c r="S42" s="60">
        <f>IF(AND($D42="",$G42=""),"",IF($V42="Cancelado","Cancelado",IF($L42&lt;=0,"",IF(N($Q42)&gt;=$L42,"✔ Pagado",IF(N($Q42)&gt;0,"⚠ Pago parcial","✖ Sin pagar")))))</f>
        <v/>
      </c>
      <c r="T42" s="79" t="n"/>
      <c r="U42" s="75" t="n"/>
      <c r="V42" s="84" t="n"/>
      <c r="W42" s="61">
        <f>IF(AND($D42="",$G42=""),"",IF($C42="","⚠ Falta la fecha del pedido",IF($V42="","⚠ Elegí el estado de entrega",IF($V42="Cancelado","Cancelado",IF($V42="Entregado",IF($R42&gt;0,"⚠ Entregado: falta cobrar","✔ Cerrado"),IF(AND(N($U42)&gt;0,$U42&lt;TODAY()),"✖ Entrega atrasada ("&amp;(TODAY()-$U42)&amp;" d)","En curso"))))))</f>
        <v/>
      </c>
      <c r="X42" s="79" t="n"/>
      <c r="Y42">
        <f>IF($E42&amp;""="","",IF(LEFT(SUBSTITUTE(SUBSTITUTE(SUBSTITUTE(SUBSTITUTE(SUBSTITUTE($E42&amp;""," ",""),"-",""),"+",""),"(",""),")",""),1)="0",PaisCod&amp;MID(SUBSTITUTE(SUBSTITUTE(SUBSTITUTE(SUBSTITUTE(SUBSTITUTE($E42&amp;""," ",""),"-",""),"+",""),"(",""),")",""),2,20),SUBSTITUTE(SUBSTITUTE(SUBSTITUTE(SUBSTITUTE(SUBSTITUTE($E42&amp;""," ",""),"-",""),"+",""),"(",""),")","")))</f>
        <v/>
      </c>
      <c r="Z42">
        <f>IF(AND(N($R42)&gt;0,$V42&lt;&gt;"Cancelado"),$R42+ROW()/1000000,"")</f>
        <v/>
      </c>
      <c r="AA42">
        <f>IF(AND(OR($V42="Pendiente",$V42="Preparando",$V42="Enviado"),N($U42)&gt;0),$U42+ROW()/1000000,"")</f>
        <v/>
      </c>
      <c r="AB42">
        <f>IF(AND($D42="",$G42=""),"",IF($V42="Cancelado",0,$L42))</f>
        <v/>
      </c>
    </row>
    <row r="43" ht="19" customHeight="1">
      <c r="B43" s="85">
        <f>IF(AND($D43="",$G43=""),"",ROW()-7)</f>
        <v/>
      </c>
      <c r="C43" s="75" t="n"/>
      <c r="D43" s="76" t="n"/>
      <c r="E43" s="77" t="n"/>
      <c r="F43" s="86">
        <f>IF($Y43="","",HYPERLINK("https://wa.me/"&amp;$Y43&amp;"?text="&amp;SUBSTITUTE("Hola "&amp;$D43&amp;", te escribo por tu pedido de "&amp;$G43&amp;"."," ","%20"),"Abrir chat"))</f>
        <v/>
      </c>
      <c r="G43" s="79" t="n"/>
      <c r="H43" s="80" t="n"/>
      <c r="I43" s="81" t="n"/>
      <c r="J43" s="81" t="n"/>
      <c r="K43" s="81" t="n"/>
      <c r="L43" s="82">
        <f>IF(AND($D43="",$G43=""),"",IF(N($H43)=0,1,$H43)*N($I43)-N($J43)+N($K43))</f>
        <v/>
      </c>
      <c r="M43" s="81" t="n"/>
      <c r="N43" s="81" t="n"/>
      <c r="O43" s="87">
        <f>IF(OR(AND($D43="",$G43=""),$M43="",$V43="Cancelado"),"",$L43-N($M43)-N($N43))</f>
        <v/>
      </c>
      <c r="P43" s="79" t="n"/>
      <c r="Q43" s="81" t="n"/>
      <c r="R43" s="82">
        <f>IF(AND($D43="",$G43=""),"",IF($V43="Cancelado",0,MAX(0,$L43-N($Q43))))</f>
        <v/>
      </c>
      <c r="S43" s="63">
        <f>IF(AND($D43="",$G43=""),"",IF($V43="Cancelado","Cancelado",IF($L43&lt;=0,"",IF(N($Q43)&gt;=$L43,"✔ Pagado",IF(N($Q43)&gt;0,"⚠ Pago parcial","✖ Sin pagar")))))</f>
        <v/>
      </c>
      <c r="T43" s="79" t="n"/>
      <c r="U43" s="75" t="n"/>
      <c r="V43" s="84" t="n"/>
      <c r="W43" s="64">
        <f>IF(AND($D43="",$G43=""),"",IF($C43="","⚠ Falta la fecha del pedido",IF($V43="","⚠ Elegí el estado de entrega",IF($V43="Cancelado","Cancelado",IF($V43="Entregado",IF($R43&gt;0,"⚠ Entregado: falta cobrar","✔ Cerrado"),IF(AND(N($U43)&gt;0,$U43&lt;TODAY()),"✖ Entrega atrasada ("&amp;(TODAY()-$U43)&amp;" d)","En curso"))))))</f>
        <v/>
      </c>
      <c r="X43" s="79" t="n"/>
      <c r="Y43">
        <f>IF($E43&amp;""="","",IF(LEFT(SUBSTITUTE(SUBSTITUTE(SUBSTITUTE(SUBSTITUTE(SUBSTITUTE($E43&amp;""," ",""),"-",""),"+",""),"(",""),")",""),1)="0",PaisCod&amp;MID(SUBSTITUTE(SUBSTITUTE(SUBSTITUTE(SUBSTITUTE(SUBSTITUTE($E43&amp;""," ",""),"-",""),"+",""),"(",""),")",""),2,20),SUBSTITUTE(SUBSTITUTE(SUBSTITUTE(SUBSTITUTE(SUBSTITUTE($E43&amp;""," ",""),"-",""),"+",""),"(",""),")","")))</f>
        <v/>
      </c>
      <c r="Z43">
        <f>IF(AND(N($R43)&gt;0,$V43&lt;&gt;"Cancelado"),$R43+ROW()/1000000,"")</f>
        <v/>
      </c>
      <c r="AA43">
        <f>IF(AND(OR($V43="Pendiente",$V43="Preparando",$V43="Enviado"),N($U43)&gt;0),$U43+ROW()/1000000,"")</f>
        <v/>
      </c>
      <c r="AB43">
        <f>IF(AND($D43="",$G43=""),"",IF($V43="Cancelado",0,$L43))</f>
        <v/>
      </c>
    </row>
    <row r="44" ht="19" customHeight="1">
      <c r="B44" s="74">
        <f>IF(AND($D44="",$G44=""),"",ROW()-7)</f>
        <v/>
      </c>
      <c r="C44" s="75" t="n"/>
      <c r="D44" s="76" t="n"/>
      <c r="E44" s="77" t="n"/>
      <c r="F44" s="78">
        <f>IF($Y44="","",HYPERLINK("https://wa.me/"&amp;$Y44&amp;"?text="&amp;SUBSTITUTE("Hola "&amp;$D44&amp;", te escribo por tu pedido de "&amp;$G44&amp;"."," ","%20"),"Abrir chat"))</f>
        <v/>
      </c>
      <c r="G44" s="79" t="n"/>
      <c r="H44" s="80" t="n"/>
      <c r="I44" s="81" t="n"/>
      <c r="J44" s="81" t="n"/>
      <c r="K44" s="81" t="n"/>
      <c r="L44" s="82">
        <f>IF(AND($D44="",$G44=""),"",IF(N($H44)=0,1,$H44)*N($I44)-N($J44)+N($K44))</f>
        <v/>
      </c>
      <c r="M44" s="81" t="n"/>
      <c r="N44" s="81" t="n"/>
      <c r="O44" s="83">
        <f>IF(OR(AND($D44="",$G44=""),$M44="",$V44="Cancelado"),"",$L44-N($M44)-N($N44))</f>
        <v/>
      </c>
      <c r="P44" s="79" t="n"/>
      <c r="Q44" s="81" t="n"/>
      <c r="R44" s="82">
        <f>IF(AND($D44="",$G44=""),"",IF($V44="Cancelado",0,MAX(0,$L44-N($Q44))))</f>
        <v/>
      </c>
      <c r="S44" s="60">
        <f>IF(AND($D44="",$G44=""),"",IF($V44="Cancelado","Cancelado",IF($L44&lt;=0,"",IF(N($Q44)&gt;=$L44,"✔ Pagado",IF(N($Q44)&gt;0,"⚠ Pago parcial","✖ Sin pagar")))))</f>
        <v/>
      </c>
      <c r="T44" s="79" t="n"/>
      <c r="U44" s="75" t="n"/>
      <c r="V44" s="84" t="n"/>
      <c r="W44" s="61">
        <f>IF(AND($D44="",$G44=""),"",IF($C44="","⚠ Falta la fecha del pedido",IF($V44="","⚠ Elegí el estado de entrega",IF($V44="Cancelado","Cancelado",IF($V44="Entregado",IF($R44&gt;0,"⚠ Entregado: falta cobrar","✔ Cerrado"),IF(AND(N($U44)&gt;0,$U44&lt;TODAY()),"✖ Entrega atrasada ("&amp;(TODAY()-$U44)&amp;" d)","En curso"))))))</f>
        <v/>
      </c>
      <c r="X44" s="79" t="n"/>
      <c r="Y44">
        <f>IF($E44&amp;""="","",IF(LEFT(SUBSTITUTE(SUBSTITUTE(SUBSTITUTE(SUBSTITUTE(SUBSTITUTE($E44&amp;""," ",""),"-",""),"+",""),"(",""),")",""),1)="0",PaisCod&amp;MID(SUBSTITUTE(SUBSTITUTE(SUBSTITUTE(SUBSTITUTE(SUBSTITUTE($E44&amp;""," ",""),"-",""),"+",""),"(",""),")",""),2,20),SUBSTITUTE(SUBSTITUTE(SUBSTITUTE(SUBSTITUTE(SUBSTITUTE($E44&amp;""," ",""),"-",""),"+",""),"(",""),")","")))</f>
        <v/>
      </c>
      <c r="Z44">
        <f>IF(AND(N($R44)&gt;0,$V44&lt;&gt;"Cancelado"),$R44+ROW()/1000000,"")</f>
        <v/>
      </c>
      <c r="AA44">
        <f>IF(AND(OR($V44="Pendiente",$V44="Preparando",$V44="Enviado"),N($U44)&gt;0),$U44+ROW()/1000000,"")</f>
        <v/>
      </c>
      <c r="AB44">
        <f>IF(AND($D44="",$G44=""),"",IF($V44="Cancelado",0,$L44))</f>
        <v/>
      </c>
    </row>
    <row r="45" ht="19" customHeight="1">
      <c r="B45" s="85">
        <f>IF(AND($D45="",$G45=""),"",ROW()-7)</f>
        <v/>
      </c>
      <c r="C45" s="75" t="n"/>
      <c r="D45" s="76" t="n"/>
      <c r="E45" s="77" t="n"/>
      <c r="F45" s="86">
        <f>IF($Y45="","",HYPERLINK("https://wa.me/"&amp;$Y45&amp;"?text="&amp;SUBSTITUTE("Hola "&amp;$D45&amp;", te escribo por tu pedido de "&amp;$G45&amp;"."," ","%20"),"Abrir chat"))</f>
        <v/>
      </c>
      <c r="G45" s="79" t="n"/>
      <c r="H45" s="80" t="n"/>
      <c r="I45" s="81" t="n"/>
      <c r="J45" s="81" t="n"/>
      <c r="K45" s="81" t="n"/>
      <c r="L45" s="82">
        <f>IF(AND($D45="",$G45=""),"",IF(N($H45)=0,1,$H45)*N($I45)-N($J45)+N($K45))</f>
        <v/>
      </c>
      <c r="M45" s="81" t="n"/>
      <c r="N45" s="81" t="n"/>
      <c r="O45" s="87">
        <f>IF(OR(AND($D45="",$G45=""),$M45="",$V45="Cancelado"),"",$L45-N($M45)-N($N45))</f>
        <v/>
      </c>
      <c r="P45" s="79" t="n"/>
      <c r="Q45" s="81" t="n"/>
      <c r="R45" s="82">
        <f>IF(AND($D45="",$G45=""),"",IF($V45="Cancelado",0,MAX(0,$L45-N($Q45))))</f>
        <v/>
      </c>
      <c r="S45" s="63">
        <f>IF(AND($D45="",$G45=""),"",IF($V45="Cancelado","Cancelado",IF($L45&lt;=0,"",IF(N($Q45)&gt;=$L45,"✔ Pagado",IF(N($Q45)&gt;0,"⚠ Pago parcial","✖ Sin pagar")))))</f>
        <v/>
      </c>
      <c r="T45" s="79" t="n"/>
      <c r="U45" s="75" t="n"/>
      <c r="V45" s="84" t="n"/>
      <c r="W45" s="64">
        <f>IF(AND($D45="",$G45=""),"",IF($C45="","⚠ Falta la fecha del pedido",IF($V45="","⚠ Elegí el estado de entrega",IF($V45="Cancelado","Cancelado",IF($V45="Entregado",IF($R45&gt;0,"⚠ Entregado: falta cobrar","✔ Cerrado"),IF(AND(N($U45)&gt;0,$U45&lt;TODAY()),"✖ Entrega atrasada ("&amp;(TODAY()-$U45)&amp;" d)","En curso"))))))</f>
        <v/>
      </c>
      <c r="X45" s="79" t="n"/>
      <c r="Y45">
        <f>IF($E45&amp;""="","",IF(LEFT(SUBSTITUTE(SUBSTITUTE(SUBSTITUTE(SUBSTITUTE(SUBSTITUTE($E45&amp;""," ",""),"-",""),"+",""),"(",""),")",""),1)="0",PaisCod&amp;MID(SUBSTITUTE(SUBSTITUTE(SUBSTITUTE(SUBSTITUTE(SUBSTITUTE($E45&amp;""," ",""),"-",""),"+",""),"(",""),")",""),2,20),SUBSTITUTE(SUBSTITUTE(SUBSTITUTE(SUBSTITUTE(SUBSTITUTE($E45&amp;""," ",""),"-",""),"+",""),"(",""),")","")))</f>
        <v/>
      </c>
      <c r="Z45">
        <f>IF(AND(N($R45)&gt;0,$V45&lt;&gt;"Cancelado"),$R45+ROW()/1000000,"")</f>
        <v/>
      </c>
      <c r="AA45">
        <f>IF(AND(OR($V45="Pendiente",$V45="Preparando",$V45="Enviado"),N($U45)&gt;0),$U45+ROW()/1000000,"")</f>
        <v/>
      </c>
      <c r="AB45">
        <f>IF(AND($D45="",$G45=""),"",IF($V45="Cancelado",0,$L45))</f>
        <v/>
      </c>
    </row>
    <row r="46" ht="19" customHeight="1">
      <c r="B46" s="74">
        <f>IF(AND($D46="",$G46=""),"",ROW()-7)</f>
        <v/>
      </c>
      <c r="C46" s="75" t="n"/>
      <c r="D46" s="76" t="n"/>
      <c r="E46" s="77" t="n"/>
      <c r="F46" s="78">
        <f>IF($Y46="","",HYPERLINK("https://wa.me/"&amp;$Y46&amp;"?text="&amp;SUBSTITUTE("Hola "&amp;$D46&amp;", te escribo por tu pedido de "&amp;$G46&amp;"."," ","%20"),"Abrir chat"))</f>
        <v/>
      </c>
      <c r="G46" s="79" t="n"/>
      <c r="H46" s="80" t="n"/>
      <c r="I46" s="81" t="n"/>
      <c r="J46" s="81" t="n"/>
      <c r="K46" s="81" t="n"/>
      <c r="L46" s="82">
        <f>IF(AND($D46="",$G46=""),"",IF(N($H46)=0,1,$H46)*N($I46)-N($J46)+N($K46))</f>
        <v/>
      </c>
      <c r="M46" s="81" t="n"/>
      <c r="N46" s="81" t="n"/>
      <c r="O46" s="83">
        <f>IF(OR(AND($D46="",$G46=""),$M46="",$V46="Cancelado"),"",$L46-N($M46)-N($N46))</f>
        <v/>
      </c>
      <c r="P46" s="79" t="n"/>
      <c r="Q46" s="81" t="n"/>
      <c r="R46" s="82">
        <f>IF(AND($D46="",$G46=""),"",IF($V46="Cancelado",0,MAX(0,$L46-N($Q46))))</f>
        <v/>
      </c>
      <c r="S46" s="60">
        <f>IF(AND($D46="",$G46=""),"",IF($V46="Cancelado","Cancelado",IF($L46&lt;=0,"",IF(N($Q46)&gt;=$L46,"✔ Pagado",IF(N($Q46)&gt;0,"⚠ Pago parcial","✖ Sin pagar")))))</f>
        <v/>
      </c>
      <c r="T46" s="79" t="n"/>
      <c r="U46" s="75" t="n"/>
      <c r="V46" s="84" t="n"/>
      <c r="W46" s="61">
        <f>IF(AND($D46="",$G46=""),"",IF($C46="","⚠ Falta la fecha del pedido",IF($V46="","⚠ Elegí el estado de entrega",IF($V46="Cancelado","Cancelado",IF($V46="Entregado",IF($R46&gt;0,"⚠ Entregado: falta cobrar","✔ Cerrado"),IF(AND(N($U46)&gt;0,$U46&lt;TODAY()),"✖ Entrega atrasada ("&amp;(TODAY()-$U46)&amp;" d)","En curso"))))))</f>
        <v/>
      </c>
      <c r="X46" s="79" t="n"/>
      <c r="Y46">
        <f>IF($E46&amp;""="","",IF(LEFT(SUBSTITUTE(SUBSTITUTE(SUBSTITUTE(SUBSTITUTE(SUBSTITUTE($E46&amp;""," ",""),"-",""),"+",""),"(",""),")",""),1)="0",PaisCod&amp;MID(SUBSTITUTE(SUBSTITUTE(SUBSTITUTE(SUBSTITUTE(SUBSTITUTE($E46&amp;""," ",""),"-",""),"+",""),"(",""),")",""),2,20),SUBSTITUTE(SUBSTITUTE(SUBSTITUTE(SUBSTITUTE(SUBSTITUTE($E46&amp;""," ",""),"-",""),"+",""),"(",""),")","")))</f>
        <v/>
      </c>
      <c r="Z46">
        <f>IF(AND(N($R46)&gt;0,$V46&lt;&gt;"Cancelado"),$R46+ROW()/1000000,"")</f>
        <v/>
      </c>
      <c r="AA46">
        <f>IF(AND(OR($V46="Pendiente",$V46="Preparando",$V46="Enviado"),N($U46)&gt;0),$U46+ROW()/1000000,"")</f>
        <v/>
      </c>
      <c r="AB46">
        <f>IF(AND($D46="",$G46=""),"",IF($V46="Cancelado",0,$L46))</f>
        <v/>
      </c>
    </row>
    <row r="47" ht="19" customHeight="1">
      <c r="B47" s="85">
        <f>IF(AND($D47="",$G47=""),"",ROW()-7)</f>
        <v/>
      </c>
      <c r="C47" s="75" t="n"/>
      <c r="D47" s="76" t="n"/>
      <c r="E47" s="77" t="n"/>
      <c r="F47" s="86">
        <f>IF($Y47="","",HYPERLINK("https://wa.me/"&amp;$Y47&amp;"?text="&amp;SUBSTITUTE("Hola "&amp;$D47&amp;", te escribo por tu pedido de "&amp;$G47&amp;"."," ","%20"),"Abrir chat"))</f>
        <v/>
      </c>
      <c r="G47" s="79" t="n"/>
      <c r="H47" s="80" t="n"/>
      <c r="I47" s="81" t="n"/>
      <c r="J47" s="81" t="n"/>
      <c r="K47" s="81" t="n"/>
      <c r="L47" s="82">
        <f>IF(AND($D47="",$G47=""),"",IF(N($H47)=0,1,$H47)*N($I47)-N($J47)+N($K47))</f>
        <v/>
      </c>
      <c r="M47" s="81" t="n"/>
      <c r="N47" s="81" t="n"/>
      <c r="O47" s="87">
        <f>IF(OR(AND($D47="",$G47=""),$M47="",$V47="Cancelado"),"",$L47-N($M47)-N($N47))</f>
        <v/>
      </c>
      <c r="P47" s="79" t="n"/>
      <c r="Q47" s="81" t="n"/>
      <c r="R47" s="82">
        <f>IF(AND($D47="",$G47=""),"",IF($V47="Cancelado",0,MAX(0,$L47-N($Q47))))</f>
        <v/>
      </c>
      <c r="S47" s="63">
        <f>IF(AND($D47="",$G47=""),"",IF($V47="Cancelado","Cancelado",IF($L47&lt;=0,"",IF(N($Q47)&gt;=$L47,"✔ Pagado",IF(N($Q47)&gt;0,"⚠ Pago parcial","✖ Sin pagar")))))</f>
        <v/>
      </c>
      <c r="T47" s="79" t="n"/>
      <c r="U47" s="75" t="n"/>
      <c r="V47" s="84" t="n"/>
      <c r="W47" s="64">
        <f>IF(AND($D47="",$G47=""),"",IF($C47="","⚠ Falta la fecha del pedido",IF($V47="","⚠ Elegí el estado de entrega",IF($V47="Cancelado","Cancelado",IF($V47="Entregado",IF($R47&gt;0,"⚠ Entregado: falta cobrar","✔ Cerrado"),IF(AND(N($U47)&gt;0,$U47&lt;TODAY()),"✖ Entrega atrasada ("&amp;(TODAY()-$U47)&amp;" d)","En curso"))))))</f>
        <v/>
      </c>
      <c r="X47" s="79" t="n"/>
      <c r="Y47">
        <f>IF($E47&amp;""="","",IF(LEFT(SUBSTITUTE(SUBSTITUTE(SUBSTITUTE(SUBSTITUTE(SUBSTITUTE($E47&amp;""," ",""),"-",""),"+",""),"(",""),")",""),1)="0",PaisCod&amp;MID(SUBSTITUTE(SUBSTITUTE(SUBSTITUTE(SUBSTITUTE(SUBSTITUTE($E47&amp;""," ",""),"-",""),"+",""),"(",""),")",""),2,20),SUBSTITUTE(SUBSTITUTE(SUBSTITUTE(SUBSTITUTE(SUBSTITUTE($E47&amp;""," ",""),"-",""),"+",""),"(",""),")","")))</f>
        <v/>
      </c>
      <c r="Z47">
        <f>IF(AND(N($R47)&gt;0,$V47&lt;&gt;"Cancelado"),$R47+ROW()/1000000,"")</f>
        <v/>
      </c>
      <c r="AA47">
        <f>IF(AND(OR($V47="Pendiente",$V47="Preparando",$V47="Enviado"),N($U47)&gt;0),$U47+ROW()/1000000,"")</f>
        <v/>
      </c>
      <c r="AB47">
        <f>IF(AND($D47="",$G47=""),"",IF($V47="Cancelado",0,$L47))</f>
        <v/>
      </c>
    </row>
    <row r="48" ht="19" customHeight="1">
      <c r="B48" s="74">
        <f>IF(AND($D48="",$G48=""),"",ROW()-7)</f>
        <v/>
      </c>
      <c r="C48" s="75" t="n"/>
      <c r="D48" s="76" t="n"/>
      <c r="E48" s="77" t="n"/>
      <c r="F48" s="78">
        <f>IF($Y48="","",HYPERLINK("https://wa.me/"&amp;$Y48&amp;"?text="&amp;SUBSTITUTE("Hola "&amp;$D48&amp;", te escribo por tu pedido de "&amp;$G48&amp;"."," ","%20"),"Abrir chat"))</f>
        <v/>
      </c>
      <c r="G48" s="79" t="n"/>
      <c r="H48" s="80" t="n"/>
      <c r="I48" s="81" t="n"/>
      <c r="J48" s="81" t="n"/>
      <c r="K48" s="81" t="n"/>
      <c r="L48" s="82">
        <f>IF(AND($D48="",$G48=""),"",IF(N($H48)=0,1,$H48)*N($I48)-N($J48)+N($K48))</f>
        <v/>
      </c>
      <c r="M48" s="81" t="n"/>
      <c r="N48" s="81" t="n"/>
      <c r="O48" s="83">
        <f>IF(OR(AND($D48="",$G48=""),$M48="",$V48="Cancelado"),"",$L48-N($M48)-N($N48))</f>
        <v/>
      </c>
      <c r="P48" s="79" t="n"/>
      <c r="Q48" s="81" t="n"/>
      <c r="R48" s="82">
        <f>IF(AND($D48="",$G48=""),"",IF($V48="Cancelado",0,MAX(0,$L48-N($Q48))))</f>
        <v/>
      </c>
      <c r="S48" s="60">
        <f>IF(AND($D48="",$G48=""),"",IF($V48="Cancelado","Cancelado",IF($L48&lt;=0,"",IF(N($Q48)&gt;=$L48,"✔ Pagado",IF(N($Q48)&gt;0,"⚠ Pago parcial","✖ Sin pagar")))))</f>
        <v/>
      </c>
      <c r="T48" s="79" t="n"/>
      <c r="U48" s="75" t="n"/>
      <c r="V48" s="84" t="n"/>
      <c r="W48" s="61">
        <f>IF(AND($D48="",$G48=""),"",IF($C48="","⚠ Falta la fecha del pedido",IF($V48="","⚠ Elegí el estado de entrega",IF($V48="Cancelado","Cancelado",IF($V48="Entregado",IF($R48&gt;0,"⚠ Entregado: falta cobrar","✔ Cerrado"),IF(AND(N($U48)&gt;0,$U48&lt;TODAY()),"✖ Entrega atrasada ("&amp;(TODAY()-$U48)&amp;" d)","En curso"))))))</f>
        <v/>
      </c>
      <c r="X48" s="79" t="n"/>
      <c r="Y48">
        <f>IF($E48&amp;""="","",IF(LEFT(SUBSTITUTE(SUBSTITUTE(SUBSTITUTE(SUBSTITUTE(SUBSTITUTE($E48&amp;""," ",""),"-",""),"+",""),"(",""),")",""),1)="0",PaisCod&amp;MID(SUBSTITUTE(SUBSTITUTE(SUBSTITUTE(SUBSTITUTE(SUBSTITUTE($E48&amp;""," ",""),"-",""),"+",""),"(",""),")",""),2,20),SUBSTITUTE(SUBSTITUTE(SUBSTITUTE(SUBSTITUTE(SUBSTITUTE($E48&amp;""," ",""),"-",""),"+",""),"(",""),")","")))</f>
        <v/>
      </c>
      <c r="Z48">
        <f>IF(AND(N($R48)&gt;0,$V48&lt;&gt;"Cancelado"),$R48+ROW()/1000000,"")</f>
        <v/>
      </c>
      <c r="AA48">
        <f>IF(AND(OR($V48="Pendiente",$V48="Preparando",$V48="Enviado"),N($U48)&gt;0),$U48+ROW()/1000000,"")</f>
        <v/>
      </c>
      <c r="AB48">
        <f>IF(AND($D48="",$G48=""),"",IF($V48="Cancelado",0,$L48))</f>
        <v/>
      </c>
    </row>
    <row r="49" ht="19" customHeight="1">
      <c r="B49" s="85">
        <f>IF(AND($D49="",$G49=""),"",ROW()-7)</f>
        <v/>
      </c>
      <c r="C49" s="75" t="n"/>
      <c r="D49" s="76" t="n"/>
      <c r="E49" s="77" t="n"/>
      <c r="F49" s="86">
        <f>IF($Y49="","",HYPERLINK("https://wa.me/"&amp;$Y49&amp;"?text="&amp;SUBSTITUTE("Hola "&amp;$D49&amp;", te escribo por tu pedido de "&amp;$G49&amp;"."," ","%20"),"Abrir chat"))</f>
        <v/>
      </c>
      <c r="G49" s="79" t="n"/>
      <c r="H49" s="80" t="n"/>
      <c r="I49" s="81" t="n"/>
      <c r="J49" s="81" t="n"/>
      <c r="K49" s="81" t="n"/>
      <c r="L49" s="82">
        <f>IF(AND($D49="",$G49=""),"",IF(N($H49)=0,1,$H49)*N($I49)-N($J49)+N($K49))</f>
        <v/>
      </c>
      <c r="M49" s="81" t="n"/>
      <c r="N49" s="81" t="n"/>
      <c r="O49" s="87">
        <f>IF(OR(AND($D49="",$G49=""),$M49="",$V49="Cancelado"),"",$L49-N($M49)-N($N49))</f>
        <v/>
      </c>
      <c r="P49" s="79" t="n"/>
      <c r="Q49" s="81" t="n"/>
      <c r="R49" s="82">
        <f>IF(AND($D49="",$G49=""),"",IF($V49="Cancelado",0,MAX(0,$L49-N($Q49))))</f>
        <v/>
      </c>
      <c r="S49" s="63">
        <f>IF(AND($D49="",$G49=""),"",IF($V49="Cancelado","Cancelado",IF($L49&lt;=0,"",IF(N($Q49)&gt;=$L49,"✔ Pagado",IF(N($Q49)&gt;0,"⚠ Pago parcial","✖ Sin pagar")))))</f>
        <v/>
      </c>
      <c r="T49" s="79" t="n"/>
      <c r="U49" s="75" t="n"/>
      <c r="V49" s="84" t="n"/>
      <c r="W49" s="64">
        <f>IF(AND($D49="",$G49=""),"",IF($C49="","⚠ Falta la fecha del pedido",IF($V49="","⚠ Elegí el estado de entrega",IF($V49="Cancelado","Cancelado",IF($V49="Entregado",IF($R49&gt;0,"⚠ Entregado: falta cobrar","✔ Cerrado"),IF(AND(N($U49)&gt;0,$U49&lt;TODAY()),"✖ Entrega atrasada ("&amp;(TODAY()-$U49)&amp;" d)","En curso"))))))</f>
        <v/>
      </c>
      <c r="X49" s="79" t="n"/>
      <c r="Y49">
        <f>IF($E49&amp;""="","",IF(LEFT(SUBSTITUTE(SUBSTITUTE(SUBSTITUTE(SUBSTITUTE(SUBSTITUTE($E49&amp;""," ",""),"-",""),"+",""),"(",""),")",""),1)="0",PaisCod&amp;MID(SUBSTITUTE(SUBSTITUTE(SUBSTITUTE(SUBSTITUTE(SUBSTITUTE($E49&amp;""," ",""),"-",""),"+",""),"(",""),")",""),2,20),SUBSTITUTE(SUBSTITUTE(SUBSTITUTE(SUBSTITUTE(SUBSTITUTE($E49&amp;""," ",""),"-",""),"+",""),"(",""),")","")))</f>
        <v/>
      </c>
      <c r="Z49">
        <f>IF(AND(N($R49)&gt;0,$V49&lt;&gt;"Cancelado"),$R49+ROW()/1000000,"")</f>
        <v/>
      </c>
      <c r="AA49">
        <f>IF(AND(OR($V49="Pendiente",$V49="Preparando",$V49="Enviado"),N($U49)&gt;0),$U49+ROW()/1000000,"")</f>
        <v/>
      </c>
      <c r="AB49">
        <f>IF(AND($D49="",$G49=""),"",IF($V49="Cancelado",0,$L49))</f>
        <v/>
      </c>
    </row>
    <row r="50" ht="19" customHeight="1">
      <c r="B50" s="74">
        <f>IF(AND($D50="",$G50=""),"",ROW()-7)</f>
        <v/>
      </c>
      <c r="C50" s="75" t="n"/>
      <c r="D50" s="76" t="n"/>
      <c r="E50" s="77" t="n"/>
      <c r="F50" s="78">
        <f>IF($Y50="","",HYPERLINK("https://wa.me/"&amp;$Y50&amp;"?text="&amp;SUBSTITUTE("Hola "&amp;$D50&amp;", te escribo por tu pedido de "&amp;$G50&amp;"."," ","%20"),"Abrir chat"))</f>
        <v/>
      </c>
      <c r="G50" s="79" t="n"/>
      <c r="H50" s="80" t="n"/>
      <c r="I50" s="81" t="n"/>
      <c r="J50" s="81" t="n"/>
      <c r="K50" s="81" t="n"/>
      <c r="L50" s="82">
        <f>IF(AND($D50="",$G50=""),"",IF(N($H50)=0,1,$H50)*N($I50)-N($J50)+N($K50))</f>
        <v/>
      </c>
      <c r="M50" s="81" t="n"/>
      <c r="N50" s="81" t="n"/>
      <c r="O50" s="83">
        <f>IF(OR(AND($D50="",$G50=""),$M50="",$V50="Cancelado"),"",$L50-N($M50)-N($N50))</f>
        <v/>
      </c>
      <c r="P50" s="79" t="n"/>
      <c r="Q50" s="81" t="n"/>
      <c r="R50" s="82">
        <f>IF(AND($D50="",$G50=""),"",IF($V50="Cancelado",0,MAX(0,$L50-N($Q50))))</f>
        <v/>
      </c>
      <c r="S50" s="60">
        <f>IF(AND($D50="",$G50=""),"",IF($V50="Cancelado","Cancelado",IF($L50&lt;=0,"",IF(N($Q50)&gt;=$L50,"✔ Pagado",IF(N($Q50)&gt;0,"⚠ Pago parcial","✖ Sin pagar")))))</f>
        <v/>
      </c>
      <c r="T50" s="79" t="n"/>
      <c r="U50" s="75" t="n"/>
      <c r="V50" s="84" t="n"/>
      <c r="W50" s="61">
        <f>IF(AND($D50="",$G50=""),"",IF($C50="","⚠ Falta la fecha del pedido",IF($V50="","⚠ Elegí el estado de entrega",IF($V50="Cancelado","Cancelado",IF($V50="Entregado",IF($R50&gt;0,"⚠ Entregado: falta cobrar","✔ Cerrado"),IF(AND(N($U50)&gt;0,$U50&lt;TODAY()),"✖ Entrega atrasada ("&amp;(TODAY()-$U50)&amp;" d)","En curso"))))))</f>
        <v/>
      </c>
      <c r="X50" s="79" t="n"/>
      <c r="Y50">
        <f>IF($E50&amp;""="","",IF(LEFT(SUBSTITUTE(SUBSTITUTE(SUBSTITUTE(SUBSTITUTE(SUBSTITUTE($E50&amp;""," ",""),"-",""),"+",""),"(",""),")",""),1)="0",PaisCod&amp;MID(SUBSTITUTE(SUBSTITUTE(SUBSTITUTE(SUBSTITUTE(SUBSTITUTE($E50&amp;""," ",""),"-",""),"+",""),"(",""),")",""),2,20),SUBSTITUTE(SUBSTITUTE(SUBSTITUTE(SUBSTITUTE(SUBSTITUTE($E50&amp;""," ",""),"-",""),"+",""),"(",""),")","")))</f>
        <v/>
      </c>
      <c r="Z50">
        <f>IF(AND(N($R50)&gt;0,$V50&lt;&gt;"Cancelado"),$R50+ROW()/1000000,"")</f>
        <v/>
      </c>
      <c r="AA50">
        <f>IF(AND(OR($V50="Pendiente",$V50="Preparando",$V50="Enviado"),N($U50)&gt;0),$U50+ROW()/1000000,"")</f>
        <v/>
      </c>
      <c r="AB50">
        <f>IF(AND($D50="",$G50=""),"",IF($V50="Cancelado",0,$L50))</f>
        <v/>
      </c>
    </row>
    <row r="51" ht="19" customHeight="1">
      <c r="B51" s="85">
        <f>IF(AND($D51="",$G51=""),"",ROW()-7)</f>
        <v/>
      </c>
      <c r="C51" s="75" t="n"/>
      <c r="D51" s="76" t="n"/>
      <c r="E51" s="77" t="n"/>
      <c r="F51" s="86">
        <f>IF($Y51="","",HYPERLINK("https://wa.me/"&amp;$Y51&amp;"?text="&amp;SUBSTITUTE("Hola "&amp;$D51&amp;", te escribo por tu pedido de "&amp;$G51&amp;"."," ","%20"),"Abrir chat"))</f>
        <v/>
      </c>
      <c r="G51" s="79" t="n"/>
      <c r="H51" s="80" t="n"/>
      <c r="I51" s="81" t="n"/>
      <c r="J51" s="81" t="n"/>
      <c r="K51" s="81" t="n"/>
      <c r="L51" s="82">
        <f>IF(AND($D51="",$G51=""),"",IF(N($H51)=0,1,$H51)*N($I51)-N($J51)+N($K51))</f>
        <v/>
      </c>
      <c r="M51" s="81" t="n"/>
      <c r="N51" s="81" t="n"/>
      <c r="O51" s="87">
        <f>IF(OR(AND($D51="",$G51=""),$M51="",$V51="Cancelado"),"",$L51-N($M51)-N($N51))</f>
        <v/>
      </c>
      <c r="P51" s="79" t="n"/>
      <c r="Q51" s="81" t="n"/>
      <c r="R51" s="82">
        <f>IF(AND($D51="",$G51=""),"",IF($V51="Cancelado",0,MAX(0,$L51-N($Q51))))</f>
        <v/>
      </c>
      <c r="S51" s="63">
        <f>IF(AND($D51="",$G51=""),"",IF($V51="Cancelado","Cancelado",IF($L51&lt;=0,"",IF(N($Q51)&gt;=$L51,"✔ Pagado",IF(N($Q51)&gt;0,"⚠ Pago parcial","✖ Sin pagar")))))</f>
        <v/>
      </c>
      <c r="T51" s="79" t="n"/>
      <c r="U51" s="75" t="n"/>
      <c r="V51" s="84" t="n"/>
      <c r="W51" s="64">
        <f>IF(AND($D51="",$G51=""),"",IF($C51="","⚠ Falta la fecha del pedido",IF($V51="","⚠ Elegí el estado de entrega",IF($V51="Cancelado","Cancelado",IF($V51="Entregado",IF($R51&gt;0,"⚠ Entregado: falta cobrar","✔ Cerrado"),IF(AND(N($U51)&gt;0,$U51&lt;TODAY()),"✖ Entrega atrasada ("&amp;(TODAY()-$U51)&amp;" d)","En curso"))))))</f>
        <v/>
      </c>
      <c r="X51" s="79" t="n"/>
      <c r="Y51">
        <f>IF($E51&amp;""="","",IF(LEFT(SUBSTITUTE(SUBSTITUTE(SUBSTITUTE(SUBSTITUTE(SUBSTITUTE($E51&amp;""," ",""),"-",""),"+",""),"(",""),")",""),1)="0",PaisCod&amp;MID(SUBSTITUTE(SUBSTITUTE(SUBSTITUTE(SUBSTITUTE(SUBSTITUTE($E51&amp;""," ",""),"-",""),"+",""),"(",""),")",""),2,20),SUBSTITUTE(SUBSTITUTE(SUBSTITUTE(SUBSTITUTE(SUBSTITUTE($E51&amp;""," ",""),"-",""),"+",""),"(",""),")","")))</f>
        <v/>
      </c>
      <c r="Z51">
        <f>IF(AND(N($R51)&gt;0,$V51&lt;&gt;"Cancelado"),$R51+ROW()/1000000,"")</f>
        <v/>
      </c>
      <c r="AA51">
        <f>IF(AND(OR($V51="Pendiente",$V51="Preparando",$V51="Enviado"),N($U51)&gt;0),$U51+ROW()/1000000,"")</f>
        <v/>
      </c>
      <c r="AB51">
        <f>IF(AND($D51="",$G51=""),"",IF($V51="Cancelado",0,$L51))</f>
        <v/>
      </c>
    </row>
    <row r="52" ht="19" customHeight="1">
      <c r="B52" s="74">
        <f>IF(AND($D52="",$G52=""),"",ROW()-7)</f>
        <v/>
      </c>
      <c r="C52" s="75" t="n"/>
      <c r="D52" s="76" t="n"/>
      <c r="E52" s="77" t="n"/>
      <c r="F52" s="78">
        <f>IF($Y52="","",HYPERLINK("https://wa.me/"&amp;$Y52&amp;"?text="&amp;SUBSTITUTE("Hola "&amp;$D52&amp;", te escribo por tu pedido de "&amp;$G52&amp;"."," ","%20"),"Abrir chat"))</f>
        <v/>
      </c>
      <c r="G52" s="79" t="n"/>
      <c r="H52" s="80" t="n"/>
      <c r="I52" s="81" t="n"/>
      <c r="J52" s="81" t="n"/>
      <c r="K52" s="81" t="n"/>
      <c r="L52" s="82">
        <f>IF(AND($D52="",$G52=""),"",IF(N($H52)=0,1,$H52)*N($I52)-N($J52)+N($K52))</f>
        <v/>
      </c>
      <c r="M52" s="81" t="n"/>
      <c r="N52" s="81" t="n"/>
      <c r="O52" s="83">
        <f>IF(OR(AND($D52="",$G52=""),$M52="",$V52="Cancelado"),"",$L52-N($M52)-N($N52))</f>
        <v/>
      </c>
      <c r="P52" s="79" t="n"/>
      <c r="Q52" s="81" t="n"/>
      <c r="R52" s="82">
        <f>IF(AND($D52="",$G52=""),"",IF($V52="Cancelado",0,MAX(0,$L52-N($Q52))))</f>
        <v/>
      </c>
      <c r="S52" s="60">
        <f>IF(AND($D52="",$G52=""),"",IF($V52="Cancelado","Cancelado",IF($L52&lt;=0,"",IF(N($Q52)&gt;=$L52,"✔ Pagado",IF(N($Q52)&gt;0,"⚠ Pago parcial","✖ Sin pagar")))))</f>
        <v/>
      </c>
      <c r="T52" s="79" t="n"/>
      <c r="U52" s="75" t="n"/>
      <c r="V52" s="84" t="n"/>
      <c r="W52" s="61">
        <f>IF(AND($D52="",$G52=""),"",IF($C52="","⚠ Falta la fecha del pedido",IF($V52="","⚠ Elegí el estado de entrega",IF($V52="Cancelado","Cancelado",IF($V52="Entregado",IF($R52&gt;0,"⚠ Entregado: falta cobrar","✔ Cerrado"),IF(AND(N($U52)&gt;0,$U52&lt;TODAY()),"✖ Entrega atrasada ("&amp;(TODAY()-$U52)&amp;" d)","En curso"))))))</f>
        <v/>
      </c>
      <c r="X52" s="79" t="n"/>
      <c r="Y52">
        <f>IF($E52&amp;""="","",IF(LEFT(SUBSTITUTE(SUBSTITUTE(SUBSTITUTE(SUBSTITUTE(SUBSTITUTE($E52&amp;""," ",""),"-",""),"+",""),"(",""),")",""),1)="0",PaisCod&amp;MID(SUBSTITUTE(SUBSTITUTE(SUBSTITUTE(SUBSTITUTE(SUBSTITUTE($E52&amp;""," ",""),"-",""),"+",""),"(",""),")",""),2,20),SUBSTITUTE(SUBSTITUTE(SUBSTITUTE(SUBSTITUTE(SUBSTITUTE($E52&amp;""," ",""),"-",""),"+",""),"(",""),")","")))</f>
        <v/>
      </c>
      <c r="Z52">
        <f>IF(AND(N($R52)&gt;0,$V52&lt;&gt;"Cancelado"),$R52+ROW()/1000000,"")</f>
        <v/>
      </c>
      <c r="AA52">
        <f>IF(AND(OR($V52="Pendiente",$V52="Preparando",$V52="Enviado"),N($U52)&gt;0),$U52+ROW()/1000000,"")</f>
        <v/>
      </c>
      <c r="AB52">
        <f>IF(AND($D52="",$G52=""),"",IF($V52="Cancelado",0,$L52))</f>
        <v/>
      </c>
    </row>
    <row r="53" ht="19" customHeight="1">
      <c r="B53" s="85">
        <f>IF(AND($D53="",$G53=""),"",ROW()-7)</f>
        <v/>
      </c>
      <c r="C53" s="75" t="n"/>
      <c r="D53" s="76" t="n"/>
      <c r="E53" s="77" t="n"/>
      <c r="F53" s="86">
        <f>IF($Y53="","",HYPERLINK("https://wa.me/"&amp;$Y53&amp;"?text="&amp;SUBSTITUTE("Hola "&amp;$D53&amp;", te escribo por tu pedido de "&amp;$G53&amp;"."," ","%20"),"Abrir chat"))</f>
        <v/>
      </c>
      <c r="G53" s="79" t="n"/>
      <c r="H53" s="80" t="n"/>
      <c r="I53" s="81" t="n"/>
      <c r="J53" s="81" t="n"/>
      <c r="K53" s="81" t="n"/>
      <c r="L53" s="82">
        <f>IF(AND($D53="",$G53=""),"",IF(N($H53)=0,1,$H53)*N($I53)-N($J53)+N($K53))</f>
        <v/>
      </c>
      <c r="M53" s="81" t="n"/>
      <c r="N53" s="81" t="n"/>
      <c r="O53" s="87">
        <f>IF(OR(AND($D53="",$G53=""),$M53="",$V53="Cancelado"),"",$L53-N($M53)-N($N53))</f>
        <v/>
      </c>
      <c r="P53" s="79" t="n"/>
      <c r="Q53" s="81" t="n"/>
      <c r="R53" s="82">
        <f>IF(AND($D53="",$G53=""),"",IF($V53="Cancelado",0,MAX(0,$L53-N($Q53))))</f>
        <v/>
      </c>
      <c r="S53" s="63">
        <f>IF(AND($D53="",$G53=""),"",IF($V53="Cancelado","Cancelado",IF($L53&lt;=0,"",IF(N($Q53)&gt;=$L53,"✔ Pagado",IF(N($Q53)&gt;0,"⚠ Pago parcial","✖ Sin pagar")))))</f>
        <v/>
      </c>
      <c r="T53" s="79" t="n"/>
      <c r="U53" s="75" t="n"/>
      <c r="V53" s="84" t="n"/>
      <c r="W53" s="64">
        <f>IF(AND($D53="",$G53=""),"",IF($C53="","⚠ Falta la fecha del pedido",IF($V53="","⚠ Elegí el estado de entrega",IF($V53="Cancelado","Cancelado",IF($V53="Entregado",IF($R53&gt;0,"⚠ Entregado: falta cobrar","✔ Cerrado"),IF(AND(N($U53)&gt;0,$U53&lt;TODAY()),"✖ Entrega atrasada ("&amp;(TODAY()-$U53)&amp;" d)","En curso"))))))</f>
        <v/>
      </c>
      <c r="X53" s="79" t="n"/>
      <c r="Y53">
        <f>IF($E53&amp;""="","",IF(LEFT(SUBSTITUTE(SUBSTITUTE(SUBSTITUTE(SUBSTITUTE(SUBSTITUTE($E53&amp;""," ",""),"-",""),"+",""),"(",""),")",""),1)="0",PaisCod&amp;MID(SUBSTITUTE(SUBSTITUTE(SUBSTITUTE(SUBSTITUTE(SUBSTITUTE($E53&amp;""," ",""),"-",""),"+",""),"(",""),")",""),2,20),SUBSTITUTE(SUBSTITUTE(SUBSTITUTE(SUBSTITUTE(SUBSTITUTE($E53&amp;""," ",""),"-",""),"+",""),"(",""),")","")))</f>
        <v/>
      </c>
      <c r="Z53">
        <f>IF(AND(N($R53)&gt;0,$V53&lt;&gt;"Cancelado"),$R53+ROW()/1000000,"")</f>
        <v/>
      </c>
      <c r="AA53">
        <f>IF(AND(OR($V53="Pendiente",$V53="Preparando",$V53="Enviado"),N($U53)&gt;0),$U53+ROW()/1000000,"")</f>
        <v/>
      </c>
      <c r="AB53">
        <f>IF(AND($D53="",$G53=""),"",IF($V53="Cancelado",0,$L53))</f>
        <v/>
      </c>
    </row>
    <row r="54" ht="19" customHeight="1">
      <c r="B54" s="74">
        <f>IF(AND($D54="",$G54=""),"",ROW()-7)</f>
        <v/>
      </c>
      <c r="C54" s="75" t="n"/>
      <c r="D54" s="76" t="n"/>
      <c r="E54" s="77" t="n"/>
      <c r="F54" s="78">
        <f>IF($Y54="","",HYPERLINK("https://wa.me/"&amp;$Y54&amp;"?text="&amp;SUBSTITUTE("Hola "&amp;$D54&amp;", te escribo por tu pedido de "&amp;$G54&amp;"."," ","%20"),"Abrir chat"))</f>
        <v/>
      </c>
      <c r="G54" s="79" t="n"/>
      <c r="H54" s="80" t="n"/>
      <c r="I54" s="81" t="n"/>
      <c r="J54" s="81" t="n"/>
      <c r="K54" s="81" t="n"/>
      <c r="L54" s="82">
        <f>IF(AND($D54="",$G54=""),"",IF(N($H54)=0,1,$H54)*N($I54)-N($J54)+N($K54))</f>
        <v/>
      </c>
      <c r="M54" s="81" t="n"/>
      <c r="N54" s="81" t="n"/>
      <c r="O54" s="83">
        <f>IF(OR(AND($D54="",$G54=""),$M54="",$V54="Cancelado"),"",$L54-N($M54)-N($N54))</f>
        <v/>
      </c>
      <c r="P54" s="79" t="n"/>
      <c r="Q54" s="81" t="n"/>
      <c r="R54" s="82">
        <f>IF(AND($D54="",$G54=""),"",IF($V54="Cancelado",0,MAX(0,$L54-N($Q54))))</f>
        <v/>
      </c>
      <c r="S54" s="60">
        <f>IF(AND($D54="",$G54=""),"",IF($V54="Cancelado","Cancelado",IF($L54&lt;=0,"",IF(N($Q54)&gt;=$L54,"✔ Pagado",IF(N($Q54)&gt;0,"⚠ Pago parcial","✖ Sin pagar")))))</f>
        <v/>
      </c>
      <c r="T54" s="79" t="n"/>
      <c r="U54" s="75" t="n"/>
      <c r="V54" s="84" t="n"/>
      <c r="W54" s="61">
        <f>IF(AND($D54="",$G54=""),"",IF($C54="","⚠ Falta la fecha del pedido",IF($V54="","⚠ Elegí el estado de entrega",IF($V54="Cancelado","Cancelado",IF($V54="Entregado",IF($R54&gt;0,"⚠ Entregado: falta cobrar","✔ Cerrado"),IF(AND(N($U54)&gt;0,$U54&lt;TODAY()),"✖ Entrega atrasada ("&amp;(TODAY()-$U54)&amp;" d)","En curso"))))))</f>
        <v/>
      </c>
      <c r="X54" s="79" t="n"/>
      <c r="Y54">
        <f>IF($E54&amp;""="","",IF(LEFT(SUBSTITUTE(SUBSTITUTE(SUBSTITUTE(SUBSTITUTE(SUBSTITUTE($E54&amp;""," ",""),"-",""),"+",""),"(",""),")",""),1)="0",PaisCod&amp;MID(SUBSTITUTE(SUBSTITUTE(SUBSTITUTE(SUBSTITUTE(SUBSTITUTE($E54&amp;""," ",""),"-",""),"+",""),"(",""),")",""),2,20),SUBSTITUTE(SUBSTITUTE(SUBSTITUTE(SUBSTITUTE(SUBSTITUTE($E54&amp;""," ",""),"-",""),"+",""),"(",""),")","")))</f>
        <v/>
      </c>
      <c r="Z54">
        <f>IF(AND(N($R54)&gt;0,$V54&lt;&gt;"Cancelado"),$R54+ROW()/1000000,"")</f>
        <v/>
      </c>
      <c r="AA54">
        <f>IF(AND(OR($V54="Pendiente",$V54="Preparando",$V54="Enviado"),N($U54)&gt;0),$U54+ROW()/1000000,"")</f>
        <v/>
      </c>
      <c r="AB54">
        <f>IF(AND($D54="",$G54=""),"",IF($V54="Cancelado",0,$L54))</f>
        <v/>
      </c>
    </row>
    <row r="55" ht="19" customHeight="1">
      <c r="B55" s="85">
        <f>IF(AND($D55="",$G55=""),"",ROW()-7)</f>
        <v/>
      </c>
      <c r="C55" s="75" t="n"/>
      <c r="D55" s="76" t="n"/>
      <c r="E55" s="77" t="n"/>
      <c r="F55" s="86">
        <f>IF($Y55="","",HYPERLINK("https://wa.me/"&amp;$Y55&amp;"?text="&amp;SUBSTITUTE("Hola "&amp;$D55&amp;", te escribo por tu pedido de "&amp;$G55&amp;"."," ","%20"),"Abrir chat"))</f>
        <v/>
      </c>
      <c r="G55" s="79" t="n"/>
      <c r="H55" s="80" t="n"/>
      <c r="I55" s="81" t="n"/>
      <c r="J55" s="81" t="n"/>
      <c r="K55" s="81" t="n"/>
      <c r="L55" s="82">
        <f>IF(AND($D55="",$G55=""),"",IF(N($H55)=0,1,$H55)*N($I55)-N($J55)+N($K55))</f>
        <v/>
      </c>
      <c r="M55" s="81" t="n"/>
      <c r="N55" s="81" t="n"/>
      <c r="O55" s="87">
        <f>IF(OR(AND($D55="",$G55=""),$M55="",$V55="Cancelado"),"",$L55-N($M55)-N($N55))</f>
        <v/>
      </c>
      <c r="P55" s="79" t="n"/>
      <c r="Q55" s="81" t="n"/>
      <c r="R55" s="82">
        <f>IF(AND($D55="",$G55=""),"",IF($V55="Cancelado",0,MAX(0,$L55-N($Q55))))</f>
        <v/>
      </c>
      <c r="S55" s="63">
        <f>IF(AND($D55="",$G55=""),"",IF($V55="Cancelado","Cancelado",IF($L55&lt;=0,"",IF(N($Q55)&gt;=$L55,"✔ Pagado",IF(N($Q55)&gt;0,"⚠ Pago parcial","✖ Sin pagar")))))</f>
        <v/>
      </c>
      <c r="T55" s="79" t="n"/>
      <c r="U55" s="75" t="n"/>
      <c r="V55" s="84" t="n"/>
      <c r="W55" s="64">
        <f>IF(AND($D55="",$G55=""),"",IF($C55="","⚠ Falta la fecha del pedido",IF($V55="","⚠ Elegí el estado de entrega",IF($V55="Cancelado","Cancelado",IF($V55="Entregado",IF($R55&gt;0,"⚠ Entregado: falta cobrar","✔ Cerrado"),IF(AND(N($U55)&gt;0,$U55&lt;TODAY()),"✖ Entrega atrasada ("&amp;(TODAY()-$U55)&amp;" d)","En curso"))))))</f>
        <v/>
      </c>
      <c r="X55" s="79" t="n"/>
      <c r="Y55">
        <f>IF($E55&amp;""="","",IF(LEFT(SUBSTITUTE(SUBSTITUTE(SUBSTITUTE(SUBSTITUTE(SUBSTITUTE($E55&amp;""," ",""),"-",""),"+",""),"(",""),")",""),1)="0",PaisCod&amp;MID(SUBSTITUTE(SUBSTITUTE(SUBSTITUTE(SUBSTITUTE(SUBSTITUTE($E55&amp;""," ",""),"-",""),"+",""),"(",""),")",""),2,20),SUBSTITUTE(SUBSTITUTE(SUBSTITUTE(SUBSTITUTE(SUBSTITUTE($E55&amp;""," ",""),"-",""),"+",""),"(",""),")","")))</f>
        <v/>
      </c>
      <c r="Z55">
        <f>IF(AND(N($R55)&gt;0,$V55&lt;&gt;"Cancelado"),$R55+ROW()/1000000,"")</f>
        <v/>
      </c>
      <c r="AA55">
        <f>IF(AND(OR($V55="Pendiente",$V55="Preparando",$V55="Enviado"),N($U55)&gt;0),$U55+ROW()/1000000,"")</f>
        <v/>
      </c>
      <c r="AB55">
        <f>IF(AND($D55="",$G55=""),"",IF($V55="Cancelado",0,$L55))</f>
        <v/>
      </c>
    </row>
    <row r="56" ht="19" customHeight="1">
      <c r="B56" s="74">
        <f>IF(AND($D56="",$G56=""),"",ROW()-7)</f>
        <v/>
      </c>
      <c r="C56" s="75" t="n"/>
      <c r="D56" s="76" t="n"/>
      <c r="E56" s="77" t="n"/>
      <c r="F56" s="78">
        <f>IF($Y56="","",HYPERLINK("https://wa.me/"&amp;$Y56&amp;"?text="&amp;SUBSTITUTE("Hola "&amp;$D56&amp;", te escribo por tu pedido de "&amp;$G56&amp;"."," ","%20"),"Abrir chat"))</f>
        <v/>
      </c>
      <c r="G56" s="79" t="n"/>
      <c r="H56" s="80" t="n"/>
      <c r="I56" s="81" t="n"/>
      <c r="J56" s="81" t="n"/>
      <c r="K56" s="81" t="n"/>
      <c r="L56" s="82">
        <f>IF(AND($D56="",$G56=""),"",IF(N($H56)=0,1,$H56)*N($I56)-N($J56)+N($K56))</f>
        <v/>
      </c>
      <c r="M56" s="81" t="n"/>
      <c r="N56" s="81" t="n"/>
      <c r="O56" s="83">
        <f>IF(OR(AND($D56="",$G56=""),$M56="",$V56="Cancelado"),"",$L56-N($M56)-N($N56))</f>
        <v/>
      </c>
      <c r="P56" s="79" t="n"/>
      <c r="Q56" s="81" t="n"/>
      <c r="R56" s="82">
        <f>IF(AND($D56="",$G56=""),"",IF($V56="Cancelado",0,MAX(0,$L56-N($Q56))))</f>
        <v/>
      </c>
      <c r="S56" s="60">
        <f>IF(AND($D56="",$G56=""),"",IF($V56="Cancelado","Cancelado",IF($L56&lt;=0,"",IF(N($Q56)&gt;=$L56,"✔ Pagado",IF(N($Q56)&gt;0,"⚠ Pago parcial","✖ Sin pagar")))))</f>
        <v/>
      </c>
      <c r="T56" s="79" t="n"/>
      <c r="U56" s="75" t="n"/>
      <c r="V56" s="84" t="n"/>
      <c r="W56" s="61">
        <f>IF(AND($D56="",$G56=""),"",IF($C56="","⚠ Falta la fecha del pedido",IF($V56="","⚠ Elegí el estado de entrega",IF($V56="Cancelado","Cancelado",IF($V56="Entregado",IF($R56&gt;0,"⚠ Entregado: falta cobrar","✔ Cerrado"),IF(AND(N($U56)&gt;0,$U56&lt;TODAY()),"✖ Entrega atrasada ("&amp;(TODAY()-$U56)&amp;" d)","En curso"))))))</f>
        <v/>
      </c>
      <c r="X56" s="79" t="n"/>
      <c r="Y56">
        <f>IF($E56&amp;""="","",IF(LEFT(SUBSTITUTE(SUBSTITUTE(SUBSTITUTE(SUBSTITUTE(SUBSTITUTE($E56&amp;""," ",""),"-",""),"+",""),"(",""),")",""),1)="0",PaisCod&amp;MID(SUBSTITUTE(SUBSTITUTE(SUBSTITUTE(SUBSTITUTE(SUBSTITUTE($E56&amp;""," ",""),"-",""),"+",""),"(",""),")",""),2,20),SUBSTITUTE(SUBSTITUTE(SUBSTITUTE(SUBSTITUTE(SUBSTITUTE($E56&amp;""," ",""),"-",""),"+",""),"(",""),")","")))</f>
        <v/>
      </c>
      <c r="Z56">
        <f>IF(AND(N($R56)&gt;0,$V56&lt;&gt;"Cancelado"),$R56+ROW()/1000000,"")</f>
        <v/>
      </c>
      <c r="AA56">
        <f>IF(AND(OR($V56="Pendiente",$V56="Preparando",$V56="Enviado"),N($U56)&gt;0),$U56+ROW()/1000000,"")</f>
        <v/>
      </c>
      <c r="AB56">
        <f>IF(AND($D56="",$G56=""),"",IF($V56="Cancelado",0,$L56))</f>
        <v/>
      </c>
    </row>
    <row r="57" ht="19" customHeight="1">
      <c r="B57" s="85">
        <f>IF(AND($D57="",$G57=""),"",ROW()-7)</f>
        <v/>
      </c>
      <c r="C57" s="75" t="n"/>
      <c r="D57" s="76" t="n"/>
      <c r="E57" s="77" t="n"/>
      <c r="F57" s="86">
        <f>IF($Y57="","",HYPERLINK("https://wa.me/"&amp;$Y57&amp;"?text="&amp;SUBSTITUTE("Hola "&amp;$D57&amp;", te escribo por tu pedido de "&amp;$G57&amp;"."," ","%20"),"Abrir chat"))</f>
        <v/>
      </c>
      <c r="G57" s="79" t="n"/>
      <c r="H57" s="80" t="n"/>
      <c r="I57" s="81" t="n"/>
      <c r="J57" s="81" t="n"/>
      <c r="K57" s="81" t="n"/>
      <c r="L57" s="82">
        <f>IF(AND($D57="",$G57=""),"",IF(N($H57)=0,1,$H57)*N($I57)-N($J57)+N($K57))</f>
        <v/>
      </c>
      <c r="M57" s="81" t="n"/>
      <c r="N57" s="81" t="n"/>
      <c r="O57" s="87">
        <f>IF(OR(AND($D57="",$G57=""),$M57="",$V57="Cancelado"),"",$L57-N($M57)-N($N57))</f>
        <v/>
      </c>
      <c r="P57" s="79" t="n"/>
      <c r="Q57" s="81" t="n"/>
      <c r="R57" s="82">
        <f>IF(AND($D57="",$G57=""),"",IF($V57="Cancelado",0,MAX(0,$L57-N($Q57))))</f>
        <v/>
      </c>
      <c r="S57" s="63">
        <f>IF(AND($D57="",$G57=""),"",IF($V57="Cancelado","Cancelado",IF($L57&lt;=0,"",IF(N($Q57)&gt;=$L57,"✔ Pagado",IF(N($Q57)&gt;0,"⚠ Pago parcial","✖ Sin pagar")))))</f>
        <v/>
      </c>
      <c r="T57" s="79" t="n"/>
      <c r="U57" s="75" t="n"/>
      <c r="V57" s="84" t="n"/>
      <c r="W57" s="64">
        <f>IF(AND($D57="",$G57=""),"",IF($C57="","⚠ Falta la fecha del pedido",IF($V57="","⚠ Elegí el estado de entrega",IF($V57="Cancelado","Cancelado",IF($V57="Entregado",IF($R57&gt;0,"⚠ Entregado: falta cobrar","✔ Cerrado"),IF(AND(N($U57)&gt;0,$U57&lt;TODAY()),"✖ Entrega atrasada ("&amp;(TODAY()-$U57)&amp;" d)","En curso"))))))</f>
        <v/>
      </c>
      <c r="X57" s="79" t="n"/>
      <c r="Y57">
        <f>IF($E57&amp;""="","",IF(LEFT(SUBSTITUTE(SUBSTITUTE(SUBSTITUTE(SUBSTITUTE(SUBSTITUTE($E57&amp;""," ",""),"-",""),"+",""),"(",""),")",""),1)="0",PaisCod&amp;MID(SUBSTITUTE(SUBSTITUTE(SUBSTITUTE(SUBSTITUTE(SUBSTITUTE($E57&amp;""," ",""),"-",""),"+",""),"(",""),")",""),2,20),SUBSTITUTE(SUBSTITUTE(SUBSTITUTE(SUBSTITUTE(SUBSTITUTE($E57&amp;""," ",""),"-",""),"+",""),"(",""),")","")))</f>
        <v/>
      </c>
      <c r="Z57">
        <f>IF(AND(N($R57)&gt;0,$V57&lt;&gt;"Cancelado"),$R57+ROW()/1000000,"")</f>
        <v/>
      </c>
      <c r="AA57">
        <f>IF(AND(OR($V57="Pendiente",$V57="Preparando",$V57="Enviado"),N($U57)&gt;0),$U57+ROW()/1000000,"")</f>
        <v/>
      </c>
      <c r="AB57">
        <f>IF(AND($D57="",$G57=""),"",IF($V57="Cancelado",0,$L57))</f>
        <v/>
      </c>
    </row>
    <row r="58" ht="19" customHeight="1">
      <c r="B58" s="74">
        <f>IF(AND($D58="",$G58=""),"",ROW()-7)</f>
        <v/>
      </c>
      <c r="C58" s="75" t="n"/>
      <c r="D58" s="76" t="n"/>
      <c r="E58" s="77" t="n"/>
      <c r="F58" s="78">
        <f>IF($Y58="","",HYPERLINK("https://wa.me/"&amp;$Y58&amp;"?text="&amp;SUBSTITUTE("Hola "&amp;$D58&amp;", te escribo por tu pedido de "&amp;$G58&amp;"."," ","%20"),"Abrir chat"))</f>
        <v/>
      </c>
      <c r="G58" s="79" t="n"/>
      <c r="H58" s="80" t="n"/>
      <c r="I58" s="81" t="n"/>
      <c r="J58" s="81" t="n"/>
      <c r="K58" s="81" t="n"/>
      <c r="L58" s="82">
        <f>IF(AND($D58="",$G58=""),"",IF(N($H58)=0,1,$H58)*N($I58)-N($J58)+N($K58))</f>
        <v/>
      </c>
      <c r="M58" s="81" t="n"/>
      <c r="N58" s="81" t="n"/>
      <c r="O58" s="83">
        <f>IF(OR(AND($D58="",$G58=""),$M58="",$V58="Cancelado"),"",$L58-N($M58)-N($N58))</f>
        <v/>
      </c>
      <c r="P58" s="79" t="n"/>
      <c r="Q58" s="81" t="n"/>
      <c r="R58" s="82">
        <f>IF(AND($D58="",$G58=""),"",IF($V58="Cancelado",0,MAX(0,$L58-N($Q58))))</f>
        <v/>
      </c>
      <c r="S58" s="60">
        <f>IF(AND($D58="",$G58=""),"",IF($V58="Cancelado","Cancelado",IF($L58&lt;=0,"",IF(N($Q58)&gt;=$L58,"✔ Pagado",IF(N($Q58)&gt;0,"⚠ Pago parcial","✖ Sin pagar")))))</f>
        <v/>
      </c>
      <c r="T58" s="79" t="n"/>
      <c r="U58" s="75" t="n"/>
      <c r="V58" s="84" t="n"/>
      <c r="W58" s="61">
        <f>IF(AND($D58="",$G58=""),"",IF($C58="","⚠ Falta la fecha del pedido",IF($V58="","⚠ Elegí el estado de entrega",IF($V58="Cancelado","Cancelado",IF($V58="Entregado",IF($R58&gt;0,"⚠ Entregado: falta cobrar","✔ Cerrado"),IF(AND(N($U58)&gt;0,$U58&lt;TODAY()),"✖ Entrega atrasada ("&amp;(TODAY()-$U58)&amp;" d)","En curso"))))))</f>
        <v/>
      </c>
      <c r="X58" s="79" t="n"/>
      <c r="Y58">
        <f>IF($E58&amp;""="","",IF(LEFT(SUBSTITUTE(SUBSTITUTE(SUBSTITUTE(SUBSTITUTE(SUBSTITUTE($E58&amp;""," ",""),"-",""),"+",""),"(",""),")",""),1)="0",PaisCod&amp;MID(SUBSTITUTE(SUBSTITUTE(SUBSTITUTE(SUBSTITUTE(SUBSTITUTE($E58&amp;""," ",""),"-",""),"+",""),"(",""),")",""),2,20),SUBSTITUTE(SUBSTITUTE(SUBSTITUTE(SUBSTITUTE(SUBSTITUTE($E58&amp;""," ",""),"-",""),"+",""),"(",""),")","")))</f>
        <v/>
      </c>
      <c r="Z58">
        <f>IF(AND(N($R58)&gt;0,$V58&lt;&gt;"Cancelado"),$R58+ROW()/1000000,"")</f>
        <v/>
      </c>
      <c r="AA58">
        <f>IF(AND(OR($V58="Pendiente",$V58="Preparando",$V58="Enviado"),N($U58)&gt;0),$U58+ROW()/1000000,"")</f>
        <v/>
      </c>
      <c r="AB58">
        <f>IF(AND($D58="",$G58=""),"",IF($V58="Cancelado",0,$L58))</f>
        <v/>
      </c>
    </row>
    <row r="59" ht="19" customHeight="1">
      <c r="B59" s="85">
        <f>IF(AND($D59="",$G59=""),"",ROW()-7)</f>
        <v/>
      </c>
      <c r="C59" s="75" t="n"/>
      <c r="D59" s="76" t="n"/>
      <c r="E59" s="77" t="n"/>
      <c r="F59" s="86">
        <f>IF($Y59="","",HYPERLINK("https://wa.me/"&amp;$Y59&amp;"?text="&amp;SUBSTITUTE("Hola "&amp;$D59&amp;", te escribo por tu pedido de "&amp;$G59&amp;"."," ","%20"),"Abrir chat"))</f>
        <v/>
      </c>
      <c r="G59" s="79" t="n"/>
      <c r="H59" s="80" t="n"/>
      <c r="I59" s="81" t="n"/>
      <c r="J59" s="81" t="n"/>
      <c r="K59" s="81" t="n"/>
      <c r="L59" s="82">
        <f>IF(AND($D59="",$G59=""),"",IF(N($H59)=0,1,$H59)*N($I59)-N($J59)+N($K59))</f>
        <v/>
      </c>
      <c r="M59" s="81" t="n"/>
      <c r="N59" s="81" t="n"/>
      <c r="O59" s="87">
        <f>IF(OR(AND($D59="",$G59=""),$M59="",$V59="Cancelado"),"",$L59-N($M59)-N($N59))</f>
        <v/>
      </c>
      <c r="P59" s="79" t="n"/>
      <c r="Q59" s="81" t="n"/>
      <c r="R59" s="82">
        <f>IF(AND($D59="",$G59=""),"",IF($V59="Cancelado",0,MAX(0,$L59-N($Q59))))</f>
        <v/>
      </c>
      <c r="S59" s="63">
        <f>IF(AND($D59="",$G59=""),"",IF($V59="Cancelado","Cancelado",IF($L59&lt;=0,"",IF(N($Q59)&gt;=$L59,"✔ Pagado",IF(N($Q59)&gt;0,"⚠ Pago parcial","✖ Sin pagar")))))</f>
        <v/>
      </c>
      <c r="T59" s="79" t="n"/>
      <c r="U59" s="75" t="n"/>
      <c r="V59" s="84" t="n"/>
      <c r="W59" s="64">
        <f>IF(AND($D59="",$G59=""),"",IF($C59="","⚠ Falta la fecha del pedido",IF($V59="","⚠ Elegí el estado de entrega",IF($V59="Cancelado","Cancelado",IF($V59="Entregado",IF($R59&gt;0,"⚠ Entregado: falta cobrar","✔ Cerrado"),IF(AND(N($U59)&gt;0,$U59&lt;TODAY()),"✖ Entrega atrasada ("&amp;(TODAY()-$U59)&amp;" d)","En curso"))))))</f>
        <v/>
      </c>
      <c r="X59" s="79" t="n"/>
      <c r="Y59">
        <f>IF($E59&amp;""="","",IF(LEFT(SUBSTITUTE(SUBSTITUTE(SUBSTITUTE(SUBSTITUTE(SUBSTITUTE($E59&amp;""," ",""),"-",""),"+",""),"(",""),")",""),1)="0",PaisCod&amp;MID(SUBSTITUTE(SUBSTITUTE(SUBSTITUTE(SUBSTITUTE(SUBSTITUTE($E59&amp;""," ",""),"-",""),"+",""),"(",""),")",""),2,20),SUBSTITUTE(SUBSTITUTE(SUBSTITUTE(SUBSTITUTE(SUBSTITUTE($E59&amp;""," ",""),"-",""),"+",""),"(",""),")","")))</f>
        <v/>
      </c>
      <c r="Z59">
        <f>IF(AND(N($R59)&gt;0,$V59&lt;&gt;"Cancelado"),$R59+ROW()/1000000,"")</f>
        <v/>
      </c>
      <c r="AA59">
        <f>IF(AND(OR($V59="Pendiente",$V59="Preparando",$V59="Enviado"),N($U59)&gt;0),$U59+ROW()/1000000,"")</f>
        <v/>
      </c>
      <c r="AB59">
        <f>IF(AND($D59="",$G59=""),"",IF($V59="Cancelado",0,$L59))</f>
        <v/>
      </c>
    </row>
    <row r="60" ht="19" customHeight="1">
      <c r="B60" s="74">
        <f>IF(AND($D60="",$G60=""),"",ROW()-7)</f>
        <v/>
      </c>
      <c r="C60" s="75" t="n"/>
      <c r="D60" s="76" t="n"/>
      <c r="E60" s="77" t="n"/>
      <c r="F60" s="78">
        <f>IF($Y60="","",HYPERLINK("https://wa.me/"&amp;$Y60&amp;"?text="&amp;SUBSTITUTE("Hola "&amp;$D60&amp;", te escribo por tu pedido de "&amp;$G60&amp;"."," ","%20"),"Abrir chat"))</f>
        <v/>
      </c>
      <c r="G60" s="79" t="n"/>
      <c r="H60" s="80" t="n"/>
      <c r="I60" s="81" t="n"/>
      <c r="J60" s="81" t="n"/>
      <c r="K60" s="81" t="n"/>
      <c r="L60" s="82">
        <f>IF(AND($D60="",$G60=""),"",IF(N($H60)=0,1,$H60)*N($I60)-N($J60)+N($K60))</f>
        <v/>
      </c>
      <c r="M60" s="81" t="n"/>
      <c r="N60" s="81" t="n"/>
      <c r="O60" s="83">
        <f>IF(OR(AND($D60="",$G60=""),$M60="",$V60="Cancelado"),"",$L60-N($M60)-N($N60))</f>
        <v/>
      </c>
      <c r="P60" s="79" t="n"/>
      <c r="Q60" s="81" t="n"/>
      <c r="R60" s="82">
        <f>IF(AND($D60="",$G60=""),"",IF($V60="Cancelado",0,MAX(0,$L60-N($Q60))))</f>
        <v/>
      </c>
      <c r="S60" s="60">
        <f>IF(AND($D60="",$G60=""),"",IF($V60="Cancelado","Cancelado",IF($L60&lt;=0,"",IF(N($Q60)&gt;=$L60,"✔ Pagado",IF(N($Q60)&gt;0,"⚠ Pago parcial","✖ Sin pagar")))))</f>
        <v/>
      </c>
      <c r="T60" s="79" t="n"/>
      <c r="U60" s="75" t="n"/>
      <c r="V60" s="84" t="n"/>
      <c r="W60" s="61">
        <f>IF(AND($D60="",$G60=""),"",IF($C60="","⚠ Falta la fecha del pedido",IF($V60="","⚠ Elegí el estado de entrega",IF($V60="Cancelado","Cancelado",IF($V60="Entregado",IF($R60&gt;0,"⚠ Entregado: falta cobrar","✔ Cerrado"),IF(AND(N($U60)&gt;0,$U60&lt;TODAY()),"✖ Entrega atrasada ("&amp;(TODAY()-$U60)&amp;" d)","En curso"))))))</f>
        <v/>
      </c>
      <c r="X60" s="79" t="n"/>
      <c r="Y60">
        <f>IF($E60&amp;""="","",IF(LEFT(SUBSTITUTE(SUBSTITUTE(SUBSTITUTE(SUBSTITUTE(SUBSTITUTE($E60&amp;""," ",""),"-",""),"+",""),"(",""),")",""),1)="0",PaisCod&amp;MID(SUBSTITUTE(SUBSTITUTE(SUBSTITUTE(SUBSTITUTE(SUBSTITUTE($E60&amp;""," ",""),"-",""),"+",""),"(",""),")",""),2,20),SUBSTITUTE(SUBSTITUTE(SUBSTITUTE(SUBSTITUTE(SUBSTITUTE($E60&amp;""," ",""),"-",""),"+",""),"(",""),")","")))</f>
        <v/>
      </c>
      <c r="Z60">
        <f>IF(AND(N($R60)&gt;0,$V60&lt;&gt;"Cancelado"),$R60+ROW()/1000000,"")</f>
        <v/>
      </c>
      <c r="AA60">
        <f>IF(AND(OR($V60="Pendiente",$V60="Preparando",$V60="Enviado"),N($U60)&gt;0),$U60+ROW()/1000000,"")</f>
        <v/>
      </c>
      <c r="AB60">
        <f>IF(AND($D60="",$G60=""),"",IF($V60="Cancelado",0,$L60))</f>
        <v/>
      </c>
    </row>
    <row r="61" ht="19" customHeight="1">
      <c r="B61" s="85">
        <f>IF(AND($D61="",$G61=""),"",ROW()-7)</f>
        <v/>
      </c>
      <c r="C61" s="75" t="n"/>
      <c r="D61" s="76" t="n"/>
      <c r="E61" s="77" t="n"/>
      <c r="F61" s="86">
        <f>IF($Y61="","",HYPERLINK("https://wa.me/"&amp;$Y61&amp;"?text="&amp;SUBSTITUTE("Hola "&amp;$D61&amp;", te escribo por tu pedido de "&amp;$G61&amp;"."," ","%20"),"Abrir chat"))</f>
        <v/>
      </c>
      <c r="G61" s="79" t="n"/>
      <c r="H61" s="80" t="n"/>
      <c r="I61" s="81" t="n"/>
      <c r="J61" s="81" t="n"/>
      <c r="K61" s="81" t="n"/>
      <c r="L61" s="82">
        <f>IF(AND($D61="",$G61=""),"",IF(N($H61)=0,1,$H61)*N($I61)-N($J61)+N($K61))</f>
        <v/>
      </c>
      <c r="M61" s="81" t="n"/>
      <c r="N61" s="81" t="n"/>
      <c r="O61" s="87">
        <f>IF(OR(AND($D61="",$G61=""),$M61="",$V61="Cancelado"),"",$L61-N($M61)-N($N61))</f>
        <v/>
      </c>
      <c r="P61" s="79" t="n"/>
      <c r="Q61" s="81" t="n"/>
      <c r="R61" s="82">
        <f>IF(AND($D61="",$G61=""),"",IF($V61="Cancelado",0,MAX(0,$L61-N($Q61))))</f>
        <v/>
      </c>
      <c r="S61" s="63">
        <f>IF(AND($D61="",$G61=""),"",IF($V61="Cancelado","Cancelado",IF($L61&lt;=0,"",IF(N($Q61)&gt;=$L61,"✔ Pagado",IF(N($Q61)&gt;0,"⚠ Pago parcial","✖ Sin pagar")))))</f>
        <v/>
      </c>
      <c r="T61" s="79" t="n"/>
      <c r="U61" s="75" t="n"/>
      <c r="V61" s="84" t="n"/>
      <c r="W61" s="64">
        <f>IF(AND($D61="",$G61=""),"",IF($C61="","⚠ Falta la fecha del pedido",IF($V61="","⚠ Elegí el estado de entrega",IF($V61="Cancelado","Cancelado",IF($V61="Entregado",IF($R61&gt;0,"⚠ Entregado: falta cobrar","✔ Cerrado"),IF(AND(N($U61)&gt;0,$U61&lt;TODAY()),"✖ Entrega atrasada ("&amp;(TODAY()-$U61)&amp;" d)","En curso"))))))</f>
        <v/>
      </c>
      <c r="X61" s="79" t="n"/>
      <c r="Y61">
        <f>IF($E61&amp;""="","",IF(LEFT(SUBSTITUTE(SUBSTITUTE(SUBSTITUTE(SUBSTITUTE(SUBSTITUTE($E61&amp;""," ",""),"-",""),"+",""),"(",""),")",""),1)="0",PaisCod&amp;MID(SUBSTITUTE(SUBSTITUTE(SUBSTITUTE(SUBSTITUTE(SUBSTITUTE($E61&amp;""," ",""),"-",""),"+",""),"(",""),")",""),2,20),SUBSTITUTE(SUBSTITUTE(SUBSTITUTE(SUBSTITUTE(SUBSTITUTE($E61&amp;""," ",""),"-",""),"+",""),"(",""),")","")))</f>
        <v/>
      </c>
      <c r="Z61">
        <f>IF(AND(N($R61)&gt;0,$V61&lt;&gt;"Cancelado"),$R61+ROW()/1000000,"")</f>
        <v/>
      </c>
      <c r="AA61">
        <f>IF(AND(OR($V61="Pendiente",$V61="Preparando",$V61="Enviado"),N($U61)&gt;0),$U61+ROW()/1000000,"")</f>
        <v/>
      </c>
      <c r="AB61">
        <f>IF(AND($D61="",$G61=""),"",IF($V61="Cancelado",0,$L61))</f>
        <v/>
      </c>
    </row>
    <row r="62" ht="19" customHeight="1">
      <c r="B62" s="74">
        <f>IF(AND($D62="",$G62=""),"",ROW()-7)</f>
        <v/>
      </c>
      <c r="C62" s="75" t="n"/>
      <c r="D62" s="76" t="n"/>
      <c r="E62" s="77" t="n"/>
      <c r="F62" s="78">
        <f>IF($Y62="","",HYPERLINK("https://wa.me/"&amp;$Y62&amp;"?text="&amp;SUBSTITUTE("Hola "&amp;$D62&amp;", te escribo por tu pedido de "&amp;$G62&amp;"."," ","%20"),"Abrir chat"))</f>
        <v/>
      </c>
      <c r="G62" s="79" t="n"/>
      <c r="H62" s="80" t="n"/>
      <c r="I62" s="81" t="n"/>
      <c r="J62" s="81" t="n"/>
      <c r="K62" s="81" t="n"/>
      <c r="L62" s="82">
        <f>IF(AND($D62="",$G62=""),"",IF(N($H62)=0,1,$H62)*N($I62)-N($J62)+N($K62))</f>
        <v/>
      </c>
      <c r="M62" s="81" t="n"/>
      <c r="N62" s="81" t="n"/>
      <c r="O62" s="83">
        <f>IF(OR(AND($D62="",$G62=""),$M62="",$V62="Cancelado"),"",$L62-N($M62)-N($N62))</f>
        <v/>
      </c>
      <c r="P62" s="79" t="n"/>
      <c r="Q62" s="81" t="n"/>
      <c r="R62" s="82">
        <f>IF(AND($D62="",$G62=""),"",IF($V62="Cancelado",0,MAX(0,$L62-N($Q62))))</f>
        <v/>
      </c>
      <c r="S62" s="60">
        <f>IF(AND($D62="",$G62=""),"",IF($V62="Cancelado","Cancelado",IF($L62&lt;=0,"",IF(N($Q62)&gt;=$L62,"✔ Pagado",IF(N($Q62)&gt;0,"⚠ Pago parcial","✖ Sin pagar")))))</f>
        <v/>
      </c>
      <c r="T62" s="79" t="n"/>
      <c r="U62" s="75" t="n"/>
      <c r="V62" s="84" t="n"/>
      <c r="W62" s="61">
        <f>IF(AND($D62="",$G62=""),"",IF($C62="","⚠ Falta la fecha del pedido",IF($V62="","⚠ Elegí el estado de entrega",IF($V62="Cancelado","Cancelado",IF($V62="Entregado",IF($R62&gt;0,"⚠ Entregado: falta cobrar","✔ Cerrado"),IF(AND(N($U62)&gt;0,$U62&lt;TODAY()),"✖ Entrega atrasada ("&amp;(TODAY()-$U62)&amp;" d)","En curso"))))))</f>
        <v/>
      </c>
      <c r="X62" s="79" t="n"/>
      <c r="Y62">
        <f>IF($E62&amp;""="","",IF(LEFT(SUBSTITUTE(SUBSTITUTE(SUBSTITUTE(SUBSTITUTE(SUBSTITUTE($E62&amp;""," ",""),"-",""),"+",""),"(",""),")",""),1)="0",PaisCod&amp;MID(SUBSTITUTE(SUBSTITUTE(SUBSTITUTE(SUBSTITUTE(SUBSTITUTE($E62&amp;""," ",""),"-",""),"+",""),"(",""),")",""),2,20),SUBSTITUTE(SUBSTITUTE(SUBSTITUTE(SUBSTITUTE(SUBSTITUTE($E62&amp;""," ",""),"-",""),"+",""),"(",""),")","")))</f>
        <v/>
      </c>
      <c r="Z62">
        <f>IF(AND(N($R62)&gt;0,$V62&lt;&gt;"Cancelado"),$R62+ROW()/1000000,"")</f>
        <v/>
      </c>
      <c r="AA62">
        <f>IF(AND(OR($V62="Pendiente",$V62="Preparando",$V62="Enviado"),N($U62)&gt;0),$U62+ROW()/1000000,"")</f>
        <v/>
      </c>
      <c r="AB62">
        <f>IF(AND($D62="",$G62=""),"",IF($V62="Cancelado",0,$L62))</f>
        <v/>
      </c>
    </row>
    <row r="63" ht="19" customHeight="1">
      <c r="B63" s="85">
        <f>IF(AND($D63="",$G63=""),"",ROW()-7)</f>
        <v/>
      </c>
      <c r="C63" s="75" t="n"/>
      <c r="D63" s="76" t="n"/>
      <c r="E63" s="77" t="n"/>
      <c r="F63" s="86">
        <f>IF($Y63="","",HYPERLINK("https://wa.me/"&amp;$Y63&amp;"?text="&amp;SUBSTITUTE("Hola "&amp;$D63&amp;", te escribo por tu pedido de "&amp;$G63&amp;"."," ","%20"),"Abrir chat"))</f>
        <v/>
      </c>
      <c r="G63" s="79" t="n"/>
      <c r="H63" s="80" t="n"/>
      <c r="I63" s="81" t="n"/>
      <c r="J63" s="81" t="n"/>
      <c r="K63" s="81" t="n"/>
      <c r="L63" s="82">
        <f>IF(AND($D63="",$G63=""),"",IF(N($H63)=0,1,$H63)*N($I63)-N($J63)+N($K63))</f>
        <v/>
      </c>
      <c r="M63" s="81" t="n"/>
      <c r="N63" s="81" t="n"/>
      <c r="O63" s="87">
        <f>IF(OR(AND($D63="",$G63=""),$M63="",$V63="Cancelado"),"",$L63-N($M63)-N($N63))</f>
        <v/>
      </c>
      <c r="P63" s="79" t="n"/>
      <c r="Q63" s="81" t="n"/>
      <c r="R63" s="82">
        <f>IF(AND($D63="",$G63=""),"",IF($V63="Cancelado",0,MAX(0,$L63-N($Q63))))</f>
        <v/>
      </c>
      <c r="S63" s="63">
        <f>IF(AND($D63="",$G63=""),"",IF($V63="Cancelado","Cancelado",IF($L63&lt;=0,"",IF(N($Q63)&gt;=$L63,"✔ Pagado",IF(N($Q63)&gt;0,"⚠ Pago parcial","✖ Sin pagar")))))</f>
        <v/>
      </c>
      <c r="T63" s="79" t="n"/>
      <c r="U63" s="75" t="n"/>
      <c r="V63" s="84" t="n"/>
      <c r="W63" s="64">
        <f>IF(AND($D63="",$G63=""),"",IF($C63="","⚠ Falta la fecha del pedido",IF($V63="","⚠ Elegí el estado de entrega",IF($V63="Cancelado","Cancelado",IF($V63="Entregado",IF($R63&gt;0,"⚠ Entregado: falta cobrar","✔ Cerrado"),IF(AND(N($U63)&gt;0,$U63&lt;TODAY()),"✖ Entrega atrasada ("&amp;(TODAY()-$U63)&amp;" d)","En curso"))))))</f>
        <v/>
      </c>
      <c r="X63" s="79" t="n"/>
      <c r="Y63">
        <f>IF($E63&amp;""="","",IF(LEFT(SUBSTITUTE(SUBSTITUTE(SUBSTITUTE(SUBSTITUTE(SUBSTITUTE($E63&amp;""," ",""),"-",""),"+",""),"(",""),")",""),1)="0",PaisCod&amp;MID(SUBSTITUTE(SUBSTITUTE(SUBSTITUTE(SUBSTITUTE(SUBSTITUTE($E63&amp;""," ",""),"-",""),"+",""),"(",""),")",""),2,20),SUBSTITUTE(SUBSTITUTE(SUBSTITUTE(SUBSTITUTE(SUBSTITUTE($E63&amp;""," ",""),"-",""),"+",""),"(",""),")","")))</f>
        <v/>
      </c>
      <c r="Z63">
        <f>IF(AND(N($R63)&gt;0,$V63&lt;&gt;"Cancelado"),$R63+ROW()/1000000,"")</f>
        <v/>
      </c>
      <c r="AA63">
        <f>IF(AND(OR($V63="Pendiente",$V63="Preparando",$V63="Enviado"),N($U63)&gt;0),$U63+ROW()/1000000,"")</f>
        <v/>
      </c>
      <c r="AB63">
        <f>IF(AND($D63="",$G63=""),"",IF($V63="Cancelado",0,$L63))</f>
        <v/>
      </c>
    </row>
    <row r="64" ht="19" customHeight="1">
      <c r="B64" s="74">
        <f>IF(AND($D64="",$G64=""),"",ROW()-7)</f>
        <v/>
      </c>
      <c r="C64" s="75" t="n"/>
      <c r="D64" s="76" t="n"/>
      <c r="E64" s="77" t="n"/>
      <c r="F64" s="78">
        <f>IF($Y64="","",HYPERLINK("https://wa.me/"&amp;$Y64&amp;"?text="&amp;SUBSTITUTE("Hola "&amp;$D64&amp;", te escribo por tu pedido de "&amp;$G64&amp;"."," ","%20"),"Abrir chat"))</f>
        <v/>
      </c>
      <c r="G64" s="79" t="n"/>
      <c r="H64" s="80" t="n"/>
      <c r="I64" s="81" t="n"/>
      <c r="J64" s="81" t="n"/>
      <c r="K64" s="81" t="n"/>
      <c r="L64" s="82">
        <f>IF(AND($D64="",$G64=""),"",IF(N($H64)=0,1,$H64)*N($I64)-N($J64)+N($K64))</f>
        <v/>
      </c>
      <c r="M64" s="81" t="n"/>
      <c r="N64" s="81" t="n"/>
      <c r="O64" s="83">
        <f>IF(OR(AND($D64="",$G64=""),$M64="",$V64="Cancelado"),"",$L64-N($M64)-N($N64))</f>
        <v/>
      </c>
      <c r="P64" s="79" t="n"/>
      <c r="Q64" s="81" t="n"/>
      <c r="R64" s="82">
        <f>IF(AND($D64="",$G64=""),"",IF($V64="Cancelado",0,MAX(0,$L64-N($Q64))))</f>
        <v/>
      </c>
      <c r="S64" s="60">
        <f>IF(AND($D64="",$G64=""),"",IF($V64="Cancelado","Cancelado",IF($L64&lt;=0,"",IF(N($Q64)&gt;=$L64,"✔ Pagado",IF(N($Q64)&gt;0,"⚠ Pago parcial","✖ Sin pagar")))))</f>
        <v/>
      </c>
      <c r="T64" s="79" t="n"/>
      <c r="U64" s="75" t="n"/>
      <c r="V64" s="84" t="n"/>
      <c r="W64" s="61">
        <f>IF(AND($D64="",$G64=""),"",IF($C64="","⚠ Falta la fecha del pedido",IF($V64="","⚠ Elegí el estado de entrega",IF($V64="Cancelado","Cancelado",IF($V64="Entregado",IF($R64&gt;0,"⚠ Entregado: falta cobrar","✔ Cerrado"),IF(AND(N($U64)&gt;0,$U64&lt;TODAY()),"✖ Entrega atrasada ("&amp;(TODAY()-$U64)&amp;" d)","En curso"))))))</f>
        <v/>
      </c>
      <c r="X64" s="79" t="n"/>
      <c r="Y64">
        <f>IF($E64&amp;""="","",IF(LEFT(SUBSTITUTE(SUBSTITUTE(SUBSTITUTE(SUBSTITUTE(SUBSTITUTE($E64&amp;""," ",""),"-",""),"+",""),"(",""),")",""),1)="0",PaisCod&amp;MID(SUBSTITUTE(SUBSTITUTE(SUBSTITUTE(SUBSTITUTE(SUBSTITUTE($E64&amp;""," ",""),"-",""),"+",""),"(",""),")",""),2,20),SUBSTITUTE(SUBSTITUTE(SUBSTITUTE(SUBSTITUTE(SUBSTITUTE($E64&amp;""," ",""),"-",""),"+",""),"(",""),")","")))</f>
        <v/>
      </c>
      <c r="Z64">
        <f>IF(AND(N($R64)&gt;0,$V64&lt;&gt;"Cancelado"),$R64+ROW()/1000000,"")</f>
        <v/>
      </c>
      <c r="AA64">
        <f>IF(AND(OR($V64="Pendiente",$V64="Preparando",$V64="Enviado"),N($U64)&gt;0),$U64+ROW()/1000000,"")</f>
        <v/>
      </c>
      <c r="AB64">
        <f>IF(AND($D64="",$G64=""),"",IF($V64="Cancelado",0,$L64))</f>
        <v/>
      </c>
    </row>
    <row r="65" ht="19" customHeight="1">
      <c r="B65" s="85">
        <f>IF(AND($D65="",$G65=""),"",ROW()-7)</f>
        <v/>
      </c>
      <c r="C65" s="75" t="n"/>
      <c r="D65" s="76" t="n"/>
      <c r="E65" s="77" t="n"/>
      <c r="F65" s="86">
        <f>IF($Y65="","",HYPERLINK("https://wa.me/"&amp;$Y65&amp;"?text="&amp;SUBSTITUTE("Hola "&amp;$D65&amp;", te escribo por tu pedido de "&amp;$G65&amp;"."," ","%20"),"Abrir chat"))</f>
        <v/>
      </c>
      <c r="G65" s="79" t="n"/>
      <c r="H65" s="80" t="n"/>
      <c r="I65" s="81" t="n"/>
      <c r="J65" s="81" t="n"/>
      <c r="K65" s="81" t="n"/>
      <c r="L65" s="82">
        <f>IF(AND($D65="",$G65=""),"",IF(N($H65)=0,1,$H65)*N($I65)-N($J65)+N($K65))</f>
        <v/>
      </c>
      <c r="M65" s="81" t="n"/>
      <c r="N65" s="81" t="n"/>
      <c r="O65" s="87">
        <f>IF(OR(AND($D65="",$G65=""),$M65="",$V65="Cancelado"),"",$L65-N($M65)-N($N65))</f>
        <v/>
      </c>
      <c r="P65" s="79" t="n"/>
      <c r="Q65" s="81" t="n"/>
      <c r="R65" s="82">
        <f>IF(AND($D65="",$G65=""),"",IF($V65="Cancelado",0,MAX(0,$L65-N($Q65))))</f>
        <v/>
      </c>
      <c r="S65" s="63">
        <f>IF(AND($D65="",$G65=""),"",IF($V65="Cancelado","Cancelado",IF($L65&lt;=0,"",IF(N($Q65)&gt;=$L65,"✔ Pagado",IF(N($Q65)&gt;0,"⚠ Pago parcial","✖ Sin pagar")))))</f>
        <v/>
      </c>
      <c r="T65" s="79" t="n"/>
      <c r="U65" s="75" t="n"/>
      <c r="V65" s="84" t="n"/>
      <c r="W65" s="64">
        <f>IF(AND($D65="",$G65=""),"",IF($C65="","⚠ Falta la fecha del pedido",IF($V65="","⚠ Elegí el estado de entrega",IF($V65="Cancelado","Cancelado",IF($V65="Entregado",IF($R65&gt;0,"⚠ Entregado: falta cobrar","✔ Cerrado"),IF(AND(N($U65)&gt;0,$U65&lt;TODAY()),"✖ Entrega atrasada ("&amp;(TODAY()-$U65)&amp;" d)","En curso"))))))</f>
        <v/>
      </c>
      <c r="X65" s="79" t="n"/>
      <c r="Y65">
        <f>IF($E65&amp;""="","",IF(LEFT(SUBSTITUTE(SUBSTITUTE(SUBSTITUTE(SUBSTITUTE(SUBSTITUTE($E65&amp;""," ",""),"-",""),"+",""),"(",""),")",""),1)="0",PaisCod&amp;MID(SUBSTITUTE(SUBSTITUTE(SUBSTITUTE(SUBSTITUTE(SUBSTITUTE($E65&amp;""," ",""),"-",""),"+",""),"(",""),")",""),2,20),SUBSTITUTE(SUBSTITUTE(SUBSTITUTE(SUBSTITUTE(SUBSTITUTE($E65&amp;""," ",""),"-",""),"+",""),"(",""),")","")))</f>
        <v/>
      </c>
      <c r="Z65">
        <f>IF(AND(N($R65)&gt;0,$V65&lt;&gt;"Cancelado"),$R65+ROW()/1000000,"")</f>
        <v/>
      </c>
      <c r="AA65">
        <f>IF(AND(OR($V65="Pendiente",$V65="Preparando",$V65="Enviado"),N($U65)&gt;0),$U65+ROW()/1000000,"")</f>
        <v/>
      </c>
      <c r="AB65">
        <f>IF(AND($D65="",$G65=""),"",IF($V65="Cancelado",0,$L65))</f>
        <v/>
      </c>
    </row>
    <row r="66" ht="19" customHeight="1">
      <c r="B66" s="74">
        <f>IF(AND($D66="",$G66=""),"",ROW()-7)</f>
        <v/>
      </c>
      <c r="C66" s="75" t="n"/>
      <c r="D66" s="76" t="n"/>
      <c r="E66" s="77" t="n"/>
      <c r="F66" s="78">
        <f>IF($Y66="","",HYPERLINK("https://wa.me/"&amp;$Y66&amp;"?text="&amp;SUBSTITUTE("Hola "&amp;$D66&amp;", te escribo por tu pedido de "&amp;$G66&amp;"."," ","%20"),"Abrir chat"))</f>
        <v/>
      </c>
      <c r="G66" s="79" t="n"/>
      <c r="H66" s="80" t="n"/>
      <c r="I66" s="81" t="n"/>
      <c r="J66" s="81" t="n"/>
      <c r="K66" s="81" t="n"/>
      <c r="L66" s="82">
        <f>IF(AND($D66="",$G66=""),"",IF(N($H66)=0,1,$H66)*N($I66)-N($J66)+N($K66))</f>
        <v/>
      </c>
      <c r="M66" s="81" t="n"/>
      <c r="N66" s="81" t="n"/>
      <c r="O66" s="83">
        <f>IF(OR(AND($D66="",$G66=""),$M66="",$V66="Cancelado"),"",$L66-N($M66)-N($N66))</f>
        <v/>
      </c>
      <c r="P66" s="79" t="n"/>
      <c r="Q66" s="81" t="n"/>
      <c r="R66" s="82">
        <f>IF(AND($D66="",$G66=""),"",IF($V66="Cancelado",0,MAX(0,$L66-N($Q66))))</f>
        <v/>
      </c>
      <c r="S66" s="60">
        <f>IF(AND($D66="",$G66=""),"",IF($V66="Cancelado","Cancelado",IF($L66&lt;=0,"",IF(N($Q66)&gt;=$L66,"✔ Pagado",IF(N($Q66)&gt;0,"⚠ Pago parcial","✖ Sin pagar")))))</f>
        <v/>
      </c>
      <c r="T66" s="79" t="n"/>
      <c r="U66" s="75" t="n"/>
      <c r="V66" s="84" t="n"/>
      <c r="W66" s="61">
        <f>IF(AND($D66="",$G66=""),"",IF($C66="","⚠ Falta la fecha del pedido",IF($V66="","⚠ Elegí el estado de entrega",IF($V66="Cancelado","Cancelado",IF($V66="Entregado",IF($R66&gt;0,"⚠ Entregado: falta cobrar","✔ Cerrado"),IF(AND(N($U66)&gt;0,$U66&lt;TODAY()),"✖ Entrega atrasada ("&amp;(TODAY()-$U66)&amp;" d)","En curso"))))))</f>
        <v/>
      </c>
      <c r="X66" s="79" t="n"/>
      <c r="Y66">
        <f>IF($E66&amp;""="","",IF(LEFT(SUBSTITUTE(SUBSTITUTE(SUBSTITUTE(SUBSTITUTE(SUBSTITUTE($E66&amp;""," ",""),"-",""),"+",""),"(",""),")",""),1)="0",PaisCod&amp;MID(SUBSTITUTE(SUBSTITUTE(SUBSTITUTE(SUBSTITUTE(SUBSTITUTE($E66&amp;""," ",""),"-",""),"+",""),"(",""),")",""),2,20),SUBSTITUTE(SUBSTITUTE(SUBSTITUTE(SUBSTITUTE(SUBSTITUTE($E66&amp;""," ",""),"-",""),"+",""),"(",""),")","")))</f>
        <v/>
      </c>
      <c r="Z66">
        <f>IF(AND(N($R66)&gt;0,$V66&lt;&gt;"Cancelado"),$R66+ROW()/1000000,"")</f>
        <v/>
      </c>
      <c r="AA66">
        <f>IF(AND(OR($V66="Pendiente",$V66="Preparando",$V66="Enviado"),N($U66)&gt;0),$U66+ROW()/1000000,"")</f>
        <v/>
      </c>
      <c r="AB66">
        <f>IF(AND($D66="",$G66=""),"",IF($V66="Cancelado",0,$L66))</f>
        <v/>
      </c>
    </row>
    <row r="67" ht="19" customHeight="1">
      <c r="B67" s="85">
        <f>IF(AND($D67="",$G67=""),"",ROW()-7)</f>
        <v/>
      </c>
      <c r="C67" s="75" t="n"/>
      <c r="D67" s="76" t="n"/>
      <c r="E67" s="77" t="n"/>
      <c r="F67" s="86">
        <f>IF($Y67="","",HYPERLINK("https://wa.me/"&amp;$Y67&amp;"?text="&amp;SUBSTITUTE("Hola "&amp;$D67&amp;", te escribo por tu pedido de "&amp;$G67&amp;"."," ","%20"),"Abrir chat"))</f>
        <v/>
      </c>
      <c r="G67" s="79" t="n"/>
      <c r="H67" s="80" t="n"/>
      <c r="I67" s="81" t="n"/>
      <c r="J67" s="81" t="n"/>
      <c r="K67" s="81" t="n"/>
      <c r="L67" s="82">
        <f>IF(AND($D67="",$G67=""),"",IF(N($H67)=0,1,$H67)*N($I67)-N($J67)+N($K67))</f>
        <v/>
      </c>
      <c r="M67" s="81" t="n"/>
      <c r="N67" s="81" t="n"/>
      <c r="O67" s="87">
        <f>IF(OR(AND($D67="",$G67=""),$M67="",$V67="Cancelado"),"",$L67-N($M67)-N($N67))</f>
        <v/>
      </c>
      <c r="P67" s="79" t="n"/>
      <c r="Q67" s="81" t="n"/>
      <c r="R67" s="82">
        <f>IF(AND($D67="",$G67=""),"",IF($V67="Cancelado",0,MAX(0,$L67-N($Q67))))</f>
        <v/>
      </c>
      <c r="S67" s="63">
        <f>IF(AND($D67="",$G67=""),"",IF($V67="Cancelado","Cancelado",IF($L67&lt;=0,"",IF(N($Q67)&gt;=$L67,"✔ Pagado",IF(N($Q67)&gt;0,"⚠ Pago parcial","✖ Sin pagar")))))</f>
        <v/>
      </c>
      <c r="T67" s="79" t="n"/>
      <c r="U67" s="75" t="n"/>
      <c r="V67" s="84" t="n"/>
      <c r="W67" s="64">
        <f>IF(AND($D67="",$G67=""),"",IF($C67="","⚠ Falta la fecha del pedido",IF($V67="","⚠ Elegí el estado de entrega",IF($V67="Cancelado","Cancelado",IF($V67="Entregado",IF($R67&gt;0,"⚠ Entregado: falta cobrar","✔ Cerrado"),IF(AND(N($U67)&gt;0,$U67&lt;TODAY()),"✖ Entrega atrasada ("&amp;(TODAY()-$U67)&amp;" d)","En curso"))))))</f>
        <v/>
      </c>
      <c r="X67" s="79" t="n"/>
      <c r="Y67">
        <f>IF($E67&amp;""="","",IF(LEFT(SUBSTITUTE(SUBSTITUTE(SUBSTITUTE(SUBSTITUTE(SUBSTITUTE($E67&amp;""," ",""),"-",""),"+",""),"(",""),")",""),1)="0",PaisCod&amp;MID(SUBSTITUTE(SUBSTITUTE(SUBSTITUTE(SUBSTITUTE(SUBSTITUTE($E67&amp;""," ",""),"-",""),"+",""),"(",""),")",""),2,20),SUBSTITUTE(SUBSTITUTE(SUBSTITUTE(SUBSTITUTE(SUBSTITUTE($E67&amp;""," ",""),"-",""),"+",""),"(",""),")","")))</f>
        <v/>
      </c>
      <c r="Z67">
        <f>IF(AND(N($R67)&gt;0,$V67&lt;&gt;"Cancelado"),$R67+ROW()/1000000,"")</f>
        <v/>
      </c>
      <c r="AA67">
        <f>IF(AND(OR($V67="Pendiente",$V67="Preparando",$V67="Enviado"),N($U67)&gt;0),$U67+ROW()/1000000,"")</f>
        <v/>
      </c>
      <c r="AB67">
        <f>IF(AND($D67="",$G67=""),"",IF($V67="Cancelado",0,$L67))</f>
        <v/>
      </c>
    </row>
    <row r="68" ht="19" customHeight="1">
      <c r="B68" s="74">
        <f>IF(AND($D68="",$G68=""),"",ROW()-7)</f>
        <v/>
      </c>
      <c r="C68" s="75" t="n"/>
      <c r="D68" s="76" t="n"/>
      <c r="E68" s="77" t="n"/>
      <c r="F68" s="78">
        <f>IF($Y68="","",HYPERLINK("https://wa.me/"&amp;$Y68&amp;"?text="&amp;SUBSTITUTE("Hola "&amp;$D68&amp;", te escribo por tu pedido de "&amp;$G68&amp;"."," ","%20"),"Abrir chat"))</f>
        <v/>
      </c>
      <c r="G68" s="79" t="n"/>
      <c r="H68" s="80" t="n"/>
      <c r="I68" s="81" t="n"/>
      <c r="J68" s="81" t="n"/>
      <c r="K68" s="81" t="n"/>
      <c r="L68" s="82">
        <f>IF(AND($D68="",$G68=""),"",IF(N($H68)=0,1,$H68)*N($I68)-N($J68)+N($K68))</f>
        <v/>
      </c>
      <c r="M68" s="81" t="n"/>
      <c r="N68" s="81" t="n"/>
      <c r="O68" s="83">
        <f>IF(OR(AND($D68="",$G68=""),$M68="",$V68="Cancelado"),"",$L68-N($M68)-N($N68))</f>
        <v/>
      </c>
      <c r="P68" s="79" t="n"/>
      <c r="Q68" s="81" t="n"/>
      <c r="R68" s="82">
        <f>IF(AND($D68="",$G68=""),"",IF($V68="Cancelado",0,MAX(0,$L68-N($Q68))))</f>
        <v/>
      </c>
      <c r="S68" s="60">
        <f>IF(AND($D68="",$G68=""),"",IF($V68="Cancelado","Cancelado",IF($L68&lt;=0,"",IF(N($Q68)&gt;=$L68,"✔ Pagado",IF(N($Q68)&gt;0,"⚠ Pago parcial","✖ Sin pagar")))))</f>
        <v/>
      </c>
      <c r="T68" s="79" t="n"/>
      <c r="U68" s="75" t="n"/>
      <c r="V68" s="84" t="n"/>
      <c r="W68" s="61">
        <f>IF(AND($D68="",$G68=""),"",IF($C68="","⚠ Falta la fecha del pedido",IF($V68="","⚠ Elegí el estado de entrega",IF($V68="Cancelado","Cancelado",IF($V68="Entregado",IF($R68&gt;0,"⚠ Entregado: falta cobrar","✔ Cerrado"),IF(AND(N($U68)&gt;0,$U68&lt;TODAY()),"✖ Entrega atrasada ("&amp;(TODAY()-$U68)&amp;" d)","En curso"))))))</f>
        <v/>
      </c>
      <c r="X68" s="79" t="n"/>
      <c r="Y68">
        <f>IF($E68&amp;""="","",IF(LEFT(SUBSTITUTE(SUBSTITUTE(SUBSTITUTE(SUBSTITUTE(SUBSTITUTE($E68&amp;""," ",""),"-",""),"+",""),"(",""),")",""),1)="0",PaisCod&amp;MID(SUBSTITUTE(SUBSTITUTE(SUBSTITUTE(SUBSTITUTE(SUBSTITUTE($E68&amp;""," ",""),"-",""),"+",""),"(",""),")",""),2,20),SUBSTITUTE(SUBSTITUTE(SUBSTITUTE(SUBSTITUTE(SUBSTITUTE($E68&amp;""," ",""),"-",""),"+",""),"(",""),")","")))</f>
        <v/>
      </c>
      <c r="Z68">
        <f>IF(AND(N($R68)&gt;0,$V68&lt;&gt;"Cancelado"),$R68+ROW()/1000000,"")</f>
        <v/>
      </c>
      <c r="AA68">
        <f>IF(AND(OR($V68="Pendiente",$V68="Preparando",$V68="Enviado"),N($U68)&gt;0),$U68+ROW()/1000000,"")</f>
        <v/>
      </c>
      <c r="AB68">
        <f>IF(AND($D68="",$G68=""),"",IF($V68="Cancelado",0,$L68))</f>
        <v/>
      </c>
    </row>
    <row r="69" ht="19" customHeight="1">
      <c r="B69" s="85">
        <f>IF(AND($D69="",$G69=""),"",ROW()-7)</f>
        <v/>
      </c>
      <c r="C69" s="75" t="n"/>
      <c r="D69" s="76" t="n"/>
      <c r="E69" s="77" t="n"/>
      <c r="F69" s="86">
        <f>IF($Y69="","",HYPERLINK("https://wa.me/"&amp;$Y69&amp;"?text="&amp;SUBSTITUTE("Hola "&amp;$D69&amp;", te escribo por tu pedido de "&amp;$G69&amp;"."," ","%20"),"Abrir chat"))</f>
        <v/>
      </c>
      <c r="G69" s="79" t="n"/>
      <c r="H69" s="80" t="n"/>
      <c r="I69" s="81" t="n"/>
      <c r="J69" s="81" t="n"/>
      <c r="K69" s="81" t="n"/>
      <c r="L69" s="82">
        <f>IF(AND($D69="",$G69=""),"",IF(N($H69)=0,1,$H69)*N($I69)-N($J69)+N($K69))</f>
        <v/>
      </c>
      <c r="M69" s="81" t="n"/>
      <c r="N69" s="81" t="n"/>
      <c r="O69" s="87">
        <f>IF(OR(AND($D69="",$G69=""),$M69="",$V69="Cancelado"),"",$L69-N($M69)-N($N69))</f>
        <v/>
      </c>
      <c r="P69" s="79" t="n"/>
      <c r="Q69" s="81" t="n"/>
      <c r="R69" s="82">
        <f>IF(AND($D69="",$G69=""),"",IF($V69="Cancelado",0,MAX(0,$L69-N($Q69))))</f>
        <v/>
      </c>
      <c r="S69" s="63">
        <f>IF(AND($D69="",$G69=""),"",IF($V69="Cancelado","Cancelado",IF($L69&lt;=0,"",IF(N($Q69)&gt;=$L69,"✔ Pagado",IF(N($Q69)&gt;0,"⚠ Pago parcial","✖ Sin pagar")))))</f>
        <v/>
      </c>
      <c r="T69" s="79" t="n"/>
      <c r="U69" s="75" t="n"/>
      <c r="V69" s="84" t="n"/>
      <c r="W69" s="64">
        <f>IF(AND($D69="",$G69=""),"",IF($C69="","⚠ Falta la fecha del pedido",IF($V69="","⚠ Elegí el estado de entrega",IF($V69="Cancelado","Cancelado",IF($V69="Entregado",IF($R69&gt;0,"⚠ Entregado: falta cobrar","✔ Cerrado"),IF(AND(N($U69)&gt;0,$U69&lt;TODAY()),"✖ Entrega atrasada ("&amp;(TODAY()-$U69)&amp;" d)","En curso"))))))</f>
        <v/>
      </c>
      <c r="X69" s="79" t="n"/>
      <c r="Y69">
        <f>IF($E69&amp;""="","",IF(LEFT(SUBSTITUTE(SUBSTITUTE(SUBSTITUTE(SUBSTITUTE(SUBSTITUTE($E69&amp;""," ",""),"-",""),"+",""),"(",""),")",""),1)="0",PaisCod&amp;MID(SUBSTITUTE(SUBSTITUTE(SUBSTITUTE(SUBSTITUTE(SUBSTITUTE($E69&amp;""," ",""),"-",""),"+",""),"(",""),")",""),2,20),SUBSTITUTE(SUBSTITUTE(SUBSTITUTE(SUBSTITUTE(SUBSTITUTE($E69&amp;""," ",""),"-",""),"+",""),"(",""),")","")))</f>
        <v/>
      </c>
      <c r="Z69">
        <f>IF(AND(N($R69)&gt;0,$V69&lt;&gt;"Cancelado"),$R69+ROW()/1000000,"")</f>
        <v/>
      </c>
      <c r="AA69">
        <f>IF(AND(OR($V69="Pendiente",$V69="Preparando",$V69="Enviado"),N($U69)&gt;0),$U69+ROW()/1000000,"")</f>
        <v/>
      </c>
      <c r="AB69">
        <f>IF(AND($D69="",$G69=""),"",IF($V69="Cancelado",0,$L69))</f>
        <v/>
      </c>
    </row>
    <row r="70" ht="19" customHeight="1">
      <c r="B70" s="74">
        <f>IF(AND($D70="",$G70=""),"",ROW()-7)</f>
        <v/>
      </c>
      <c r="C70" s="75" t="n"/>
      <c r="D70" s="76" t="n"/>
      <c r="E70" s="77" t="n"/>
      <c r="F70" s="78">
        <f>IF($Y70="","",HYPERLINK("https://wa.me/"&amp;$Y70&amp;"?text="&amp;SUBSTITUTE("Hola "&amp;$D70&amp;", te escribo por tu pedido de "&amp;$G70&amp;"."," ","%20"),"Abrir chat"))</f>
        <v/>
      </c>
      <c r="G70" s="79" t="n"/>
      <c r="H70" s="80" t="n"/>
      <c r="I70" s="81" t="n"/>
      <c r="J70" s="81" t="n"/>
      <c r="K70" s="81" t="n"/>
      <c r="L70" s="82">
        <f>IF(AND($D70="",$G70=""),"",IF(N($H70)=0,1,$H70)*N($I70)-N($J70)+N($K70))</f>
        <v/>
      </c>
      <c r="M70" s="81" t="n"/>
      <c r="N70" s="81" t="n"/>
      <c r="O70" s="83">
        <f>IF(OR(AND($D70="",$G70=""),$M70="",$V70="Cancelado"),"",$L70-N($M70)-N($N70))</f>
        <v/>
      </c>
      <c r="P70" s="79" t="n"/>
      <c r="Q70" s="81" t="n"/>
      <c r="R70" s="82">
        <f>IF(AND($D70="",$G70=""),"",IF($V70="Cancelado",0,MAX(0,$L70-N($Q70))))</f>
        <v/>
      </c>
      <c r="S70" s="60">
        <f>IF(AND($D70="",$G70=""),"",IF($V70="Cancelado","Cancelado",IF($L70&lt;=0,"",IF(N($Q70)&gt;=$L70,"✔ Pagado",IF(N($Q70)&gt;0,"⚠ Pago parcial","✖ Sin pagar")))))</f>
        <v/>
      </c>
      <c r="T70" s="79" t="n"/>
      <c r="U70" s="75" t="n"/>
      <c r="V70" s="84" t="n"/>
      <c r="W70" s="61">
        <f>IF(AND($D70="",$G70=""),"",IF($C70="","⚠ Falta la fecha del pedido",IF($V70="","⚠ Elegí el estado de entrega",IF($V70="Cancelado","Cancelado",IF($V70="Entregado",IF($R70&gt;0,"⚠ Entregado: falta cobrar","✔ Cerrado"),IF(AND(N($U70)&gt;0,$U70&lt;TODAY()),"✖ Entrega atrasada ("&amp;(TODAY()-$U70)&amp;" d)","En curso"))))))</f>
        <v/>
      </c>
      <c r="X70" s="79" t="n"/>
      <c r="Y70">
        <f>IF($E70&amp;""="","",IF(LEFT(SUBSTITUTE(SUBSTITUTE(SUBSTITUTE(SUBSTITUTE(SUBSTITUTE($E70&amp;""," ",""),"-",""),"+",""),"(",""),")",""),1)="0",PaisCod&amp;MID(SUBSTITUTE(SUBSTITUTE(SUBSTITUTE(SUBSTITUTE(SUBSTITUTE($E70&amp;""," ",""),"-",""),"+",""),"(",""),")",""),2,20),SUBSTITUTE(SUBSTITUTE(SUBSTITUTE(SUBSTITUTE(SUBSTITUTE($E70&amp;""," ",""),"-",""),"+",""),"(",""),")","")))</f>
        <v/>
      </c>
      <c r="Z70">
        <f>IF(AND(N($R70)&gt;0,$V70&lt;&gt;"Cancelado"),$R70+ROW()/1000000,"")</f>
        <v/>
      </c>
      <c r="AA70">
        <f>IF(AND(OR($V70="Pendiente",$V70="Preparando",$V70="Enviado"),N($U70)&gt;0),$U70+ROW()/1000000,"")</f>
        <v/>
      </c>
      <c r="AB70">
        <f>IF(AND($D70="",$G70=""),"",IF($V70="Cancelado",0,$L70))</f>
        <v/>
      </c>
    </row>
    <row r="71" ht="19" customHeight="1">
      <c r="B71" s="85">
        <f>IF(AND($D71="",$G71=""),"",ROW()-7)</f>
        <v/>
      </c>
      <c r="C71" s="75" t="n"/>
      <c r="D71" s="76" t="n"/>
      <c r="E71" s="77" t="n"/>
      <c r="F71" s="86">
        <f>IF($Y71="","",HYPERLINK("https://wa.me/"&amp;$Y71&amp;"?text="&amp;SUBSTITUTE("Hola "&amp;$D71&amp;", te escribo por tu pedido de "&amp;$G71&amp;"."," ","%20"),"Abrir chat"))</f>
        <v/>
      </c>
      <c r="G71" s="79" t="n"/>
      <c r="H71" s="80" t="n"/>
      <c r="I71" s="81" t="n"/>
      <c r="J71" s="81" t="n"/>
      <c r="K71" s="81" t="n"/>
      <c r="L71" s="82">
        <f>IF(AND($D71="",$G71=""),"",IF(N($H71)=0,1,$H71)*N($I71)-N($J71)+N($K71))</f>
        <v/>
      </c>
      <c r="M71" s="81" t="n"/>
      <c r="N71" s="81" t="n"/>
      <c r="O71" s="87">
        <f>IF(OR(AND($D71="",$G71=""),$M71="",$V71="Cancelado"),"",$L71-N($M71)-N($N71))</f>
        <v/>
      </c>
      <c r="P71" s="79" t="n"/>
      <c r="Q71" s="81" t="n"/>
      <c r="R71" s="82">
        <f>IF(AND($D71="",$G71=""),"",IF($V71="Cancelado",0,MAX(0,$L71-N($Q71))))</f>
        <v/>
      </c>
      <c r="S71" s="63">
        <f>IF(AND($D71="",$G71=""),"",IF($V71="Cancelado","Cancelado",IF($L71&lt;=0,"",IF(N($Q71)&gt;=$L71,"✔ Pagado",IF(N($Q71)&gt;0,"⚠ Pago parcial","✖ Sin pagar")))))</f>
        <v/>
      </c>
      <c r="T71" s="79" t="n"/>
      <c r="U71" s="75" t="n"/>
      <c r="V71" s="84" t="n"/>
      <c r="W71" s="64">
        <f>IF(AND($D71="",$G71=""),"",IF($C71="","⚠ Falta la fecha del pedido",IF($V71="","⚠ Elegí el estado de entrega",IF($V71="Cancelado","Cancelado",IF($V71="Entregado",IF($R71&gt;0,"⚠ Entregado: falta cobrar","✔ Cerrado"),IF(AND(N($U71)&gt;0,$U71&lt;TODAY()),"✖ Entrega atrasada ("&amp;(TODAY()-$U71)&amp;" d)","En curso"))))))</f>
        <v/>
      </c>
      <c r="X71" s="79" t="n"/>
      <c r="Y71">
        <f>IF($E71&amp;""="","",IF(LEFT(SUBSTITUTE(SUBSTITUTE(SUBSTITUTE(SUBSTITUTE(SUBSTITUTE($E71&amp;""," ",""),"-",""),"+",""),"(",""),")",""),1)="0",PaisCod&amp;MID(SUBSTITUTE(SUBSTITUTE(SUBSTITUTE(SUBSTITUTE(SUBSTITUTE($E71&amp;""," ",""),"-",""),"+",""),"(",""),")",""),2,20),SUBSTITUTE(SUBSTITUTE(SUBSTITUTE(SUBSTITUTE(SUBSTITUTE($E71&amp;""," ",""),"-",""),"+",""),"(",""),")","")))</f>
        <v/>
      </c>
      <c r="Z71">
        <f>IF(AND(N($R71)&gt;0,$V71&lt;&gt;"Cancelado"),$R71+ROW()/1000000,"")</f>
        <v/>
      </c>
      <c r="AA71">
        <f>IF(AND(OR($V71="Pendiente",$V71="Preparando",$V71="Enviado"),N($U71)&gt;0),$U71+ROW()/1000000,"")</f>
        <v/>
      </c>
      <c r="AB71">
        <f>IF(AND($D71="",$G71=""),"",IF($V71="Cancelado",0,$L71))</f>
        <v/>
      </c>
    </row>
    <row r="72" ht="19" customHeight="1">
      <c r="B72" s="74">
        <f>IF(AND($D72="",$G72=""),"",ROW()-7)</f>
        <v/>
      </c>
      <c r="C72" s="75" t="n"/>
      <c r="D72" s="76" t="n"/>
      <c r="E72" s="77" t="n"/>
      <c r="F72" s="78">
        <f>IF($Y72="","",HYPERLINK("https://wa.me/"&amp;$Y72&amp;"?text="&amp;SUBSTITUTE("Hola "&amp;$D72&amp;", te escribo por tu pedido de "&amp;$G72&amp;"."," ","%20"),"Abrir chat"))</f>
        <v/>
      </c>
      <c r="G72" s="79" t="n"/>
      <c r="H72" s="80" t="n"/>
      <c r="I72" s="81" t="n"/>
      <c r="J72" s="81" t="n"/>
      <c r="K72" s="81" t="n"/>
      <c r="L72" s="82">
        <f>IF(AND($D72="",$G72=""),"",IF(N($H72)=0,1,$H72)*N($I72)-N($J72)+N($K72))</f>
        <v/>
      </c>
      <c r="M72" s="81" t="n"/>
      <c r="N72" s="81" t="n"/>
      <c r="O72" s="83">
        <f>IF(OR(AND($D72="",$G72=""),$M72="",$V72="Cancelado"),"",$L72-N($M72)-N($N72))</f>
        <v/>
      </c>
      <c r="P72" s="79" t="n"/>
      <c r="Q72" s="81" t="n"/>
      <c r="R72" s="82">
        <f>IF(AND($D72="",$G72=""),"",IF($V72="Cancelado",0,MAX(0,$L72-N($Q72))))</f>
        <v/>
      </c>
      <c r="S72" s="60">
        <f>IF(AND($D72="",$G72=""),"",IF($V72="Cancelado","Cancelado",IF($L72&lt;=0,"",IF(N($Q72)&gt;=$L72,"✔ Pagado",IF(N($Q72)&gt;0,"⚠ Pago parcial","✖ Sin pagar")))))</f>
        <v/>
      </c>
      <c r="T72" s="79" t="n"/>
      <c r="U72" s="75" t="n"/>
      <c r="V72" s="84" t="n"/>
      <c r="W72" s="61">
        <f>IF(AND($D72="",$G72=""),"",IF($C72="","⚠ Falta la fecha del pedido",IF($V72="","⚠ Elegí el estado de entrega",IF($V72="Cancelado","Cancelado",IF($V72="Entregado",IF($R72&gt;0,"⚠ Entregado: falta cobrar","✔ Cerrado"),IF(AND(N($U72)&gt;0,$U72&lt;TODAY()),"✖ Entrega atrasada ("&amp;(TODAY()-$U72)&amp;" d)","En curso"))))))</f>
        <v/>
      </c>
      <c r="X72" s="79" t="n"/>
      <c r="Y72">
        <f>IF($E72&amp;""="","",IF(LEFT(SUBSTITUTE(SUBSTITUTE(SUBSTITUTE(SUBSTITUTE(SUBSTITUTE($E72&amp;""," ",""),"-",""),"+",""),"(",""),")",""),1)="0",PaisCod&amp;MID(SUBSTITUTE(SUBSTITUTE(SUBSTITUTE(SUBSTITUTE(SUBSTITUTE($E72&amp;""," ",""),"-",""),"+",""),"(",""),")",""),2,20),SUBSTITUTE(SUBSTITUTE(SUBSTITUTE(SUBSTITUTE(SUBSTITUTE($E72&amp;""," ",""),"-",""),"+",""),"(",""),")","")))</f>
        <v/>
      </c>
      <c r="Z72">
        <f>IF(AND(N($R72)&gt;0,$V72&lt;&gt;"Cancelado"),$R72+ROW()/1000000,"")</f>
        <v/>
      </c>
      <c r="AA72">
        <f>IF(AND(OR($V72="Pendiente",$V72="Preparando",$V72="Enviado"),N($U72)&gt;0),$U72+ROW()/1000000,"")</f>
        <v/>
      </c>
      <c r="AB72">
        <f>IF(AND($D72="",$G72=""),"",IF($V72="Cancelado",0,$L72))</f>
        <v/>
      </c>
    </row>
    <row r="73" ht="19" customHeight="1">
      <c r="B73" s="85">
        <f>IF(AND($D73="",$G73=""),"",ROW()-7)</f>
        <v/>
      </c>
      <c r="C73" s="75" t="n"/>
      <c r="D73" s="76" t="n"/>
      <c r="E73" s="77" t="n"/>
      <c r="F73" s="86">
        <f>IF($Y73="","",HYPERLINK("https://wa.me/"&amp;$Y73&amp;"?text="&amp;SUBSTITUTE("Hola "&amp;$D73&amp;", te escribo por tu pedido de "&amp;$G73&amp;"."," ","%20"),"Abrir chat"))</f>
        <v/>
      </c>
      <c r="G73" s="79" t="n"/>
      <c r="H73" s="80" t="n"/>
      <c r="I73" s="81" t="n"/>
      <c r="J73" s="81" t="n"/>
      <c r="K73" s="81" t="n"/>
      <c r="L73" s="82">
        <f>IF(AND($D73="",$G73=""),"",IF(N($H73)=0,1,$H73)*N($I73)-N($J73)+N($K73))</f>
        <v/>
      </c>
      <c r="M73" s="81" t="n"/>
      <c r="N73" s="81" t="n"/>
      <c r="O73" s="87">
        <f>IF(OR(AND($D73="",$G73=""),$M73="",$V73="Cancelado"),"",$L73-N($M73)-N($N73))</f>
        <v/>
      </c>
      <c r="P73" s="79" t="n"/>
      <c r="Q73" s="81" t="n"/>
      <c r="R73" s="82">
        <f>IF(AND($D73="",$G73=""),"",IF($V73="Cancelado",0,MAX(0,$L73-N($Q73))))</f>
        <v/>
      </c>
      <c r="S73" s="63">
        <f>IF(AND($D73="",$G73=""),"",IF($V73="Cancelado","Cancelado",IF($L73&lt;=0,"",IF(N($Q73)&gt;=$L73,"✔ Pagado",IF(N($Q73)&gt;0,"⚠ Pago parcial","✖ Sin pagar")))))</f>
        <v/>
      </c>
      <c r="T73" s="79" t="n"/>
      <c r="U73" s="75" t="n"/>
      <c r="V73" s="84" t="n"/>
      <c r="W73" s="64">
        <f>IF(AND($D73="",$G73=""),"",IF($C73="","⚠ Falta la fecha del pedido",IF($V73="","⚠ Elegí el estado de entrega",IF($V73="Cancelado","Cancelado",IF($V73="Entregado",IF($R73&gt;0,"⚠ Entregado: falta cobrar","✔ Cerrado"),IF(AND(N($U73)&gt;0,$U73&lt;TODAY()),"✖ Entrega atrasada ("&amp;(TODAY()-$U73)&amp;" d)","En curso"))))))</f>
        <v/>
      </c>
      <c r="X73" s="79" t="n"/>
      <c r="Y73">
        <f>IF($E73&amp;""="","",IF(LEFT(SUBSTITUTE(SUBSTITUTE(SUBSTITUTE(SUBSTITUTE(SUBSTITUTE($E73&amp;""," ",""),"-",""),"+",""),"(",""),")",""),1)="0",PaisCod&amp;MID(SUBSTITUTE(SUBSTITUTE(SUBSTITUTE(SUBSTITUTE(SUBSTITUTE($E73&amp;""," ",""),"-",""),"+",""),"(",""),")",""),2,20),SUBSTITUTE(SUBSTITUTE(SUBSTITUTE(SUBSTITUTE(SUBSTITUTE($E73&amp;""," ",""),"-",""),"+",""),"(",""),")","")))</f>
        <v/>
      </c>
      <c r="Z73">
        <f>IF(AND(N($R73)&gt;0,$V73&lt;&gt;"Cancelado"),$R73+ROW()/1000000,"")</f>
        <v/>
      </c>
      <c r="AA73">
        <f>IF(AND(OR($V73="Pendiente",$V73="Preparando",$V73="Enviado"),N($U73)&gt;0),$U73+ROW()/1000000,"")</f>
        <v/>
      </c>
      <c r="AB73">
        <f>IF(AND($D73="",$G73=""),"",IF($V73="Cancelado",0,$L73))</f>
        <v/>
      </c>
    </row>
    <row r="74" ht="19" customHeight="1">
      <c r="B74" s="74">
        <f>IF(AND($D74="",$G74=""),"",ROW()-7)</f>
        <v/>
      </c>
      <c r="C74" s="75" t="n"/>
      <c r="D74" s="76" t="n"/>
      <c r="E74" s="77" t="n"/>
      <c r="F74" s="78">
        <f>IF($Y74="","",HYPERLINK("https://wa.me/"&amp;$Y74&amp;"?text="&amp;SUBSTITUTE("Hola "&amp;$D74&amp;", te escribo por tu pedido de "&amp;$G74&amp;"."," ","%20"),"Abrir chat"))</f>
        <v/>
      </c>
      <c r="G74" s="79" t="n"/>
      <c r="H74" s="80" t="n"/>
      <c r="I74" s="81" t="n"/>
      <c r="J74" s="81" t="n"/>
      <c r="K74" s="81" t="n"/>
      <c r="L74" s="82">
        <f>IF(AND($D74="",$G74=""),"",IF(N($H74)=0,1,$H74)*N($I74)-N($J74)+N($K74))</f>
        <v/>
      </c>
      <c r="M74" s="81" t="n"/>
      <c r="N74" s="81" t="n"/>
      <c r="O74" s="83">
        <f>IF(OR(AND($D74="",$G74=""),$M74="",$V74="Cancelado"),"",$L74-N($M74)-N($N74))</f>
        <v/>
      </c>
      <c r="P74" s="79" t="n"/>
      <c r="Q74" s="81" t="n"/>
      <c r="R74" s="82">
        <f>IF(AND($D74="",$G74=""),"",IF($V74="Cancelado",0,MAX(0,$L74-N($Q74))))</f>
        <v/>
      </c>
      <c r="S74" s="60">
        <f>IF(AND($D74="",$G74=""),"",IF($V74="Cancelado","Cancelado",IF($L74&lt;=0,"",IF(N($Q74)&gt;=$L74,"✔ Pagado",IF(N($Q74)&gt;0,"⚠ Pago parcial","✖ Sin pagar")))))</f>
        <v/>
      </c>
      <c r="T74" s="79" t="n"/>
      <c r="U74" s="75" t="n"/>
      <c r="V74" s="84" t="n"/>
      <c r="W74" s="61">
        <f>IF(AND($D74="",$G74=""),"",IF($C74="","⚠ Falta la fecha del pedido",IF($V74="","⚠ Elegí el estado de entrega",IF($V74="Cancelado","Cancelado",IF($V74="Entregado",IF($R74&gt;0,"⚠ Entregado: falta cobrar","✔ Cerrado"),IF(AND(N($U74)&gt;0,$U74&lt;TODAY()),"✖ Entrega atrasada ("&amp;(TODAY()-$U74)&amp;" d)","En curso"))))))</f>
        <v/>
      </c>
      <c r="X74" s="79" t="n"/>
      <c r="Y74">
        <f>IF($E74&amp;""="","",IF(LEFT(SUBSTITUTE(SUBSTITUTE(SUBSTITUTE(SUBSTITUTE(SUBSTITUTE($E74&amp;""," ",""),"-",""),"+",""),"(",""),")",""),1)="0",PaisCod&amp;MID(SUBSTITUTE(SUBSTITUTE(SUBSTITUTE(SUBSTITUTE(SUBSTITUTE($E74&amp;""," ",""),"-",""),"+",""),"(",""),")",""),2,20),SUBSTITUTE(SUBSTITUTE(SUBSTITUTE(SUBSTITUTE(SUBSTITUTE($E74&amp;""," ",""),"-",""),"+",""),"(",""),")","")))</f>
        <v/>
      </c>
      <c r="Z74">
        <f>IF(AND(N($R74)&gt;0,$V74&lt;&gt;"Cancelado"),$R74+ROW()/1000000,"")</f>
        <v/>
      </c>
      <c r="AA74">
        <f>IF(AND(OR($V74="Pendiente",$V74="Preparando",$V74="Enviado"),N($U74)&gt;0),$U74+ROW()/1000000,"")</f>
        <v/>
      </c>
      <c r="AB74">
        <f>IF(AND($D74="",$G74=""),"",IF($V74="Cancelado",0,$L74))</f>
        <v/>
      </c>
    </row>
    <row r="75" ht="19" customHeight="1">
      <c r="B75" s="85">
        <f>IF(AND($D75="",$G75=""),"",ROW()-7)</f>
        <v/>
      </c>
      <c r="C75" s="75" t="n"/>
      <c r="D75" s="76" t="n"/>
      <c r="E75" s="77" t="n"/>
      <c r="F75" s="86">
        <f>IF($Y75="","",HYPERLINK("https://wa.me/"&amp;$Y75&amp;"?text="&amp;SUBSTITUTE("Hola "&amp;$D75&amp;", te escribo por tu pedido de "&amp;$G75&amp;"."," ","%20"),"Abrir chat"))</f>
        <v/>
      </c>
      <c r="G75" s="79" t="n"/>
      <c r="H75" s="80" t="n"/>
      <c r="I75" s="81" t="n"/>
      <c r="J75" s="81" t="n"/>
      <c r="K75" s="81" t="n"/>
      <c r="L75" s="82">
        <f>IF(AND($D75="",$G75=""),"",IF(N($H75)=0,1,$H75)*N($I75)-N($J75)+N($K75))</f>
        <v/>
      </c>
      <c r="M75" s="81" t="n"/>
      <c r="N75" s="81" t="n"/>
      <c r="O75" s="87">
        <f>IF(OR(AND($D75="",$G75=""),$M75="",$V75="Cancelado"),"",$L75-N($M75)-N($N75))</f>
        <v/>
      </c>
      <c r="P75" s="79" t="n"/>
      <c r="Q75" s="81" t="n"/>
      <c r="R75" s="82">
        <f>IF(AND($D75="",$G75=""),"",IF($V75="Cancelado",0,MAX(0,$L75-N($Q75))))</f>
        <v/>
      </c>
      <c r="S75" s="63">
        <f>IF(AND($D75="",$G75=""),"",IF($V75="Cancelado","Cancelado",IF($L75&lt;=0,"",IF(N($Q75)&gt;=$L75,"✔ Pagado",IF(N($Q75)&gt;0,"⚠ Pago parcial","✖ Sin pagar")))))</f>
        <v/>
      </c>
      <c r="T75" s="79" t="n"/>
      <c r="U75" s="75" t="n"/>
      <c r="V75" s="84" t="n"/>
      <c r="W75" s="64">
        <f>IF(AND($D75="",$G75=""),"",IF($C75="","⚠ Falta la fecha del pedido",IF($V75="","⚠ Elegí el estado de entrega",IF($V75="Cancelado","Cancelado",IF($V75="Entregado",IF($R75&gt;0,"⚠ Entregado: falta cobrar","✔ Cerrado"),IF(AND(N($U75)&gt;0,$U75&lt;TODAY()),"✖ Entrega atrasada ("&amp;(TODAY()-$U75)&amp;" d)","En curso"))))))</f>
        <v/>
      </c>
      <c r="X75" s="79" t="n"/>
      <c r="Y75">
        <f>IF($E75&amp;""="","",IF(LEFT(SUBSTITUTE(SUBSTITUTE(SUBSTITUTE(SUBSTITUTE(SUBSTITUTE($E75&amp;""," ",""),"-",""),"+",""),"(",""),")",""),1)="0",PaisCod&amp;MID(SUBSTITUTE(SUBSTITUTE(SUBSTITUTE(SUBSTITUTE(SUBSTITUTE($E75&amp;""," ",""),"-",""),"+",""),"(",""),")",""),2,20),SUBSTITUTE(SUBSTITUTE(SUBSTITUTE(SUBSTITUTE(SUBSTITUTE($E75&amp;""," ",""),"-",""),"+",""),"(",""),")","")))</f>
        <v/>
      </c>
      <c r="Z75">
        <f>IF(AND(N($R75)&gt;0,$V75&lt;&gt;"Cancelado"),$R75+ROW()/1000000,"")</f>
        <v/>
      </c>
      <c r="AA75">
        <f>IF(AND(OR($V75="Pendiente",$V75="Preparando",$V75="Enviado"),N($U75)&gt;0),$U75+ROW()/1000000,"")</f>
        <v/>
      </c>
      <c r="AB75">
        <f>IF(AND($D75="",$G75=""),"",IF($V75="Cancelado",0,$L75))</f>
        <v/>
      </c>
    </row>
    <row r="76" ht="19" customHeight="1">
      <c r="B76" s="74">
        <f>IF(AND($D76="",$G76=""),"",ROW()-7)</f>
        <v/>
      </c>
      <c r="C76" s="75" t="n"/>
      <c r="D76" s="76" t="n"/>
      <c r="E76" s="77" t="n"/>
      <c r="F76" s="78">
        <f>IF($Y76="","",HYPERLINK("https://wa.me/"&amp;$Y76&amp;"?text="&amp;SUBSTITUTE("Hola "&amp;$D76&amp;", te escribo por tu pedido de "&amp;$G76&amp;"."," ","%20"),"Abrir chat"))</f>
        <v/>
      </c>
      <c r="G76" s="79" t="n"/>
      <c r="H76" s="80" t="n"/>
      <c r="I76" s="81" t="n"/>
      <c r="J76" s="81" t="n"/>
      <c r="K76" s="81" t="n"/>
      <c r="L76" s="82">
        <f>IF(AND($D76="",$G76=""),"",IF(N($H76)=0,1,$H76)*N($I76)-N($J76)+N($K76))</f>
        <v/>
      </c>
      <c r="M76" s="81" t="n"/>
      <c r="N76" s="81" t="n"/>
      <c r="O76" s="83">
        <f>IF(OR(AND($D76="",$G76=""),$M76="",$V76="Cancelado"),"",$L76-N($M76)-N($N76))</f>
        <v/>
      </c>
      <c r="P76" s="79" t="n"/>
      <c r="Q76" s="81" t="n"/>
      <c r="R76" s="82">
        <f>IF(AND($D76="",$G76=""),"",IF($V76="Cancelado",0,MAX(0,$L76-N($Q76))))</f>
        <v/>
      </c>
      <c r="S76" s="60">
        <f>IF(AND($D76="",$G76=""),"",IF($V76="Cancelado","Cancelado",IF($L76&lt;=0,"",IF(N($Q76)&gt;=$L76,"✔ Pagado",IF(N($Q76)&gt;0,"⚠ Pago parcial","✖ Sin pagar")))))</f>
        <v/>
      </c>
      <c r="T76" s="79" t="n"/>
      <c r="U76" s="75" t="n"/>
      <c r="V76" s="84" t="n"/>
      <c r="W76" s="61">
        <f>IF(AND($D76="",$G76=""),"",IF($C76="","⚠ Falta la fecha del pedido",IF($V76="","⚠ Elegí el estado de entrega",IF($V76="Cancelado","Cancelado",IF($V76="Entregado",IF($R76&gt;0,"⚠ Entregado: falta cobrar","✔ Cerrado"),IF(AND(N($U76)&gt;0,$U76&lt;TODAY()),"✖ Entrega atrasada ("&amp;(TODAY()-$U76)&amp;" d)","En curso"))))))</f>
        <v/>
      </c>
      <c r="X76" s="79" t="n"/>
      <c r="Y76">
        <f>IF($E76&amp;""="","",IF(LEFT(SUBSTITUTE(SUBSTITUTE(SUBSTITUTE(SUBSTITUTE(SUBSTITUTE($E76&amp;""," ",""),"-",""),"+",""),"(",""),")",""),1)="0",PaisCod&amp;MID(SUBSTITUTE(SUBSTITUTE(SUBSTITUTE(SUBSTITUTE(SUBSTITUTE($E76&amp;""," ",""),"-",""),"+",""),"(",""),")",""),2,20),SUBSTITUTE(SUBSTITUTE(SUBSTITUTE(SUBSTITUTE(SUBSTITUTE($E76&amp;""," ",""),"-",""),"+",""),"(",""),")","")))</f>
        <v/>
      </c>
      <c r="Z76">
        <f>IF(AND(N($R76)&gt;0,$V76&lt;&gt;"Cancelado"),$R76+ROW()/1000000,"")</f>
        <v/>
      </c>
      <c r="AA76">
        <f>IF(AND(OR($V76="Pendiente",$V76="Preparando",$V76="Enviado"),N($U76)&gt;0),$U76+ROW()/1000000,"")</f>
        <v/>
      </c>
      <c r="AB76">
        <f>IF(AND($D76="",$G76=""),"",IF($V76="Cancelado",0,$L76))</f>
        <v/>
      </c>
    </row>
    <row r="77" ht="19" customHeight="1">
      <c r="B77" s="85">
        <f>IF(AND($D77="",$G77=""),"",ROW()-7)</f>
        <v/>
      </c>
      <c r="C77" s="75" t="n"/>
      <c r="D77" s="76" t="n"/>
      <c r="E77" s="77" t="n"/>
      <c r="F77" s="86">
        <f>IF($Y77="","",HYPERLINK("https://wa.me/"&amp;$Y77&amp;"?text="&amp;SUBSTITUTE("Hola "&amp;$D77&amp;", te escribo por tu pedido de "&amp;$G77&amp;"."," ","%20"),"Abrir chat"))</f>
        <v/>
      </c>
      <c r="G77" s="79" t="n"/>
      <c r="H77" s="80" t="n"/>
      <c r="I77" s="81" t="n"/>
      <c r="J77" s="81" t="n"/>
      <c r="K77" s="81" t="n"/>
      <c r="L77" s="82">
        <f>IF(AND($D77="",$G77=""),"",IF(N($H77)=0,1,$H77)*N($I77)-N($J77)+N($K77))</f>
        <v/>
      </c>
      <c r="M77" s="81" t="n"/>
      <c r="N77" s="81" t="n"/>
      <c r="O77" s="87">
        <f>IF(OR(AND($D77="",$G77=""),$M77="",$V77="Cancelado"),"",$L77-N($M77)-N($N77))</f>
        <v/>
      </c>
      <c r="P77" s="79" t="n"/>
      <c r="Q77" s="81" t="n"/>
      <c r="R77" s="82">
        <f>IF(AND($D77="",$G77=""),"",IF($V77="Cancelado",0,MAX(0,$L77-N($Q77))))</f>
        <v/>
      </c>
      <c r="S77" s="63">
        <f>IF(AND($D77="",$G77=""),"",IF($V77="Cancelado","Cancelado",IF($L77&lt;=0,"",IF(N($Q77)&gt;=$L77,"✔ Pagado",IF(N($Q77)&gt;0,"⚠ Pago parcial","✖ Sin pagar")))))</f>
        <v/>
      </c>
      <c r="T77" s="79" t="n"/>
      <c r="U77" s="75" t="n"/>
      <c r="V77" s="84" t="n"/>
      <c r="W77" s="64">
        <f>IF(AND($D77="",$G77=""),"",IF($C77="","⚠ Falta la fecha del pedido",IF($V77="","⚠ Elegí el estado de entrega",IF($V77="Cancelado","Cancelado",IF($V77="Entregado",IF($R77&gt;0,"⚠ Entregado: falta cobrar","✔ Cerrado"),IF(AND(N($U77)&gt;0,$U77&lt;TODAY()),"✖ Entrega atrasada ("&amp;(TODAY()-$U77)&amp;" d)","En curso"))))))</f>
        <v/>
      </c>
      <c r="X77" s="79" t="n"/>
      <c r="Y77">
        <f>IF($E77&amp;""="","",IF(LEFT(SUBSTITUTE(SUBSTITUTE(SUBSTITUTE(SUBSTITUTE(SUBSTITUTE($E77&amp;""," ",""),"-",""),"+",""),"(",""),")",""),1)="0",PaisCod&amp;MID(SUBSTITUTE(SUBSTITUTE(SUBSTITUTE(SUBSTITUTE(SUBSTITUTE($E77&amp;""," ",""),"-",""),"+",""),"(",""),")",""),2,20),SUBSTITUTE(SUBSTITUTE(SUBSTITUTE(SUBSTITUTE(SUBSTITUTE($E77&amp;""," ",""),"-",""),"+",""),"(",""),")","")))</f>
        <v/>
      </c>
      <c r="Z77">
        <f>IF(AND(N($R77)&gt;0,$V77&lt;&gt;"Cancelado"),$R77+ROW()/1000000,"")</f>
        <v/>
      </c>
      <c r="AA77">
        <f>IF(AND(OR($V77="Pendiente",$V77="Preparando",$V77="Enviado"),N($U77)&gt;0),$U77+ROW()/1000000,"")</f>
        <v/>
      </c>
      <c r="AB77">
        <f>IF(AND($D77="",$G77=""),"",IF($V77="Cancelado",0,$L77))</f>
        <v/>
      </c>
    </row>
    <row r="78" ht="19" customHeight="1">
      <c r="B78" s="74">
        <f>IF(AND($D78="",$G78=""),"",ROW()-7)</f>
        <v/>
      </c>
      <c r="C78" s="75" t="n"/>
      <c r="D78" s="76" t="n"/>
      <c r="E78" s="77" t="n"/>
      <c r="F78" s="78">
        <f>IF($Y78="","",HYPERLINK("https://wa.me/"&amp;$Y78&amp;"?text="&amp;SUBSTITUTE("Hola "&amp;$D78&amp;", te escribo por tu pedido de "&amp;$G78&amp;"."," ","%20"),"Abrir chat"))</f>
        <v/>
      </c>
      <c r="G78" s="79" t="n"/>
      <c r="H78" s="80" t="n"/>
      <c r="I78" s="81" t="n"/>
      <c r="J78" s="81" t="n"/>
      <c r="K78" s="81" t="n"/>
      <c r="L78" s="82">
        <f>IF(AND($D78="",$G78=""),"",IF(N($H78)=0,1,$H78)*N($I78)-N($J78)+N($K78))</f>
        <v/>
      </c>
      <c r="M78" s="81" t="n"/>
      <c r="N78" s="81" t="n"/>
      <c r="O78" s="83">
        <f>IF(OR(AND($D78="",$G78=""),$M78="",$V78="Cancelado"),"",$L78-N($M78)-N($N78))</f>
        <v/>
      </c>
      <c r="P78" s="79" t="n"/>
      <c r="Q78" s="81" t="n"/>
      <c r="R78" s="82">
        <f>IF(AND($D78="",$G78=""),"",IF($V78="Cancelado",0,MAX(0,$L78-N($Q78))))</f>
        <v/>
      </c>
      <c r="S78" s="60">
        <f>IF(AND($D78="",$G78=""),"",IF($V78="Cancelado","Cancelado",IF($L78&lt;=0,"",IF(N($Q78)&gt;=$L78,"✔ Pagado",IF(N($Q78)&gt;0,"⚠ Pago parcial","✖ Sin pagar")))))</f>
        <v/>
      </c>
      <c r="T78" s="79" t="n"/>
      <c r="U78" s="75" t="n"/>
      <c r="V78" s="84" t="n"/>
      <c r="W78" s="61">
        <f>IF(AND($D78="",$G78=""),"",IF($C78="","⚠ Falta la fecha del pedido",IF($V78="","⚠ Elegí el estado de entrega",IF($V78="Cancelado","Cancelado",IF($V78="Entregado",IF($R78&gt;0,"⚠ Entregado: falta cobrar","✔ Cerrado"),IF(AND(N($U78)&gt;0,$U78&lt;TODAY()),"✖ Entrega atrasada ("&amp;(TODAY()-$U78)&amp;" d)","En curso"))))))</f>
        <v/>
      </c>
      <c r="X78" s="79" t="n"/>
      <c r="Y78">
        <f>IF($E78&amp;""="","",IF(LEFT(SUBSTITUTE(SUBSTITUTE(SUBSTITUTE(SUBSTITUTE(SUBSTITUTE($E78&amp;""," ",""),"-",""),"+",""),"(",""),")",""),1)="0",PaisCod&amp;MID(SUBSTITUTE(SUBSTITUTE(SUBSTITUTE(SUBSTITUTE(SUBSTITUTE($E78&amp;""," ",""),"-",""),"+",""),"(",""),")",""),2,20),SUBSTITUTE(SUBSTITUTE(SUBSTITUTE(SUBSTITUTE(SUBSTITUTE($E78&amp;""," ",""),"-",""),"+",""),"(",""),")","")))</f>
        <v/>
      </c>
      <c r="Z78">
        <f>IF(AND(N($R78)&gt;0,$V78&lt;&gt;"Cancelado"),$R78+ROW()/1000000,"")</f>
        <v/>
      </c>
      <c r="AA78">
        <f>IF(AND(OR($V78="Pendiente",$V78="Preparando",$V78="Enviado"),N($U78)&gt;0),$U78+ROW()/1000000,"")</f>
        <v/>
      </c>
      <c r="AB78">
        <f>IF(AND($D78="",$G78=""),"",IF($V78="Cancelado",0,$L78))</f>
        <v/>
      </c>
    </row>
    <row r="79" ht="19" customHeight="1">
      <c r="B79" s="85">
        <f>IF(AND($D79="",$G79=""),"",ROW()-7)</f>
        <v/>
      </c>
      <c r="C79" s="75" t="n"/>
      <c r="D79" s="76" t="n"/>
      <c r="E79" s="77" t="n"/>
      <c r="F79" s="86">
        <f>IF($Y79="","",HYPERLINK("https://wa.me/"&amp;$Y79&amp;"?text="&amp;SUBSTITUTE("Hola "&amp;$D79&amp;", te escribo por tu pedido de "&amp;$G79&amp;"."," ","%20"),"Abrir chat"))</f>
        <v/>
      </c>
      <c r="G79" s="79" t="n"/>
      <c r="H79" s="80" t="n"/>
      <c r="I79" s="81" t="n"/>
      <c r="J79" s="81" t="n"/>
      <c r="K79" s="81" t="n"/>
      <c r="L79" s="82">
        <f>IF(AND($D79="",$G79=""),"",IF(N($H79)=0,1,$H79)*N($I79)-N($J79)+N($K79))</f>
        <v/>
      </c>
      <c r="M79" s="81" t="n"/>
      <c r="N79" s="81" t="n"/>
      <c r="O79" s="87">
        <f>IF(OR(AND($D79="",$G79=""),$M79="",$V79="Cancelado"),"",$L79-N($M79)-N($N79))</f>
        <v/>
      </c>
      <c r="P79" s="79" t="n"/>
      <c r="Q79" s="81" t="n"/>
      <c r="R79" s="82">
        <f>IF(AND($D79="",$G79=""),"",IF($V79="Cancelado",0,MAX(0,$L79-N($Q79))))</f>
        <v/>
      </c>
      <c r="S79" s="63">
        <f>IF(AND($D79="",$G79=""),"",IF($V79="Cancelado","Cancelado",IF($L79&lt;=0,"",IF(N($Q79)&gt;=$L79,"✔ Pagado",IF(N($Q79)&gt;0,"⚠ Pago parcial","✖ Sin pagar")))))</f>
        <v/>
      </c>
      <c r="T79" s="79" t="n"/>
      <c r="U79" s="75" t="n"/>
      <c r="V79" s="84" t="n"/>
      <c r="W79" s="64">
        <f>IF(AND($D79="",$G79=""),"",IF($C79="","⚠ Falta la fecha del pedido",IF($V79="","⚠ Elegí el estado de entrega",IF($V79="Cancelado","Cancelado",IF($V79="Entregado",IF($R79&gt;0,"⚠ Entregado: falta cobrar","✔ Cerrado"),IF(AND(N($U79)&gt;0,$U79&lt;TODAY()),"✖ Entrega atrasada ("&amp;(TODAY()-$U79)&amp;" d)","En curso"))))))</f>
        <v/>
      </c>
      <c r="X79" s="79" t="n"/>
      <c r="Y79">
        <f>IF($E79&amp;""="","",IF(LEFT(SUBSTITUTE(SUBSTITUTE(SUBSTITUTE(SUBSTITUTE(SUBSTITUTE($E79&amp;""," ",""),"-",""),"+",""),"(",""),")",""),1)="0",PaisCod&amp;MID(SUBSTITUTE(SUBSTITUTE(SUBSTITUTE(SUBSTITUTE(SUBSTITUTE($E79&amp;""," ",""),"-",""),"+",""),"(",""),")",""),2,20),SUBSTITUTE(SUBSTITUTE(SUBSTITUTE(SUBSTITUTE(SUBSTITUTE($E79&amp;""," ",""),"-",""),"+",""),"(",""),")","")))</f>
        <v/>
      </c>
      <c r="Z79">
        <f>IF(AND(N($R79)&gt;0,$V79&lt;&gt;"Cancelado"),$R79+ROW()/1000000,"")</f>
        <v/>
      </c>
      <c r="AA79">
        <f>IF(AND(OR($V79="Pendiente",$V79="Preparando",$V79="Enviado"),N($U79)&gt;0),$U79+ROW()/1000000,"")</f>
        <v/>
      </c>
      <c r="AB79">
        <f>IF(AND($D79="",$G79=""),"",IF($V79="Cancelado",0,$L79))</f>
        <v/>
      </c>
    </row>
    <row r="80" ht="19" customHeight="1">
      <c r="B80" s="74">
        <f>IF(AND($D80="",$G80=""),"",ROW()-7)</f>
        <v/>
      </c>
      <c r="C80" s="75" t="n"/>
      <c r="D80" s="76" t="n"/>
      <c r="E80" s="77" t="n"/>
      <c r="F80" s="78">
        <f>IF($Y80="","",HYPERLINK("https://wa.me/"&amp;$Y80&amp;"?text="&amp;SUBSTITUTE("Hola "&amp;$D80&amp;", te escribo por tu pedido de "&amp;$G80&amp;"."," ","%20"),"Abrir chat"))</f>
        <v/>
      </c>
      <c r="G80" s="79" t="n"/>
      <c r="H80" s="80" t="n"/>
      <c r="I80" s="81" t="n"/>
      <c r="J80" s="81" t="n"/>
      <c r="K80" s="81" t="n"/>
      <c r="L80" s="82">
        <f>IF(AND($D80="",$G80=""),"",IF(N($H80)=0,1,$H80)*N($I80)-N($J80)+N($K80))</f>
        <v/>
      </c>
      <c r="M80" s="81" t="n"/>
      <c r="N80" s="81" t="n"/>
      <c r="O80" s="83">
        <f>IF(OR(AND($D80="",$G80=""),$M80="",$V80="Cancelado"),"",$L80-N($M80)-N($N80))</f>
        <v/>
      </c>
      <c r="P80" s="79" t="n"/>
      <c r="Q80" s="81" t="n"/>
      <c r="R80" s="82">
        <f>IF(AND($D80="",$G80=""),"",IF($V80="Cancelado",0,MAX(0,$L80-N($Q80))))</f>
        <v/>
      </c>
      <c r="S80" s="60">
        <f>IF(AND($D80="",$G80=""),"",IF($V80="Cancelado","Cancelado",IF($L80&lt;=0,"",IF(N($Q80)&gt;=$L80,"✔ Pagado",IF(N($Q80)&gt;0,"⚠ Pago parcial","✖ Sin pagar")))))</f>
        <v/>
      </c>
      <c r="T80" s="79" t="n"/>
      <c r="U80" s="75" t="n"/>
      <c r="V80" s="84" t="n"/>
      <c r="W80" s="61">
        <f>IF(AND($D80="",$G80=""),"",IF($C80="","⚠ Falta la fecha del pedido",IF($V80="","⚠ Elegí el estado de entrega",IF($V80="Cancelado","Cancelado",IF($V80="Entregado",IF($R80&gt;0,"⚠ Entregado: falta cobrar","✔ Cerrado"),IF(AND(N($U80)&gt;0,$U80&lt;TODAY()),"✖ Entrega atrasada ("&amp;(TODAY()-$U80)&amp;" d)","En curso"))))))</f>
        <v/>
      </c>
      <c r="X80" s="79" t="n"/>
      <c r="Y80">
        <f>IF($E80&amp;""="","",IF(LEFT(SUBSTITUTE(SUBSTITUTE(SUBSTITUTE(SUBSTITUTE(SUBSTITUTE($E80&amp;""," ",""),"-",""),"+",""),"(",""),")",""),1)="0",PaisCod&amp;MID(SUBSTITUTE(SUBSTITUTE(SUBSTITUTE(SUBSTITUTE(SUBSTITUTE($E80&amp;""," ",""),"-",""),"+",""),"(",""),")",""),2,20),SUBSTITUTE(SUBSTITUTE(SUBSTITUTE(SUBSTITUTE(SUBSTITUTE($E80&amp;""," ",""),"-",""),"+",""),"(",""),")","")))</f>
        <v/>
      </c>
      <c r="Z80">
        <f>IF(AND(N($R80)&gt;0,$V80&lt;&gt;"Cancelado"),$R80+ROW()/1000000,"")</f>
        <v/>
      </c>
      <c r="AA80">
        <f>IF(AND(OR($V80="Pendiente",$V80="Preparando",$V80="Enviado"),N($U80)&gt;0),$U80+ROW()/1000000,"")</f>
        <v/>
      </c>
      <c r="AB80">
        <f>IF(AND($D80="",$G80=""),"",IF($V80="Cancelado",0,$L80))</f>
        <v/>
      </c>
    </row>
    <row r="81" ht="19" customHeight="1">
      <c r="B81" s="85">
        <f>IF(AND($D81="",$G81=""),"",ROW()-7)</f>
        <v/>
      </c>
      <c r="C81" s="75" t="n"/>
      <c r="D81" s="76" t="n"/>
      <c r="E81" s="77" t="n"/>
      <c r="F81" s="86">
        <f>IF($Y81="","",HYPERLINK("https://wa.me/"&amp;$Y81&amp;"?text="&amp;SUBSTITUTE("Hola "&amp;$D81&amp;", te escribo por tu pedido de "&amp;$G81&amp;"."," ","%20"),"Abrir chat"))</f>
        <v/>
      </c>
      <c r="G81" s="79" t="n"/>
      <c r="H81" s="80" t="n"/>
      <c r="I81" s="81" t="n"/>
      <c r="J81" s="81" t="n"/>
      <c r="K81" s="81" t="n"/>
      <c r="L81" s="82">
        <f>IF(AND($D81="",$G81=""),"",IF(N($H81)=0,1,$H81)*N($I81)-N($J81)+N($K81))</f>
        <v/>
      </c>
      <c r="M81" s="81" t="n"/>
      <c r="N81" s="81" t="n"/>
      <c r="O81" s="87">
        <f>IF(OR(AND($D81="",$G81=""),$M81="",$V81="Cancelado"),"",$L81-N($M81)-N($N81))</f>
        <v/>
      </c>
      <c r="P81" s="79" t="n"/>
      <c r="Q81" s="81" t="n"/>
      <c r="R81" s="82">
        <f>IF(AND($D81="",$G81=""),"",IF($V81="Cancelado",0,MAX(0,$L81-N($Q81))))</f>
        <v/>
      </c>
      <c r="S81" s="63">
        <f>IF(AND($D81="",$G81=""),"",IF($V81="Cancelado","Cancelado",IF($L81&lt;=0,"",IF(N($Q81)&gt;=$L81,"✔ Pagado",IF(N($Q81)&gt;0,"⚠ Pago parcial","✖ Sin pagar")))))</f>
        <v/>
      </c>
      <c r="T81" s="79" t="n"/>
      <c r="U81" s="75" t="n"/>
      <c r="V81" s="84" t="n"/>
      <c r="W81" s="64">
        <f>IF(AND($D81="",$G81=""),"",IF($C81="","⚠ Falta la fecha del pedido",IF($V81="","⚠ Elegí el estado de entrega",IF($V81="Cancelado","Cancelado",IF($V81="Entregado",IF($R81&gt;0,"⚠ Entregado: falta cobrar","✔ Cerrado"),IF(AND(N($U81)&gt;0,$U81&lt;TODAY()),"✖ Entrega atrasada ("&amp;(TODAY()-$U81)&amp;" d)","En curso"))))))</f>
        <v/>
      </c>
      <c r="X81" s="79" t="n"/>
      <c r="Y81">
        <f>IF($E81&amp;""="","",IF(LEFT(SUBSTITUTE(SUBSTITUTE(SUBSTITUTE(SUBSTITUTE(SUBSTITUTE($E81&amp;""," ",""),"-",""),"+",""),"(",""),")",""),1)="0",PaisCod&amp;MID(SUBSTITUTE(SUBSTITUTE(SUBSTITUTE(SUBSTITUTE(SUBSTITUTE($E81&amp;""," ",""),"-",""),"+",""),"(",""),")",""),2,20),SUBSTITUTE(SUBSTITUTE(SUBSTITUTE(SUBSTITUTE(SUBSTITUTE($E81&amp;""," ",""),"-",""),"+",""),"(",""),")","")))</f>
        <v/>
      </c>
      <c r="Z81">
        <f>IF(AND(N($R81)&gt;0,$V81&lt;&gt;"Cancelado"),$R81+ROW()/1000000,"")</f>
        <v/>
      </c>
      <c r="AA81">
        <f>IF(AND(OR($V81="Pendiente",$V81="Preparando",$V81="Enviado"),N($U81)&gt;0),$U81+ROW()/1000000,"")</f>
        <v/>
      </c>
      <c r="AB81">
        <f>IF(AND($D81="",$G81=""),"",IF($V81="Cancelado",0,$L81))</f>
        <v/>
      </c>
    </row>
    <row r="82" ht="19" customHeight="1">
      <c r="B82" s="74">
        <f>IF(AND($D82="",$G82=""),"",ROW()-7)</f>
        <v/>
      </c>
      <c r="C82" s="75" t="n"/>
      <c r="D82" s="76" t="n"/>
      <c r="E82" s="77" t="n"/>
      <c r="F82" s="78">
        <f>IF($Y82="","",HYPERLINK("https://wa.me/"&amp;$Y82&amp;"?text="&amp;SUBSTITUTE("Hola "&amp;$D82&amp;", te escribo por tu pedido de "&amp;$G82&amp;"."," ","%20"),"Abrir chat"))</f>
        <v/>
      </c>
      <c r="G82" s="79" t="n"/>
      <c r="H82" s="80" t="n"/>
      <c r="I82" s="81" t="n"/>
      <c r="J82" s="81" t="n"/>
      <c r="K82" s="81" t="n"/>
      <c r="L82" s="82">
        <f>IF(AND($D82="",$G82=""),"",IF(N($H82)=0,1,$H82)*N($I82)-N($J82)+N($K82))</f>
        <v/>
      </c>
      <c r="M82" s="81" t="n"/>
      <c r="N82" s="81" t="n"/>
      <c r="O82" s="83">
        <f>IF(OR(AND($D82="",$G82=""),$M82="",$V82="Cancelado"),"",$L82-N($M82)-N($N82))</f>
        <v/>
      </c>
      <c r="P82" s="79" t="n"/>
      <c r="Q82" s="81" t="n"/>
      <c r="R82" s="82">
        <f>IF(AND($D82="",$G82=""),"",IF($V82="Cancelado",0,MAX(0,$L82-N($Q82))))</f>
        <v/>
      </c>
      <c r="S82" s="60">
        <f>IF(AND($D82="",$G82=""),"",IF($V82="Cancelado","Cancelado",IF($L82&lt;=0,"",IF(N($Q82)&gt;=$L82,"✔ Pagado",IF(N($Q82)&gt;0,"⚠ Pago parcial","✖ Sin pagar")))))</f>
        <v/>
      </c>
      <c r="T82" s="79" t="n"/>
      <c r="U82" s="75" t="n"/>
      <c r="V82" s="84" t="n"/>
      <c r="W82" s="61">
        <f>IF(AND($D82="",$G82=""),"",IF($C82="","⚠ Falta la fecha del pedido",IF($V82="","⚠ Elegí el estado de entrega",IF($V82="Cancelado","Cancelado",IF($V82="Entregado",IF($R82&gt;0,"⚠ Entregado: falta cobrar","✔ Cerrado"),IF(AND(N($U82)&gt;0,$U82&lt;TODAY()),"✖ Entrega atrasada ("&amp;(TODAY()-$U82)&amp;" d)","En curso"))))))</f>
        <v/>
      </c>
      <c r="X82" s="79" t="n"/>
      <c r="Y82">
        <f>IF($E82&amp;""="","",IF(LEFT(SUBSTITUTE(SUBSTITUTE(SUBSTITUTE(SUBSTITUTE(SUBSTITUTE($E82&amp;""," ",""),"-",""),"+",""),"(",""),")",""),1)="0",PaisCod&amp;MID(SUBSTITUTE(SUBSTITUTE(SUBSTITUTE(SUBSTITUTE(SUBSTITUTE($E82&amp;""," ",""),"-",""),"+",""),"(",""),")",""),2,20),SUBSTITUTE(SUBSTITUTE(SUBSTITUTE(SUBSTITUTE(SUBSTITUTE($E82&amp;""," ",""),"-",""),"+",""),"(",""),")","")))</f>
        <v/>
      </c>
      <c r="Z82">
        <f>IF(AND(N($R82)&gt;0,$V82&lt;&gt;"Cancelado"),$R82+ROW()/1000000,"")</f>
        <v/>
      </c>
      <c r="AA82">
        <f>IF(AND(OR($V82="Pendiente",$V82="Preparando",$V82="Enviado"),N($U82)&gt;0),$U82+ROW()/1000000,"")</f>
        <v/>
      </c>
      <c r="AB82">
        <f>IF(AND($D82="",$G82=""),"",IF($V82="Cancelado",0,$L82))</f>
        <v/>
      </c>
    </row>
    <row r="83" ht="19" customHeight="1">
      <c r="B83" s="85">
        <f>IF(AND($D83="",$G83=""),"",ROW()-7)</f>
        <v/>
      </c>
      <c r="C83" s="75" t="n"/>
      <c r="D83" s="76" t="n"/>
      <c r="E83" s="77" t="n"/>
      <c r="F83" s="86">
        <f>IF($Y83="","",HYPERLINK("https://wa.me/"&amp;$Y83&amp;"?text="&amp;SUBSTITUTE("Hola "&amp;$D83&amp;", te escribo por tu pedido de "&amp;$G83&amp;"."," ","%20"),"Abrir chat"))</f>
        <v/>
      </c>
      <c r="G83" s="79" t="n"/>
      <c r="H83" s="80" t="n"/>
      <c r="I83" s="81" t="n"/>
      <c r="J83" s="81" t="n"/>
      <c r="K83" s="81" t="n"/>
      <c r="L83" s="82">
        <f>IF(AND($D83="",$G83=""),"",IF(N($H83)=0,1,$H83)*N($I83)-N($J83)+N($K83))</f>
        <v/>
      </c>
      <c r="M83" s="81" t="n"/>
      <c r="N83" s="81" t="n"/>
      <c r="O83" s="87">
        <f>IF(OR(AND($D83="",$G83=""),$M83="",$V83="Cancelado"),"",$L83-N($M83)-N($N83))</f>
        <v/>
      </c>
      <c r="P83" s="79" t="n"/>
      <c r="Q83" s="81" t="n"/>
      <c r="R83" s="82">
        <f>IF(AND($D83="",$G83=""),"",IF($V83="Cancelado",0,MAX(0,$L83-N($Q83))))</f>
        <v/>
      </c>
      <c r="S83" s="63">
        <f>IF(AND($D83="",$G83=""),"",IF($V83="Cancelado","Cancelado",IF($L83&lt;=0,"",IF(N($Q83)&gt;=$L83,"✔ Pagado",IF(N($Q83)&gt;0,"⚠ Pago parcial","✖ Sin pagar")))))</f>
        <v/>
      </c>
      <c r="T83" s="79" t="n"/>
      <c r="U83" s="75" t="n"/>
      <c r="V83" s="84" t="n"/>
      <c r="W83" s="64">
        <f>IF(AND($D83="",$G83=""),"",IF($C83="","⚠ Falta la fecha del pedido",IF($V83="","⚠ Elegí el estado de entrega",IF($V83="Cancelado","Cancelado",IF($V83="Entregado",IF($R83&gt;0,"⚠ Entregado: falta cobrar","✔ Cerrado"),IF(AND(N($U83)&gt;0,$U83&lt;TODAY()),"✖ Entrega atrasada ("&amp;(TODAY()-$U83)&amp;" d)","En curso"))))))</f>
        <v/>
      </c>
      <c r="X83" s="79" t="n"/>
      <c r="Y83">
        <f>IF($E83&amp;""="","",IF(LEFT(SUBSTITUTE(SUBSTITUTE(SUBSTITUTE(SUBSTITUTE(SUBSTITUTE($E83&amp;""," ",""),"-",""),"+",""),"(",""),")",""),1)="0",PaisCod&amp;MID(SUBSTITUTE(SUBSTITUTE(SUBSTITUTE(SUBSTITUTE(SUBSTITUTE($E83&amp;""," ",""),"-",""),"+",""),"(",""),")",""),2,20),SUBSTITUTE(SUBSTITUTE(SUBSTITUTE(SUBSTITUTE(SUBSTITUTE($E83&amp;""," ",""),"-",""),"+",""),"(",""),")","")))</f>
        <v/>
      </c>
      <c r="Z83">
        <f>IF(AND(N($R83)&gt;0,$V83&lt;&gt;"Cancelado"),$R83+ROW()/1000000,"")</f>
        <v/>
      </c>
      <c r="AA83">
        <f>IF(AND(OR($V83="Pendiente",$V83="Preparando",$V83="Enviado"),N($U83)&gt;0),$U83+ROW()/1000000,"")</f>
        <v/>
      </c>
      <c r="AB83">
        <f>IF(AND($D83="",$G83=""),"",IF($V83="Cancelado",0,$L83))</f>
        <v/>
      </c>
    </row>
    <row r="84" ht="19" customHeight="1">
      <c r="B84" s="74">
        <f>IF(AND($D84="",$G84=""),"",ROW()-7)</f>
        <v/>
      </c>
      <c r="C84" s="75" t="n"/>
      <c r="D84" s="76" t="n"/>
      <c r="E84" s="77" t="n"/>
      <c r="F84" s="78">
        <f>IF($Y84="","",HYPERLINK("https://wa.me/"&amp;$Y84&amp;"?text="&amp;SUBSTITUTE("Hola "&amp;$D84&amp;", te escribo por tu pedido de "&amp;$G84&amp;"."," ","%20"),"Abrir chat"))</f>
        <v/>
      </c>
      <c r="G84" s="79" t="n"/>
      <c r="H84" s="80" t="n"/>
      <c r="I84" s="81" t="n"/>
      <c r="J84" s="81" t="n"/>
      <c r="K84" s="81" t="n"/>
      <c r="L84" s="82">
        <f>IF(AND($D84="",$G84=""),"",IF(N($H84)=0,1,$H84)*N($I84)-N($J84)+N($K84))</f>
        <v/>
      </c>
      <c r="M84" s="81" t="n"/>
      <c r="N84" s="81" t="n"/>
      <c r="O84" s="83">
        <f>IF(OR(AND($D84="",$G84=""),$M84="",$V84="Cancelado"),"",$L84-N($M84)-N($N84))</f>
        <v/>
      </c>
      <c r="P84" s="79" t="n"/>
      <c r="Q84" s="81" t="n"/>
      <c r="R84" s="82">
        <f>IF(AND($D84="",$G84=""),"",IF($V84="Cancelado",0,MAX(0,$L84-N($Q84))))</f>
        <v/>
      </c>
      <c r="S84" s="60">
        <f>IF(AND($D84="",$G84=""),"",IF($V84="Cancelado","Cancelado",IF($L84&lt;=0,"",IF(N($Q84)&gt;=$L84,"✔ Pagado",IF(N($Q84)&gt;0,"⚠ Pago parcial","✖ Sin pagar")))))</f>
        <v/>
      </c>
      <c r="T84" s="79" t="n"/>
      <c r="U84" s="75" t="n"/>
      <c r="V84" s="84" t="n"/>
      <c r="W84" s="61">
        <f>IF(AND($D84="",$G84=""),"",IF($C84="","⚠ Falta la fecha del pedido",IF($V84="","⚠ Elegí el estado de entrega",IF($V84="Cancelado","Cancelado",IF($V84="Entregado",IF($R84&gt;0,"⚠ Entregado: falta cobrar","✔ Cerrado"),IF(AND(N($U84)&gt;0,$U84&lt;TODAY()),"✖ Entrega atrasada ("&amp;(TODAY()-$U84)&amp;" d)","En curso"))))))</f>
        <v/>
      </c>
      <c r="X84" s="79" t="n"/>
      <c r="Y84">
        <f>IF($E84&amp;""="","",IF(LEFT(SUBSTITUTE(SUBSTITUTE(SUBSTITUTE(SUBSTITUTE(SUBSTITUTE($E84&amp;""," ",""),"-",""),"+",""),"(",""),")",""),1)="0",PaisCod&amp;MID(SUBSTITUTE(SUBSTITUTE(SUBSTITUTE(SUBSTITUTE(SUBSTITUTE($E84&amp;""," ",""),"-",""),"+",""),"(",""),")",""),2,20),SUBSTITUTE(SUBSTITUTE(SUBSTITUTE(SUBSTITUTE(SUBSTITUTE($E84&amp;""," ",""),"-",""),"+",""),"(",""),")","")))</f>
        <v/>
      </c>
      <c r="Z84">
        <f>IF(AND(N($R84)&gt;0,$V84&lt;&gt;"Cancelado"),$R84+ROW()/1000000,"")</f>
        <v/>
      </c>
      <c r="AA84">
        <f>IF(AND(OR($V84="Pendiente",$V84="Preparando",$V84="Enviado"),N($U84)&gt;0),$U84+ROW()/1000000,"")</f>
        <v/>
      </c>
      <c r="AB84">
        <f>IF(AND($D84="",$G84=""),"",IF($V84="Cancelado",0,$L84))</f>
        <v/>
      </c>
    </row>
    <row r="85" ht="19" customHeight="1">
      <c r="B85" s="85">
        <f>IF(AND($D85="",$G85=""),"",ROW()-7)</f>
        <v/>
      </c>
      <c r="C85" s="75" t="n"/>
      <c r="D85" s="76" t="n"/>
      <c r="E85" s="77" t="n"/>
      <c r="F85" s="86">
        <f>IF($Y85="","",HYPERLINK("https://wa.me/"&amp;$Y85&amp;"?text="&amp;SUBSTITUTE("Hola "&amp;$D85&amp;", te escribo por tu pedido de "&amp;$G85&amp;"."," ","%20"),"Abrir chat"))</f>
        <v/>
      </c>
      <c r="G85" s="79" t="n"/>
      <c r="H85" s="80" t="n"/>
      <c r="I85" s="81" t="n"/>
      <c r="J85" s="81" t="n"/>
      <c r="K85" s="81" t="n"/>
      <c r="L85" s="82">
        <f>IF(AND($D85="",$G85=""),"",IF(N($H85)=0,1,$H85)*N($I85)-N($J85)+N($K85))</f>
        <v/>
      </c>
      <c r="M85" s="81" t="n"/>
      <c r="N85" s="81" t="n"/>
      <c r="O85" s="87">
        <f>IF(OR(AND($D85="",$G85=""),$M85="",$V85="Cancelado"),"",$L85-N($M85)-N($N85))</f>
        <v/>
      </c>
      <c r="P85" s="79" t="n"/>
      <c r="Q85" s="81" t="n"/>
      <c r="R85" s="82">
        <f>IF(AND($D85="",$G85=""),"",IF($V85="Cancelado",0,MAX(0,$L85-N($Q85))))</f>
        <v/>
      </c>
      <c r="S85" s="63">
        <f>IF(AND($D85="",$G85=""),"",IF($V85="Cancelado","Cancelado",IF($L85&lt;=0,"",IF(N($Q85)&gt;=$L85,"✔ Pagado",IF(N($Q85)&gt;0,"⚠ Pago parcial","✖ Sin pagar")))))</f>
        <v/>
      </c>
      <c r="T85" s="79" t="n"/>
      <c r="U85" s="75" t="n"/>
      <c r="V85" s="84" t="n"/>
      <c r="W85" s="64">
        <f>IF(AND($D85="",$G85=""),"",IF($C85="","⚠ Falta la fecha del pedido",IF($V85="","⚠ Elegí el estado de entrega",IF($V85="Cancelado","Cancelado",IF($V85="Entregado",IF($R85&gt;0,"⚠ Entregado: falta cobrar","✔ Cerrado"),IF(AND(N($U85)&gt;0,$U85&lt;TODAY()),"✖ Entrega atrasada ("&amp;(TODAY()-$U85)&amp;" d)","En curso"))))))</f>
        <v/>
      </c>
      <c r="X85" s="79" t="n"/>
      <c r="Y85">
        <f>IF($E85&amp;""="","",IF(LEFT(SUBSTITUTE(SUBSTITUTE(SUBSTITUTE(SUBSTITUTE(SUBSTITUTE($E85&amp;""," ",""),"-",""),"+",""),"(",""),")",""),1)="0",PaisCod&amp;MID(SUBSTITUTE(SUBSTITUTE(SUBSTITUTE(SUBSTITUTE(SUBSTITUTE($E85&amp;""," ",""),"-",""),"+",""),"(",""),")",""),2,20),SUBSTITUTE(SUBSTITUTE(SUBSTITUTE(SUBSTITUTE(SUBSTITUTE($E85&amp;""," ",""),"-",""),"+",""),"(",""),")","")))</f>
        <v/>
      </c>
      <c r="Z85">
        <f>IF(AND(N($R85)&gt;0,$V85&lt;&gt;"Cancelado"),$R85+ROW()/1000000,"")</f>
        <v/>
      </c>
      <c r="AA85">
        <f>IF(AND(OR($V85="Pendiente",$V85="Preparando",$V85="Enviado"),N($U85)&gt;0),$U85+ROW()/1000000,"")</f>
        <v/>
      </c>
      <c r="AB85">
        <f>IF(AND($D85="",$G85=""),"",IF($V85="Cancelado",0,$L85))</f>
        <v/>
      </c>
    </row>
    <row r="86" ht="19" customHeight="1">
      <c r="B86" s="74">
        <f>IF(AND($D86="",$G86=""),"",ROW()-7)</f>
        <v/>
      </c>
      <c r="C86" s="75" t="n"/>
      <c r="D86" s="76" t="n"/>
      <c r="E86" s="77" t="n"/>
      <c r="F86" s="78">
        <f>IF($Y86="","",HYPERLINK("https://wa.me/"&amp;$Y86&amp;"?text="&amp;SUBSTITUTE("Hola "&amp;$D86&amp;", te escribo por tu pedido de "&amp;$G86&amp;"."," ","%20"),"Abrir chat"))</f>
        <v/>
      </c>
      <c r="G86" s="79" t="n"/>
      <c r="H86" s="80" t="n"/>
      <c r="I86" s="81" t="n"/>
      <c r="J86" s="81" t="n"/>
      <c r="K86" s="81" t="n"/>
      <c r="L86" s="82">
        <f>IF(AND($D86="",$G86=""),"",IF(N($H86)=0,1,$H86)*N($I86)-N($J86)+N($K86))</f>
        <v/>
      </c>
      <c r="M86" s="81" t="n"/>
      <c r="N86" s="81" t="n"/>
      <c r="O86" s="83">
        <f>IF(OR(AND($D86="",$G86=""),$M86="",$V86="Cancelado"),"",$L86-N($M86)-N($N86))</f>
        <v/>
      </c>
      <c r="P86" s="79" t="n"/>
      <c r="Q86" s="81" t="n"/>
      <c r="R86" s="82">
        <f>IF(AND($D86="",$G86=""),"",IF($V86="Cancelado",0,MAX(0,$L86-N($Q86))))</f>
        <v/>
      </c>
      <c r="S86" s="60">
        <f>IF(AND($D86="",$G86=""),"",IF($V86="Cancelado","Cancelado",IF($L86&lt;=0,"",IF(N($Q86)&gt;=$L86,"✔ Pagado",IF(N($Q86)&gt;0,"⚠ Pago parcial","✖ Sin pagar")))))</f>
        <v/>
      </c>
      <c r="T86" s="79" t="n"/>
      <c r="U86" s="75" t="n"/>
      <c r="V86" s="84" t="n"/>
      <c r="W86" s="61">
        <f>IF(AND($D86="",$G86=""),"",IF($C86="","⚠ Falta la fecha del pedido",IF($V86="","⚠ Elegí el estado de entrega",IF($V86="Cancelado","Cancelado",IF($V86="Entregado",IF($R86&gt;0,"⚠ Entregado: falta cobrar","✔ Cerrado"),IF(AND(N($U86)&gt;0,$U86&lt;TODAY()),"✖ Entrega atrasada ("&amp;(TODAY()-$U86)&amp;" d)","En curso"))))))</f>
        <v/>
      </c>
      <c r="X86" s="79" t="n"/>
      <c r="Y86">
        <f>IF($E86&amp;""="","",IF(LEFT(SUBSTITUTE(SUBSTITUTE(SUBSTITUTE(SUBSTITUTE(SUBSTITUTE($E86&amp;""," ",""),"-",""),"+",""),"(",""),")",""),1)="0",PaisCod&amp;MID(SUBSTITUTE(SUBSTITUTE(SUBSTITUTE(SUBSTITUTE(SUBSTITUTE($E86&amp;""," ",""),"-",""),"+",""),"(",""),")",""),2,20),SUBSTITUTE(SUBSTITUTE(SUBSTITUTE(SUBSTITUTE(SUBSTITUTE($E86&amp;""," ",""),"-",""),"+",""),"(",""),")","")))</f>
        <v/>
      </c>
      <c r="Z86">
        <f>IF(AND(N($R86)&gt;0,$V86&lt;&gt;"Cancelado"),$R86+ROW()/1000000,"")</f>
        <v/>
      </c>
      <c r="AA86">
        <f>IF(AND(OR($V86="Pendiente",$V86="Preparando",$V86="Enviado"),N($U86)&gt;0),$U86+ROW()/1000000,"")</f>
        <v/>
      </c>
      <c r="AB86">
        <f>IF(AND($D86="",$G86=""),"",IF($V86="Cancelado",0,$L86))</f>
        <v/>
      </c>
    </row>
    <row r="87" ht="19" customHeight="1">
      <c r="B87" s="85">
        <f>IF(AND($D87="",$G87=""),"",ROW()-7)</f>
        <v/>
      </c>
      <c r="C87" s="75" t="n"/>
      <c r="D87" s="76" t="n"/>
      <c r="E87" s="77" t="n"/>
      <c r="F87" s="86">
        <f>IF($Y87="","",HYPERLINK("https://wa.me/"&amp;$Y87&amp;"?text="&amp;SUBSTITUTE("Hola "&amp;$D87&amp;", te escribo por tu pedido de "&amp;$G87&amp;"."," ","%20"),"Abrir chat"))</f>
        <v/>
      </c>
      <c r="G87" s="79" t="n"/>
      <c r="H87" s="80" t="n"/>
      <c r="I87" s="81" t="n"/>
      <c r="J87" s="81" t="n"/>
      <c r="K87" s="81" t="n"/>
      <c r="L87" s="82">
        <f>IF(AND($D87="",$G87=""),"",IF(N($H87)=0,1,$H87)*N($I87)-N($J87)+N($K87))</f>
        <v/>
      </c>
      <c r="M87" s="81" t="n"/>
      <c r="N87" s="81" t="n"/>
      <c r="O87" s="87">
        <f>IF(OR(AND($D87="",$G87=""),$M87="",$V87="Cancelado"),"",$L87-N($M87)-N($N87))</f>
        <v/>
      </c>
      <c r="P87" s="79" t="n"/>
      <c r="Q87" s="81" t="n"/>
      <c r="R87" s="82">
        <f>IF(AND($D87="",$G87=""),"",IF($V87="Cancelado",0,MAX(0,$L87-N($Q87))))</f>
        <v/>
      </c>
      <c r="S87" s="63">
        <f>IF(AND($D87="",$G87=""),"",IF($V87="Cancelado","Cancelado",IF($L87&lt;=0,"",IF(N($Q87)&gt;=$L87,"✔ Pagado",IF(N($Q87)&gt;0,"⚠ Pago parcial","✖ Sin pagar")))))</f>
        <v/>
      </c>
      <c r="T87" s="79" t="n"/>
      <c r="U87" s="75" t="n"/>
      <c r="V87" s="84" t="n"/>
      <c r="W87" s="64">
        <f>IF(AND($D87="",$G87=""),"",IF($C87="","⚠ Falta la fecha del pedido",IF($V87="","⚠ Elegí el estado de entrega",IF($V87="Cancelado","Cancelado",IF($V87="Entregado",IF($R87&gt;0,"⚠ Entregado: falta cobrar","✔ Cerrado"),IF(AND(N($U87)&gt;0,$U87&lt;TODAY()),"✖ Entrega atrasada ("&amp;(TODAY()-$U87)&amp;" d)","En curso"))))))</f>
        <v/>
      </c>
      <c r="X87" s="79" t="n"/>
      <c r="Y87">
        <f>IF($E87&amp;""="","",IF(LEFT(SUBSTITUTE(SUBSTITUTE(SUBSTITUTE(SUBSTITUTE(SUBSTITUTE($E87&amp;""," ",""),"-",""),"+",""),"(",""),")",""),1)="0",PaisCod&amp;MID(SUBSTITUTE(SUBSTITUTE(SUBSTITUTE(SUBSTITUTE(SUBSTITUTE($E87&amp;""," ",""),"-",""),"+",""),"(",""),")",""),2,20),SUBSTITUTE(SUBSTITUTE(SUBSTITUTE(SUBSTITUTE(SUBSTITUTE($E87&amp;""," ",""),"-",""),"+",""),"(",""),")","")))</f>
        <v/>
      </c>
      <c r="Z87">
        <f>IF(AND(N($R87)&gt;0,$V87&lt;&gt;"Cancelado"),$R87+ROW()/1000000,"")</f>
        <v/>
      </c>
      <c r="AA87">
        <f>IF(AND(OR($V87="Pendiente",$V87="Preparando",$V87="Enviado"),N($U87)&gt;0),$U87+ROW()/1000000,"")</f>
        <v/>
      </c>
      <c r="AB87">
        <f>IF(AND($D87="",$G87=""),"",IF($V87="Cancelado",0,$L87))</f>
        <v/>
      </c>
    </row>
    <row r="88" ht="19" customHeight="1">
      <c r="B88" s="74">
        <f>IF(AND($D88="",$G88=""),"",ROW()-7)</f>
        <v/>
      </c>
      <c r="C88" s="75" t="n"/>
      <c r="D88" s="76" t="n"/>
      <c r="E88" s="77" t="n"/>
      <c r="F88" s="78">
        <f>IF($Y88="","",HYPERLINK("https://wa.me/"&amp;$Y88&amp;"?text="&amp;SUBSTITUTE("Hola "&amp;$D88&amp;", te escribo por tu pedido de "&amp;$G88&amp;"."," ","%20"),"Abrir chat"))</f>
        <v/>
      </c>
      <c r="G88" s="79" t="n"/>
      <c r="H88" s="80" t="n"/>
      <c r="I88" s="81" t="n"/>
      <c r="J88" s="81" t="n"/>
      <c r="K88" s="81" t="n"/>
      <c r="L88" s="82">
        <f>IF(AND($D88="",$G88=""),"",IF(N($H88)=0,1,$H88)*N($I88)-N($J88)+N($K88))</f>
        <v/>
      </c>
      <c r="M88" s="81" t="n"/>
      <c r="N88" s="81" t="n"/>
      <c r="O88" s="83">
        <f>IF(OR(AND($D88="",$G88=""),$M88="",$V88="Cancelado"),"",$L88-N($M88)-N($N88))</f>
        <v/>
      </c>
      <c r="P88" s="79" t="n"/>
      <c r="Q88" s="81" t="n"/>
      <c r="R88" s="82">
        <f>IF(AND($D88="",$G88=""),"",IF($V88="Cancelado",0,MAX(0,$L88-N($Q88))))</f>
        <v/>
      </c>
      <c r="S88" s="60">
        <f>IF(AND($D88="",$G88=""),"",IF($V88="Cancelado","Cancelado",IF($L88&lt;=0,"",IF(N($Q88)&gt;=$L88,"✔ Pagado",IF(N($Q88)&gt;0,"⚠ Pago parcial","✖ Sin pagar")))))</f>
        <v/>
      </c>
      <c r="T88" s="79" t="n"/>
      <c r="U88" s="75" t="n"/>
      <c r="V88" s="84" t="n"/>
      <c r="W88" s="61">
        <f>IF(AND($D88="",$G88=""),"",IF($C88="","⚠ Falta la fecha del pedido",IF($V88="","⚠ Elegí el estado de entrega",IF($V88="Cancelado","Cancelado",IF($V88="Entregado",IF($R88&gt;0,"⚠ Entregado: falta cobrar","✔ Cerrado"),IF(AND(N($U88)&gt;0,$U88&lt;TODAY()),"✖ Entrega atrasada ("&amp;(TODAY()-$U88)&amp;" d)","En curso"))))))</f>
        <v/>
      </c>
      <c r="X88" s="79" t="n"/>
      <c r="Y88">
        <f>IF($E88&amp;""="","",IF(LEFT(SUBSTITUTE(SUBSTITUTE(SUBSTITUTE(SUBSTITUTE(SUBSTITUTE($E88&amp;""," ",""),"-",""),"+",""),"(",""),")",""),1)="0",PaisCod&amp;MID(SUBSTITUTE(SUBSTITUTE(SUBSTITUTE(SUBSTITUTE(SUBSTITUTE($E88&amp;""," ",""),"-",""),"+",""),"(",""),")",""),2,20),SUBSTITUTE(SUBSTITUTE(SUBSTITUTE(SUBSTITUTE(SUBSTITUTE($E88&amp;""," ",""),"-",""),"+",""),"(",""),")","")))</f>
        <v/>
      </c>
      <c r="Z88">
        <f>IF(AND(N($R88)&gt;0,$V88&lt;&gt;"Cancelado"),$R88+ROW()/1000000,"")</f>
        <v/>
      </c>
      <c r="AA88">
        <f>IF(AND(OR($V88="Pendiente",$V88="Preparando",$V88="Enviado"),N($U88)&gt;0),$U88+ROW()/1000000,"")</f>
        <v/>
      </c>
      <c r="AB88">
        <f>IF(AND($D88="",$G88=""),"",IF($V88="Cancelado",0,$L88))</f>
        <v/>
      </c>
    </row>
    <row r="89" ht="19" customHeight="1">
      <c r="B89" s="85">
        <f>IF(AND($D89="",$G89=""),"",ROW()-7)</f>
        <v/>
      </c>
      <c r="C89" s="75" t="n"/>
      <c r="D89" s="76" t="n"/>
      <c r="E89" s="77" t="n"/>
      <c r="F89" s="86">
        <f>IF($Y89="","",HYPERLINK("https://wa.me/"&amp;$Y89&amp;"?text="&amp;SUBSTITUTE("Hola "&amp;$D89&amp;", te escribo por tu pedido de "&amp;$G89&amp;"."," ","%20"),"Abrir chat"))</f>
        <v/>
      </c>
      <c r="G89" s="79" t="n"/>
      <c r="H89" s="80" t="n"/>
      <c r="I89" s="81" t="n"/>
      <c r="J89" s="81" t="n"/>
      <c r="K89" s="81" t="n"/>
      <c r="L89" s="82">
        <f>IF(AND($D89="",$G89=""),"",IF(N($H89)=0,1,$H89)*N($I89)-N($J89)+N($K89))</f>
        <v/>
      </c>
      <c r="M89" s="81" t="n"/>
      <c r="N89" s="81" t="n"/>
      <c r="O89" s="87">
        <f>IF(OR(AND($D89="",$G89=""),$M89="",$V89="Cancelado"),"",$L89-N($M89)-N($N89))</f>
        <v/>
      </c>
      <c r="P89" s="79" t="n"/>
      <c r="Q89" s="81" t="n"/>
      <c r="R89" s="82">
        <f>IF(AND($D89="",$G89=""),"",IF($V89="Cancelado",0,MAX(0,$L89-N($Q89))))</f>
        <v/>
      </c>
      <c r="S89" s="63">
        <f>IF(AND($D89="",$G89=""),"",IF($V89="Cancelado","Cancelado",IF($L89&lt;=0,"",IF(N($Q89)&gt;=$L89,"✔ Pagado",IF(N($Q89)&gt;0,"⚠ Pago parcial","✖ Sin pagar")))))</f>
        <v/>
      </c>
      <c r="T89" s="79" t="n"/>
      <c r="U89" s="75" t="n"/>
      <c r="V89" s="84" t="n"/>
      <c r="W89" s="64">
        <f>IF(AND($D89="",$G89=""),"",IF($C89="","⚠ Falta la fecha del pedido",IF($V89="","⚠ Elegí el estado de entrega",IF($V89="Cancelado","Cancelado",IF($V89="Entregado",IF($R89&gt;0,"⚠ Entregado: falta cobrar","✔ Cerrado"),IF(AND(N($U89)&gt;0,$U89&lt;TODAY()),"✖ Entrega atrasada ("&amp;(TODAY()-$U89)&amp;" d)","En curso"))))))</f>
        <v/>
      </c>
      <c r="X89" s="79" t="n"/>
      <c r="Y89">
        <f>IF($E89&amp;""="","",IF(LEFT(SUBSTITUTE(SUBSTITUTE(SUBSTITUTE(SUBSTITUTE(SUBSTITUTE($E89&amp;""," ",""),"-",""),"+",""),"(",""),")",""),1)="0",PaisCod&amp;MID(SUBSTITUTE(SUBSTITUTE(SUBSTITUTE(SUBSTITUTE(SUBSTITUTE($E89&amp;""," ",""),"-",""),"+",""),"(",""),")",""),2,20),SUBSTITUTE(SUBSTITUTE(SUBSTITUTE(SUBSTITUTE(SUBSTITUTE($E89&amp;""," ",""),"-",""),"+",""),"(",""),")","")))</f>
        <v/>
      </c>
      <c r="Z89">
        <f>IF(AND(N($R89)&gt;0,$V89&lt;&gt;"Cancelado"),$R89+ROW()/1000000,"")</f>
        <v/>
      </c>
      <c r="AA89">
        <f>IF(AND(OR($V89="Pendiente",$V89="Preparando",$V89="Enviado"),N($U89)&gt;0),$U89+ROW()/1000000,"")</f>
        <v/>
      </c>
      <c r="AB89">
        <f>IF(AND($D89="",$G89=""),"",IF($V89="Cancelado",0,$L89))</f>
        <v/>
      </c>
    </row>
    <row r="90" ht="19" customHeight="1">
      <c r="B90" s="74">
        <f>IF(AND($D90="",$G90=""),"",ROW()-7)</f>
        <v/>
      </c>
      <c r="C90" s="75" t="n"/>
      <c r="D90" s="76" t="n"/>
      <c r="E90" s="77" t="n"/>
      <c r="F90" s="78">
        <f>IF($Y90="","",HYPERLINK("https://wa.me/"&amp;$Y90&amp;"?text="&amp;SUBSTITUTE("Hola "&amp;$D90&amp;", te escribo por tu pedido de "&amp;$G90&amp;"."," ","%20"),"Abrir chat"))</f>
        <v/>
      </c>
      <c r="G90" s="79" t="n"/>
      <c r="H90" s="80" t="n"/>
      <c r="I90" s="81" t="n"/>
      <c r="J90" s="81" t="n"/>
      <c r="K90" s="81" t="n"/>
      <c r="L90" s="82">
        <f>IF(AND($D90="",$G90=""),"",IF(N($H90)=0,1,$H90)*N($I90)-N($J90)+N($K90))</f>
        <v/>
      </c>
      <c r="M90" s="81" t="n"/>
      <c r="N90" s="81" t="n"/>
      <c r="O90" s="83">
        <f>IF(OR(AND($D90="",$G90=""),$M90="",$V90="Cancelado"),"",$L90-N($M90)-N($N90))</f>
        <v/>
      </c>
      <c r="P90" s="79" t="n"/>
      <c r="Q90" s="81" t="n"/>
      <c r="R90" s="82">
        <f>IF(AND($D90="",$G90=""),"",IF($V90="Cancelado",0,MAX(0,$L90-N($Q90))))</f>
        <v/>
      </c>
      <c r="S90" s="60">
        <f>IF(AND($D90="",$G90=""),"",IF($V90="Cancelado","Cancelado",IF($L90&lt;=0,"",IF(N($Q90)&gt;=$L90,"✔ Pagado",IF(N($Q90)&gt;0,"⚠ Pago parcial","✖ Sin pagar")))))</f>
        <v/>
      </c>
      <c r="T90" s="79" t="n"/>
      <c r="U90" s="75" t="n"/>
      <c r="V90" s="84" t="n"/>
      <c r="W90" s="61">
        <f>IF(AND($D90="",$G90=""),"",IF($C90="","⚠ Falta la fecha del pedido",IF($V90="","⚠ Elegí el estado de entrega",IF($V90="Cancelado","Cancelado",IF($V90="Entregado",IF($R90&gt;0,"⚠ Entregado: falta cobrar","✔ Cerrado"),IF(AND(N($U90)&gt;0,$U90&lt;TODAY()),"✖ Entrega atrasada ("&amp;(TODAY()-$U90)&amp;" d)","En curso"))))))</f>
        <v/>
      </c>
      <c r="X90" s="79" t="n"/>
      <c r="Y90">
        <f>IF($E90&amp;""="","",IF(LEFT(SUBSTITUTE(SUBSTITUTE(SUBSTITUTE(SUBSTITUTE(SUBSTITUTE($E90&amp;""," ",""),"-",""),"+",""),"(",""),")",""),1)="0",PaisCod&amp;MID(SUBSTITUTE(SUBSTITUTE(SUBSTITUTE(SUBSTITUTE(SUBSTITUTE($E90&amp;""," ",""),"-",""),"+",""),"(",""),")",""),2,20),SUBSTITUTE(SUBSTITUTE(SUBSTITUTE(SUBSTITUTE(SUBSTITUTE($E90&amp;""," ",""),"-",""),"+",""),"(",""),")","")))</f>
        <v/>
      </c>
      <c r="Z90">
        <f>IF(AND(N($R90)&gt;0,$V90&lt;&gt;"Cancelado"),$R90+ROW()/1000000,"")</f>
        <v/>
      </c>
      <c r="AA90">
        <f>IF(AND(OR($V90="Pendiente",$V90="Preparando",$V90="Enviado"),N($U90)&gt;0),$U90+ROW()/1000000,"")</f>
        <v/>
      </c>
      <c r="AB90">
        <f>IF(AND($D90="",$G90=""),"",IF($V90="Cancelado",0,$L90))</f>
        <v/>
      </c>
    </row>
    <row r="91" ht="19" customHeight="1">
      <c r="B91" s="85">
        <f>IF(AND($D91="",$G91=""),"",ROW()-7)</f>
        <v/>
      </c>
      <c r="C91" s="75" t="n"/>
      <c r="D91" s="76" t="n"/>
      <c r="E91" s="77" t="n"/>
      <c r="F91" s="86">
        <f>IF($Y91="","",HYPERLINK("https://wa.me/"&amp;$Y91&amp;"?text="&amp;SUBSTITUTE("Hola "&amp;$D91&amp;", te escribo por tu pedido de "&amp;$G91&amp;"."," ","%20"),"Abrir chat"))</f>
        <v/>
      </c>
      <c r="G91" s="79" t="n"/>
      <c r="H91" s="80" t="n"/>
      <c r="I91" s="81" t="n"/>
      <c r="J91" s="81" t="n"/>
      <c r="K91" s="81" t="n"/>
      <c r="L91" s="82">
        <f>IF(AND($D91="",$G91=""),"",IF(N($H91)=0,1,$H91)*N($I91)-N($J91)+N($K91))</f>
        <v/>
      </c>
      <c r="M91" s="81" t="n"/>
      <c r="N91" s="81" t="n"/>
      <c r="O91" s="87">
        <f>IF(OR(AND($D91="",$G91=""),$M91="",$V91="Cancelado"),"",$L91-N($M91)-N($N91))</f>
        <v/>
      </c>
      <c r="P91" s="79" t="n"/>
      <c r="Q91" s="81" t="n"/>
      <c r="R91" s="82">
        <f>IF(AND($D91="",$G91=""),"",IF($V91="Cancelado",0,MAX(0,$L91-N($Q91))))</f>
        <v/>
      </c>
      <c r="S91" s="63">
        <f>IF(AND($D91="",$G91=""),"",IF($V91="Cancelado","Cancelado",IF($L91&lt;=0,"",IF(N($Q91)&gt;=$L91,"✔ Pagado",IF(N($Q91)&gt;0,"⚠ Pago parcial","✖ Sin pagar")))))</f>
        <v/>
      </c>
      <c r="T91" s="79" t="n"/>
      <c r="U91" s="75" t="n"/>
      <c r="V91" s="84" t="n"/>
      <c r="W91" s="64">
        <f>IF(AND($D91="",$G91=""),"",IF($C91="","⚠ Falta la fecha del pedido",IF($V91="","⚠ Elegí el estado de entrega",IF($V91="Cancelado","Cancelado",IF($V91="Entregado",IF($R91&gt;0,"⚠ Entregado: falta cobrar","✔ Cerrado"),IF(AND(N($U91)&gt;0,$U91&lt;TODAY()),"✖ Entrega atrasada ("&amp;(TODAY()-$U91)&amp;" d)","En curso"))))))</f>
        <v/>
      </c>
      <c r="X91" s="79" t="n"/>
      <c r="Y91">
        <f>IF($E91&amp;""="","",IF(LEFT(SUBSTITUTE(SUBSTITUTE(SUBSTITUTE(SUBSTITUTE(SUBSTITUTE($E91&amp;""," ",""),"-",""),"+",""),"(",""),")",""),1)="0",PaisCod&amp;MID(SUBSTITUTE(SUBSTITUTE(SUBSTITUTE(SUBSTITUTE(SUBSTITUTE($E91&amp;""," ",""),"-",""),"+",""),"(",""),")",""),2,20),SUBSTITUTE(SUBSTITUTE(SUBSTITUTE(SUBSTITUTE(SUBSTITUTE($E91&amp;""," ",""),"-",""),"+",""),"(",""),")","")))</f>
        <v/>
      </c>
      <c r="Z91">
        <f>IF(AND(N($R91)&gt;0,$V91&lt;&gt;"Cancelado"),$R91+ROW()/1000000,"")</f>
        <v/>
      </c>
      <c r="AA91">
        <f>IF(AND(OR($V91="Pendiente",$V91="Preparando",$V91="Enviado"),N($U91)&gt;0),$U91+ROW()/1000000,"")</f>
        <v/>
      </c>
      <c r="AB91">
        <f>IF(AND($D91="",$G91=""),"",IF($V91="Cancelado",0,$L91))</f>
        <v/>
      </c>
    </row>
    <row r="92" ht="19" customHeight="1">
      <c r="B92" s="74">
        <f>IF(AND($D92="",$G92=""),"",ROW()-7)</f>
        <v/>
      </c>
      <c r="C92" s="75" t="n"/>
      <c r="D92" s="76" t="n"/>
      <c r="E92" s="77" t="n"/>
      <c r="F92" s="78">
        <f>IF($Y92="","",HYPERLINK("https://wa.me/"&amp;$Y92&amp;"?text="&amp;SUBSTITUTE("Hola "&amp;$D92&amp;", te escribo por tu pedido de "&amp;$G92&amp;"."," ","%20"),"Abrir chat"))</f>
        <v/>
      </c>
      <c r="G92" s="79" t="n"/>
      <c r="H92" s="80" t="n"/>
      <c r="I92" s="81" t="n"/>
      <c r="J92" s="81" t="n"/>
      <c r="K92" s="81" t="n"/>
      <c r="L92" s="82">
        <f>IF(AND($D92="",$G92=""),"",IF(N($H92)=0,1,$H92)*N($I92)-N($J92)+N($K92))</f>
        <v/>
      </c>
      <c r="M92" s="81" t="n"/>
      <c r="N92" s="81" t="n"/>
      <c r="O92" s="83">
        <f>IF(OR(AND($D92="",$G92=""),$M92="",$V92="Cancelado"),"",$L92-N($M92)-N($N92))</f>
        <v/>
      </c>
      <c r="P92" s="79" t="n"/>
      <c r="Q92" s="81" t="n"/>
      <c r="R92" s="82">
        <f>IF(AND($D92="",$G92=""),"",IF($V92="Cancelado",0,MAX(0,$L92-N($Q92))))</f>
        <v/>
      </c>
      <c r="S92" s="60">
        <f>IF(AND($D92="",$G92=""),"",IF($V92="Cancelado","Cancelado",IF($L92&lt;=0,"",IF(N($Q92)&gt;=$L92,"✔ Pagado",IF(N($Q92)&gt;0,"⚠ Pago parcial","✖ Sin pagar")))))</f>
        <v/>
      </c>
      <c r="T92" s="79" t="n"/>
      <c r="U92" s="75" t="n"/>
      <c r="V92" s="84" t="n"/>
      <c r="W92" s="61">
        <f>IF(AND($D92="",$G92=""),"",IF($C92="","⚠ Falta la fecha del pedido",IF($V92="","⚠ Elegí el estado de entrega",IF($V92="Cancelado","Cancelado",IF($V92="Entregado",IF($R92&gt;0,"⚠ Entregado: falta cobrar","✔ Cerrado"),IF(AND(N($U92)&gt;0,$U92&lt;TODAY()),"✖ Entrega atrasada ("&amp;(TODAY()-$U92)&amp;" d)","En curso"))))))</f>
        <v/>
      </c>
      <c r="X92" s="79" t="n"/>
      <c r="Y92">
        <f>IF($E92&amp;""="","",IF(LEFT(SUBSTITUTE(SUBSTITUTE(SUBSTITUTE(SUBSTITUTE(SUBSTITUTE($E92&amp;""," ",""),"-",""),"+",""),"(",""),")",""),1)="0",PaisCod&amp;MID(SUBSTITUTE(SUBSTITUTE(SUBSTITUTE(SUBSTITUTE(SUBSTITUTE($E92&amp;""," ",""),"-",""),"+",""),"(",""),")",""),2,20),SUBSTITUTE(SUBSTITUTE(SUBSTITUTE(SUBSTITUTE(SUBSTITUTE($E92&amp;""," ",""),"-",""),"+",""),"(",""),")","")))</f>
        <v/>
      </c>
      <c r="Z92">
        <f>IF(AND(N($R92)&gt;0,$V92&lt;&gt;"Cancelado"),$R92+ROW()/1000000,"")</f>
        <v/>
      </c>
      <c r="AA92">
        <f>IF(AND(OR($V92="Pendiente",$V92="Preparando",$V92="Enviado"),N($U92)&gt;0),$U92+ROW()/1000000,"")</f>
        <v/>
      </c>
      <c r="AB92">
        <f>IF(AND($D92="",$G92=""),"",IF($V92="Cancelado",0,$L92))</f>
        <v/>
      </c>
    </row>
    <row r="93" ht="19" customHeight="1">
      <c r="B93" s="85">
        <f>IF(AND($D93="",$G93=""),"",ROW()-7)</f>
        <v/>
      </c>
      <c r="C93" s="75" t="n"/>
      <c r="D93" s="76" t="n"/>
      <c r="E93" s="77" t="n"/>
      <c r="F93" s="86">
        <f>IF($Y93="","",HYPERLINK("https://wa.me/"&amp;$Y93&amp;"?text="&amp;SUBSTITUTE("Hola "&amp;$D93&amp;", te escribo por tu pedido de "&amp;$G93&amp;"."," ","%20"),"Abrir chat"))</f>
        <v/>
      </c>
      <c r="G93" s="79" t="n"/>
      <c r="H93" s="80" t="n"/>
      <c r="I93" s="81" t="n"/>
      <c r="J93" s="81" t="n"/>
      <c r="K93" s="81" t="n"/>
      <c r="L93" s="82">
        <f>IF(AND($D93="",$G93=""),"",IF(N($H93)=0,1,$H93)*N($I93)-N($J93)+N($K93))</f>
        <v/>
      </c>
      <c r="M93" s="81" t="n"/>
      <c r="N93" s="81" t="n"/>
      <c r="O93" s="87">
        <f>IF(OR(AND($D93="",$G93=""),$M93="",$V93="Cancelado"),"",$L93-N($M93)-N($N93))</f>
        <v/>
      </c>
      <c r="P93" s="79" t="n"/>
      <c r="Q93" s="81" t="n"/>
      <c r="R93" s="82">
        <f>IF(AND($D93="",$G93=""),"",IF($V93="Cancelado",0,MAX(0,$L93-N($Q93))))</f>
        <v/>
      </c>
      <c r="S93" s="63">
        <f>IF(AND($D93="",$G93=""),"",IF($V93="Cancelado","Cancelado",IF($L93&lt;=0,"",IF(N($Q93)&gt;=$L93,"✔ Pagado",IF(N($Q93)&gt;0,"⚠ Pago parcial","✖ Sin pagar")))))</f>
        <v/>
      </c>
      <c r="T93" s="79" t="n"/>
      <c r="U93" s="75" t="n"/>
      <c r="V93" s="84" t="n"/>
      <c r="W93" s="64">
        <f>IF(AND($D93="",$G93=""),"",IF($C93="","⚠ Falta la fecha del pedido",IF($V93="","⚠ Elegí el estado de entrega",IF($V93="Cancelado","Cancelado",IF($V93="Entregado",IF($R93&gt;0,"⚠ Entregado: falta cobrar","✔ Cerrado"),IF(AND(N($U93)&gt;0,$U93&lt;TODAY()),"✖ Entrega atrasada ("&amp;(TODAY()-$U93)&amp;" d)","En curso"))))))</f>
        <v/>
      </c>
      <c r="X93" s="79" t="n"/>
      <c r="Y93">
        <f>IF($E93&amp;""="","",IF(LEFT(SUBSTITUTE(SUBSTITUTE(SUBSTITUTE(SUBSTITUTE(SUBSTITUTE($E93&amp;""," ",""),"-",""),"+",""),"(",""),")",""),1)="0",PaisCod&amp;MID(SUBSTITUTE(SUBSTITUTE(SUBSTITUTE(SUBSTITUTE(SUBSTITUTE($E93&amp;""," ",""),"-",""),"+",""),"(",""),")",""),2,20),SUBSTITUTE(SUBSTITUTE(SUBSTITUTE(SUBSTITUTE(SUBSTITUTE($E93&amp;""," ",""),"-",""),"+",""),"(",""),")","")))</f>
        <v/>
      </c>
      <c r="Z93">
        <f>IF(AND(N($R93)&gt;0,$V93&lt;&gt;"Cancelado"),$R93+ROW()/1000000,"")</f>
        <v/>
      </c>
      <c r="AA93">
        <f>IF(AND(OR($V93="Pendiente",$V93="Preparando",$V93="Enviado"),N($U93)&gt;0),$U93+ROW()/1000000,"")</f>
        <v/>
      </c>
      <c r="AB93">
        <f>IF(AND($D93="",$G93=""),"",IF($V93="Cancelado",0,$L93))</f>
        <v/>
      </c>
    </row>
    <row r="94" ht="19" customHeight="1">
      <c r="B94" s="74">
        <f>IF(AND($D94="",$G94=""),"",ROW()-7)</f>
        <v/>
      </c>
      <c r="C94" s="75" t="n"/>
      <c r="D94" s="76" t="n"/>
      <c r="E94" s="77" t="n"/>
      <c r="F94" s="78">
        <f>IF($Y94="","",HYPERLINK("https://wa.me/"&amp;$Y94&amp;"?text="&amp;SUBSTITUTE("Hola "&amp;$D94&amp;", te escribo por tu pedido de "&amp;$G94&amp;"."," ","%20"),"Abrir chat"))</f>
        <v/>
      </c>
      <c r="G94" s="79" t="n"/>
      <c r="H94" s="80" t="n"/>
      <c r="I94" s="81" t="n"/>
      <c r="J94" s="81" t="n"/>
      <c r="K94" s="81" t="n"/>
      <c r="L94" s="82">
        <f>IF(AND($D94="",$G94=""),"",IF(N($H94)=0,1,$H94)*N($I94)-N($J94)+N($K94))</f>
        <v/>
      </c>
      <c r="M94" s="81" t="n"/>
      <c r="N94" s="81" t="n"/>
      <c r="O94" s="83">
        <f>IF(OR(AND($D94="",$G94=""),$M94="",$V94="Cancelado"),"",$L94-N($M94)-N($N94))</f>
        <v/>
      </c>
      <c r="P94" s="79" t="n"/>
      <c r="Q94" s="81" t="n"/>
      <c r="R94" s="82">
        <f>IF(AND($D94="",$G94=""),"",IF($V94="Cancelado",0,MAX(0,$L94-N($Q94))))</f>
        <v/>
      </c>
      <c r="S94" s="60">
        <f>IF(AND($D94="",$G94=""),"",IF($V94="Cancelado","Cancelado",IF($L94&lt;=0,"",IF(N($Q94)&gt;=$L94,"✔ Pagado",IF(N($Q94)&gt;0,"⚠ Pago parcial","✖ Sin pagar")))))</f>
        <v/>
      </c>
      <c r="T94" s="79" t="n"/>
      <c r="U94" s="75" t="n"/>
      <c r="V94" s="84" t="n"/>
      <c r="W94" s="61">
        <f>IF(AND($D94="",$G94=""),"",IF($C94="","⚠ Falta la fecha del pedido",IF($V94="","⚠ Elegí el estado de entrega",IF($V94="Cancelado","Cancelado",IF($V94="Entregado",IF($R94&gt;0,"⚠ Entregado: falta cobrar","✔ Cerrado"),IF(AND(N($U94)&gt;0,$U94&lt;TODAY()),"✖ Entrega atrasada ("&amp;(TODAY()-$U94)&amp;" d)","En curso"))))))</f>
        <v/>
      </c>
      <c r="X94" s="79" t="n"/>
      <c r="Y94">
        <f>IF($E94&amp;""="","",IF(LEFT(SUBSTITUTE(SUBSTITUTE(SUBSTITUTE(SUBSTITUTE(SUBSTITUTE($E94&amp;""," ",""),"-",""),"+",""),"(",""),")",""),1)="0",PaisCod&amp;MID(SUBSTITUTE(SUBSTITUTE(SUBSTITUTE(SUBSTITUTE(SUBSTITUTE($E94&amp;""," ",""),"-",""),"+",""),"(",""),")",""),2,20),SUBSTITUTE(SUBSTITUTE(SUBSTITUTE(SUBSTITUTE(SUBSTITUTE($E94&amp;""," ",""),"-",""),"+",""),"(",""),")","")))</f>
        <v/>
      </c>
      <c r="Z94">
        <f>IF(AND(N($R94)&gt;0,$V94&lt;&gt;"Cancelado"),$R94+ROW()/1000000,"")</f>
        <v/>
      </c>
      <c r="AA94">
        <f>IF(AND(OR($V94="Pendiente",$V94="Preparando",$V94="Enviado"),N($U94)&gt;0),$U94+ROW()/1000000,"")</f>
        <v/>
      </c>
      <c r="AB94">
        <f>IF(AND($D94="",$G94=""),"",IF($V94="Cancelado",0,$L94))</f>
        <v/>
      </c>
    </row>
    <row r="95" ht="19" customHeight="1">
      <c r="B95" s="85">
        <f>IF(AND($D95="",$G95=""),"",ROW()-7)</f>
        <v/>
      </c>
      <c r="C95" s="75" t="n"/>
      <c r="D95" s="76" t="n"/>
      <c r="E95" s="77" t="n"/>
      <c r="F95" s="86">
        <f>IF($Y95="","",HYPERLINK("https://wa.me/"&amp;$Y95&amp;"?text="&amp;SUBSTITUTE("Hola "&amp;$D95&amp;", te escribo por tu pedido de "&amp;$G95&amp;"."," ","%20"),"Abrir chat"))</f>
        <v/>
      </c>
      <c r="G95" s="79" t="n"/>
      <c r="H95" s="80" t="n"/>
      <c r="I95" s="81" t="n"/>
      <c r="J95" s="81" t="n"/>
      <c r="K95" s="81" t="n"/>
      <c r="L95" s="82">
        <f>IF(AND($D95="",$G95=""),"",IF(N($H95)=0,1,$H95)*N($I95)-N($J95)+N($K95))</f>
        <v/>
      </c>
      <c r="M95" s="81" t="n"/>
      <c r="N95" s="81" t="n"/>
      <c r="O95" s="87">
        <f>IF(OR(AND($D95="",$G95=""),$M95="",$V95="Cancelado"),"",$L95-N($M95)-N($N95))</f>
        <v/>
      </c>
      <c r="P95" s="79" t="n"/>
      <c r="Q95" s="81" t="n"/>
      <c r="R95" s="82">
        <f>IF(AND($D95="",$G95=""),"",IF($V95="Cancelado",0,MAX(0,$L95-N($Q95))))</f>
        <v/>
      </c>
      <c r="S95" s="63">
        <f>IF(AND($D95="",$G95=""),"",IF($V95="Cancelado","Cancelado",IF($L95&lt;=0,"",IF(N($Q95)&gt;=$L95,"✔ Pagado",IF(N($Q95)&gt;0,"⚠ Pago parcial","✖ Sin pagar")))))</f>
        <v/>
      </c>
      <c r="T95" s="79" t="n"/>
      <c r="U95" s="75" t="n"/>
      <c r="V95" s="84" t="n"/>
      <c r="W95" s="64">
        <f>IF(AND($D95="",$G95=""),"",IF($C95="","⚠ Falta la fecha del pedido",IF($V95="","⚠ Elegí el estado de entrega",IF($V95="Cancelado","Cancelado",IF($V95="Entregado",IF($R95&gt;0,"⚠ Entregado: falta cobrar","✔ Cerrado"),IF(AND(N($U95)&gt;0,$U95&lt;TODAY()),"✖ Entrega atrasada ("&amp;(TODAY()-$U95)&amp;" d)","En curso"))))))</f>
        <v/>
      </c>
      <c r="X95" s="79" t="n"/>
      <c r="Y95">
        <f>IF($E95&amp;""="","",IF(LEFT(SUBSTITUTE(SUBSTITUTE(SUBSTITUTE(SUBSTITUTE(SUBSTITUTE($E95&amp;""," ",""),"-",""),"+",""),"(",""),")",""),1)="0",PaisCod&amp;MID(SUBSTITUTE(SUBSTITUTE(SUBSTITUTE(SUBSTITUTE(SUBSTITUTE($E95&amp;""," ",""),"-",""),"+",""),"(",""),")",""),2,20),SUBSTITUTE(SUBSTITUTE(SUBSTITUTE(SUBSTITUTE(SUBSTITUTE($E95&amp;""," ",""),"-",""),"+",""),"(",""),")","")))</f>
        <v/>
      </c>
      <c r="Z95">
        <f>IF(AND(N($R95)&gt;0,$V95&lt;&gt;"Cancelado"),$R95+ROW()/1000000,"")</f>
        <v/>
      </c>
      <c r="AA95">
        <f>IF(AND(OR($V95="Pendiente",$V95="Preparando",$V95="Enviado"),N($U95)&gt;0),$U95+ROW()/1000000,"")</f>
        <v/>
      </c>
      <c r="AB95">
        <f>IF(AND($D95="",$G95=""),"",IF($V95="Cancelado",0,$L95))</f>
        <v/>
      </c>
    </row>
    <row r="96" ht="19" customHeight="1">
      <c r="B96" s="74">
        <f>IF(AND($D96="",$G96=""),"",ROW()-7)</f>
        <v/>
      </c>
      <c r="C96" s="75" t="n"/>
      <c r="D96" s="76" t="n"/>
      <c r="E96" s="77" t="n"/>
      <c r="F96" s="78">
        <f>IF($Y96="","",HYPERLINK("https://wa.me/"&amp;$Y96&amp;"?text="&amp;SUBSTITUTE("Hola "&amp;$D96&amp;", te escribo por tu pedido de "&amp;$G96&amp;"."," ","%20"),"Abrir chat"))</f>
        <v/>
      </c>
      <c r="G96" s="79" t="n"/>
      <c r="H96" s="80" t="n"/>
      <c r="I96" s="81" t="n"/>
      <c r="J96" s="81" t="n"/>
      <c r="K96" s="81" t="n"/>
      <c r="L96" s="82">
        <f>IF(AND($D96="",$G96=""),"",IF(N($H96)=0,1,$H96)*N($I96)-N($J96)+N($K96))</f>
        <v/>
      </c>
      <c r="M96" s="81" t="n"/>
      <c r="N96" s="81" t="n"/>
      <c r="O96" s="83">
        <f>IF(OR(AND($D96="",$G96=""),$M96="",$V96="Cancelado"),"",$L96-N($M96)-N($N96))</f>
        <v/>
      </c>
      <c r="P96" s="79" t="n"/>
      <c r="Q96" s="81" t="n"/>
      <c r="R96" s="82">
        <f>IF(AND($D96="",$G96=""),"",IF($V96="Cancelado",0,MAX(0,$L96-N($Q96))))</f>
        <v/>
      </c>
      <c r="S96" s="60">
        <f>IF(AND($D96="",$G96=""),"",IF($V96="Cancelado","Cancelado",IF($L96&lt;=0,"",IF(N($Q96)&gt;=$L96,"✔ Pagado",IF(N($Q96)&gt;0,"⚠ Pago parcial","✖ Sin pagar")))))</f>
        <v/>
      </c>
      <c r="T96" s="79" t="n"/>
      <c r="U96" s="75" t="n"/>
      <c r="V96" s="84" t="n"/>
      <c r="W96" s="61">
        <f>IF(AND($D96="",$G96=""),"",IF($C96="","⚠ Falta la fecha del pedido",IF($V96="","⚠ Elegí el estado de entrega",IF($V96="Cancelado","Cancelado",IF($V96="Entregado",IF($R96&gt;0,"⚠ Entregado: falta cobrar","✔ Cerrado"),IF(AND(N($U96)&gt;0,$U96&lt;TODAY()),"✖ Entrega atrasada ("&amp;(TODAY()-$U96)&amp;" d)","En curso"))))))</f>
        <v/>
      </c>
      <c r="X96" s="79" t="n"/>
      <c r="Y96">
        <f>IF($E96&amp;""="","",IF(LEFT(SUBSTITUTE(SUBSTITUTE(SUBSTITUTE(SUBSTITUTE(SUBSTITUTE($E96&amp;""," ",""),"-",""),"+",""),"(",""),")",""),1)="0",PaisCod&amp;MID(SUBSTITUTE(SUBSTITUTE(SUBSTITUTE(SUBSTITUTE(SUBSTITUTE($E96&amp;""," ",""),"-",""),"+",""),"(",""),")",""),2,20),SUBSTITUTE(SUBSTITUTE(SUBSTITUTE(SUBSTITUTE(SUBSTITUTE($E96&amp;""," ",""),"-",""),"+",""),"(",""),")","")))</f>
        <v/>
      </c>
      <c r="Z96">
        <f>IF(AND(N($R96)&gt;0,$V96&lt;&gt;"Cancelado"),$R96+ROW()/1000000,"")</f>
        <v/>
      </c>
      <c r="AA96">
        <f>IF(AND(OR($V96="Pendiente",$V96="Preparando",$V96="Enviado"),N($U96)&gt;0),$U96+ROW()/1000000,"")</f>
        <v/>
      </c>
      <c r="AB96">
        <f>IF(AND($D96="",$G96=""),"",IF($V96="Cancelado",0,$L96))</f>
        <v/>
      </c>
    </row>
    <row r="97" ht="19" customHeight="1">
      <c r="B97" s="85">
        <f>IF(AND($D97="",$G97=""),"",ROW()-7)</f>
        <v/>
      </c>
      <c r="C97" s="75" t="n"/>
      <c r="D97" s="76" t="n"/>
      <c r="E97" s="77" t="n"/>
      <c r="F97" s="86">
        <f>IF($Y97="","",HYPERLINK("https://wa.me/"&amp;$Y97&amp;"?text="&amp;SUBSTITUTE("Hola "&amp;$D97&amp;", te escribo por tu pedido de "&amp;$G97&amp;"."," ","%20"),"Abrir chat"))</f>
        <v/>
      </c>
      <c r="G97" s="79" t="n"/>
      <c r="H97" s="80" t="n"/>
      <c r="I97" s="81" t="n"/>
      <c r="J97" s="81" t="n"/>
      <c r="K97" s="81" t="n"/>
      <c r="L97" s="82">
        <f>IF(AND($D97="",$G97=""),"",IF(N($H97)=0,1,$H97)*N($I97)-N($J97)+N($K97))</f>
        <v/>
      </c>
      <c r="M97" s="81" t="n"/>
      <c r="N97" s="81" t="n"/>
      <c r="O97" s="87">
        <f>IF(OR(AND($D97="",$G97=""),$M97="",$V97="Cancelado"),"",$L97-N($M97)-N($N97))</f>
        <v/>
      </c>
      <c r="P97" s="79" t="n"/>
      <c r="Q97" s="81" t="n"/>
      <c r="R97" s="82">
        <f>IF(AND($D97="",$G97=""),"",IF($V97="Cancelado",0,MAX(0,$L97-N($Q97))))</f>
        <v/>
      </c>
      <c r="S97" s="63">
        <f>IF(AND($D97="",$G97=""),"",IF($V97="Cancelado","Cancelado",IF($L97&lt;=0,"",IF(N($Q97)&gt;=$L97,"✔ Pagado",IF(N($Q97)&gt;0,"⚠ Pago parcial","✖ Sin pagar")))))</f>
        <v/>
      </c>
      <c r="T97" s="79" t="n"/>
      <c r="U97" s="75" t="n"/>
      <c r="V97" s="84" t="n"/>
      <c r="W97" s="64">
        <f>IF(AND($D97="",$G97=""),"",IF($C97="","⚠ Falta la fecha del pedido",IF($V97="","⚠ Elegí el estado de entrega",IF($V97="Cancelado","Cancelado",IF($V97="Entregado",IF($R97&gt;0,"⚠ Entregado: falta cobrar","✔ Cerrado"),IF(AND(N($U97)&gt;0,$U97&lt;TODAY()),"✖ Entrega atrasada ("&amp;(TODAY()-$U97)&amp;" d)","En curso"))))))</f>
        <v/>
      </c>
      <c r="X97" s="79" t="n"/>
      <c r="Y97">
        <f>IF($E97&amp;""="","",IF(LEFT(SUBSTITUTE(SUBSTITUTE(SUBSTITUTE(SUBSTITUTE(SUBSTITUTE($E97&amp;""," ",""),"-",""),"+",""),"(",""),")",""),1)="0",PaisCod&amp;MID(SUBSTITUTE(SUBSTITUTE(SUBSTITUTE(SUBSTITUTE(SUBSTITUTE($E97&amp;""," ",""),"-",""),"+",""),"(",""),")",""),2,20),SUBSTITUTE(SUBSTITUTE(SUBSTITUTE(SUBSTITUTE(SUBSTITUTE($E97&amp;""," ",""),"-",""),"+",""),"(",""),")","")))</f>
        <v/>
      </c>
      <c r="Z97">
        <f>IF(AND(N($R97)&gt;0,$V97&lt;&gt;"Cancelado"),$R97+ROW()/1000000,"")</f>
        <v/>
      </c>
      <c r="AA97">
        <f>IF(AND(OR($V97="Pendiente",$V97="Preparando",$V97="Enviado"),N($U97)&gt;0),$U97+ROW()/1000000,"")</f>
        <v/>
      </c>
      <c r="AB97">
        <f>IF(AND($D97="",$G97=""),"",IF($V97="Cancelado",0,$L97))</f>
        <v/>
      </c>
    </row>
    <row r="98" ht="19" customHeight="1">
      <c r="B98" s="74">
        <f>IF(AND($D98="",$G98=""),"",ROW()-7)</f>
        <v/>
      </c>
      <c r="C98" s="75" t="n"/>
      <c r="D98" s="76" t="n"/>
      <c r="E98" s="77" t="n"/>
      <c r="F98" s="78">
        <f>IF($Y98="","",HYPERLINK("https://wa.me/"&amp;$Y98&amp;"?text="&amp;SUBSTITUTE("Hola "&amp;$D98&amp;", te escribo por tu pedido de "&amp;$G98&amp;"."," ","%20"),"Abrir chat"))</f>
        <v/>
      </c>
      <c r="G98" s="79" t="n"/>
      <c r="H98" s="80" t="n"/>
      <c r="I98" s="81" t="n"/>
      <c r="J98" s="81" t="n"/>
      <c r="K98" s="81" t="n"/>
      <c r="L98" s="82">
        <f>IF(AND($D98="",$G98=""),"",IF(N($H98)=0,1,$H98)*N($I98)-N($J98)+N($K98))</f>
        <v/>
      </c>
      <c r="M98" s="81" t="n"/>
      <c r="N98" s="81" t="n"/>
      <c r="O98" s="83">
        <f>IF(OR(AND($D98="",$G98=""),$M98="",$V98="Cancelado"),"",$L98-N($M98)-N($N98))</f>
        <v/>
      </c>
      <c r="P98" s="79" t="n"/>
      <c r="Q98" s="81" t="n"/>
      <c r="R98" s="82">
        <f>IF(AND($D98="",$G98=""),"",IF($V98="Cancelado",0,MAX(0,$L98-N($Q98))))</f>
        <v/>
      </c>
      <c r="S98" s="60">
        <f>IF(AND($D98="",$G98=""),"",IF($V98="Cancelado","Cancelado",IF($L98&lt;=0,"",IF(N($Q98)&gt;=$L98,"✔ Pagado",IF(N($Q98)&gt;0,"⚠ Pago parcial","✖ Sin pagar")))))</f>
        <v/>
      </c>
      <c r="T98" s="79" t="n"/>
      <c r="U98" s="75" t="n"/>
      <c r="V98" s="84" t="n"/>
      <c r="W98" s="61">
        <f>IF(AND($D98="",$G98=""),"",IF($C98="","⚠ Falta la fecha del pedido",IF($V98="","⚠ Elegí el estado de entrega",IF($V98="Cancelado","Cancelado",IF($V98="Entregado",IF($R98&gt;0,"⚠ Entregado: falta cobrar","✔ Cerrado"),IF(AND(N($U98)&gt;0,$U98&lt;TODAY()),"✖ Entrega atrasada ("&amp;(TODAY()-$U98)&amp;" d)","En curso"))))))</f>
        <v/>
      </c>
      <c r="X98" s="79" t="n"/>
      <c r="Y98">
        <f>IF($E98&amp;""="","",IF(LEFT(SUBSTITUTE(SUBSTITUTE(SUBSTITUTE(SUBSTITUTE(SUBSTITUTE($E98&amp;""," ",""),"-",""),"+",""),"(",""),")",""),1)="0",PaisCod&amp;MID(SUBSTITUTE(SUBSTITUTE(SUBSTITUTE(SUBSTITUTE(SUBSTITUTE($E98&amp;""," ",""),"-",""),"+",""),"(",""),")",""),2,20),SUBSTITUTE(SUBSTITUTE(SUBSTITUTE(SUBSTITUTE(SUBSTITUTE($E98&amp;""," ",""),"-",""),"+",""),"(",""),")","")))</f>
        <v/>
      </c>
      <c r="Z98">
        <f>IF(AND(N($R98)&gt;0,$V98&lt;&gt;"Cancelado"),$R98+ROW()/1000000,"")</f>
        <v/>
      </c>
      <c r="AA98">
        <f>IF(AND(OR($V98="Pendiente",$V98="Preparando",$V98="Enviado"),N($U98)&gt;0),$U98+ROW()/1000000,"")</f>
        <v/>
      </c>
      <c r="AB98">
        <f>IF(AND($D98="",$G98=""),"",IF($V98="Cancelado",0,$L98))</f>
        <v/>
      </c>
    </row>
    <row r="99" ht="19" customHeight="1">
      <c r="B99" s="85">
        <f>IF(AND($D99="",$G99=""),"",ROW()-7)</f>
        <v/>
      </c>
      <c r="C99" s="75" t="n"/>
      <c r="D99" s="76" t="n"/>
      <c r="E99" s="77" t="n"/>
      <c r="F99" s="86">
        <f>IF($Y99="","",HYPERLINK("https://wa.me/"&amp;$Y99&amp;"?text="&amp;SUBSTITUTE("Hola "&amp;$D99&amp;", te escribo por tu pedido de "&amp;$G99&amp;"."," ","%20"),"Abrir chat"))</f>
        <v/>
      </c>
      <c r="G99" s="79" t="n"/>
      <c r="H99" s="80" t="n"/>
      <c r="I99" s="81" t="n"/>
      <c r="J99" s="81" t="n"/>
      <c r="K99" s="81" t="n"/>
      <c r="L99" s="82">
        <f>IF(AND($D99="",$G99=""),"",IF(N($H99)=0,1,$H99)*N($I99)-N($J99)+N($K99))</f>
        <v/>
      </c>
      <c r="M99" s="81" t="n"/>
      <c r="N99" s="81" t="n"/>
      <c r="O99" s="87">
        <f>IF(OR(AND($D99="",$G99=""),$M99="",$V99="Cancelado"),"",$L99-N($M99)-N($N99))</f>
        <v/>
      </c>
      <c r="P99" s="79" t="n"/>
      <c r="Q99" s="81" t="n"/>
      <c r="R99" s="82">
        <f>IF(AND($D99="",$G99=""),"",IF($V99="Cancelado",0,MAX(0,$L99-N($Q99))))</f>
        <v/>
      </c>
      <c r="S99" s="63">
        <f>IF(AND($D99="",$G99=""),"",IF($V99="Cancelado","Cancelado",IF($L99&lt;=0,"",IF(N($Q99)&gt;=$L99,"✔ Pagado",IF(N($Q99)&gt;0,"⚠ Pago parcial","✖ Sin pagar")))))</f>
        <v/>
      </c>
      <c r="T99" s="79" t="n"/>
      <c r="U99" s="75" t="n"/>
      <c r="V99" s="84" t="n"/>
      <c r="W99" s="64">
        <f>IF(AND($D99="",$G99=""),"",IF($C99="","⚠ Falta la fecha del pedido",IF($V99="","⚠ Elegí el estado de entrega",IF($V99="Cancelado","Cancelado",IF($V99="Entregado",IF($R99&gt;0,"⚠ Entregado: falta cobrar","✔ Cerrado"),IF(AND(N($U99)&gt;0,$U99&lt;TODAY()),"✖ Entrega atrasada ("&amp;(TODAY()-$U99)&amp;" d)","En curso"))))))</f>
        <v/>
      </c>
      <c r="X99" s="79" t="n"/>
      <c r="Y99">
        <f>IF($E99&amp;""="","",IF(LEFT(SUBSTITUTE(SUBSTITUTE(SUBSTITUTE(SUBSTITUTE(SUBSTITUTE($E99&amp;""," ",""),"-",""),"+",""),"(",""),")",""),1)="0",PaisCod&amp;MID(SUBSTITUTE(SUBSTITUTE(SUBSTITUTE(SUBSTITUTE(SUBSTITUTE($E99&amp;""," ",""),"-",""),"+",""),"(",""),")",""),2,20),SUBSTITUTE(SUBSTITUTE(SUBSTITUTE(SUBSTITUTE(SUBSTITUTE($E99&amp;""," ",""),"-",""),"+",""),"(",""),")","")))</f>
        <v/>
      </c>
      <c r="Z99">
        <f>IF(AND(N($R99)&gt;0,$V99&lt;&gt;"Cancelado"),$R99+ROW()/1000000,"")</f>
        <v/>
      </c>
      <c r="AA99">
        <f>IF(AND(OR($V99="Pendiente",$V99="Preparando",$V99="Enviado"),N($U99)&gt;0),$U99+ROW()/1000000,"")</f>
        <v/>
      </c>
      <c r="AB99">
        <f>IF(AND($D99="",$G99=""),"",IF($V99="Cancelado",0,$L99))</f>
        <v/>
      </c>
    </row>
    <row r="100" ht="19" customHeight="1">
      <c r="B100" s="74">
        <f>IF(AND($D100="",$G100=""),"",ROW()-7)</f>
        <v/>
      </c>
      <c r="C100" s="75" t="n"/>
      <c r="D100" s="76" t="n"/>
      <c r="E100" s="77" t="n"/>
      <c r="F100" s="78">
        <f>IF($Y100="","",HYPERLINK("https://wa.me/"&amp;$Y100&amp;"?text="&amp;SUBSTITUTE("Hola "&amp;$D100&amp;", te escribo por tu pedido de "&amp;$G100&amp;"."," ","%20"),"Abrir chat"))</f>
        <v/>
      </c>
      <c r="G100" s="79" t="n"/>
      <c r="H100" s="80" t="n"/>
      <c r="I100" s="81" t="n"/>
      <c r="J100" s="81" t="n"/>
      <c r="K100" s="81" t="n"/>
      <c r="L100" s="82">
        <f>IF(AND($D100="",$G100=""),"",IF(N($H100)=0,1,$H100)*N($I100)-N($J100)+N($K100))</f>
        <v/>
      </c>
      <c r="M100" s="81" t="n"/>
      <c r="N100" s="81" t="n"/>
      <c r="O100" s="83">
        <f>IF(OR(AND($D100="",$G100=""),$M100="",$V100="Cancelado"),"",$L100-N($M100)-N($N100))</f>
        <v/>
      </c>
      <c r="P100" s="79" t="n"/>
      <c r="Q100" s="81" t="n"/>
      <c r="R100" s="82">
        <f>IF(AND($D100="",$G100=""),"",IF($V100="Cancelado",0,MAX(0,$L100-N($Q100))))</f>
        <v/>
      </c>
      <c r="S100" s="60">
        <f>IF(AND($D100="",$G100=""),"",IF($V100="Cancelado","Cancelado",IF($L100&lt;=0,"",IF(N($Q100)&gt;=$L100,"✔ Pagado",IF(N($Q100)&gt;0,"⚠ Pago parcial","✖ Sin pagar")))))</f>
        <v/>
      </c>
      <c r="T100" s="79" t="n"/>
      <c r="U100" s="75" t="n"/>
      <c r="V100" s="84" t="n"/>
      <c r="W100" s="61">
        <f>IF(AND($D100="",$G100=""),"",IF($C100="","⚠ Falta la fecha del pedido",IF($V100="","⚠ Elegí el estado de entrega",IF($V100="Cancelado","Cancelado",IF($V100="Entregado",IF($R100&gt;0,"⚠ Entregado: falta cobrar","✔ Cerrado"),IF(AND(N($U100)&gt;0,$U100&lt;TODAY()),"✖ Entrega atrasada ("&amp;(TODAY()-$U100)&amp;" d)","En curso"))))))</f>
        <v/>
      </c>
      <c r="X100" s="79" t="n"/>
      <c r="Y100">
        <f>IF($E100&amp;""="","",IF(LEFT(SUBSTITUTE(SUBSTITUTE(SUBSTITUTE(SUBSTITUTE(SUBSTITUTE($E100&amp;""," ",""),"-",""),"+",""),"(",""),")",""),1)="0",PaisCod&amp;MID(SUBSTITUTE(SUBSTITUTE(SUBSTITUTE(SUBSTITUTE(SUBSTITUTE($E100&amp;""," ",""),"-",""),"+",""),"(",""),")",""),2,20),SUBSTITUTE(SUBSTITUTE(SUBSTITUTE(SUBSTITUTE(SUBSTITUTE($E100&amp;""," ",""),"-",""),"+",""),"(",""),")","")))</f>
        <v/>
      </c>
      <c r="Z100">
        <f>IF(AND(N($R100)&gt;0,$V100&lt;&gt;"Cancelado"),$R100+ROW()/1000000,"")</f>
        <v/>
      </c>
      <c r="AA100">
        <f>IF(AND(OR($V100="Pendiente",$V100="Preparando",$V100="Enviado"),N($U100)&gt;0),$U100+ROW()/1000000,"")</f>
        <v/>
      </c>
      <c r="AB100">
        <f>IF(AND($D100="",$G100=""),"",IF($V100="Cancelado",0,$L100))</f>
        <v/>
      </c>
    </row>
    <row r="101" ht="19" customHeight="1">
      <c r="B101" s="85">
        <f>IF(AND($D101="",$G101=""),"",ROW()-7)</f>
        <v/>
      </c>
      <c r="C101" s="75" t="n"/>
      <c r="D101" s="76" t="n"/>
      <c r="E101" s="77" t="n"/>
      <c r="F101" s="86">
        <f>IF($Y101="","",HYPERLINK("https://wa.me/"&amp;$Y101&amp;"?text="&amp;SUBSTITUTE("Hola "&amp;$D101&amp;", te escribo por tu pedido de "&amp;$G101&amp;"."," ","%20"),"Abrir chat"))</f>
        <v/>
      </c>
      <c r="G101" s="79" t="n"/>
      <c r="H101" s="80" t="n"/>
      <c r="I101" s="81" t="n"/>
      <c r="J101" s="81" t="n"/>
      <c r="K101" s="81" t="n"/>
      <c r="L101" s="82">
        <f>IF(AND($D101="",$G101=""),"",IF(N($H101)=0,1,$H101)*N($I101)-N($J101)+N($K101))</f>
        <v/>
      </c>
      <c r="M101" s="81" t="n"/>
      <c r="N101" s="81" t="n"/>
      <c r="O101" s="87">
        <f>IF(OR(AND($D101="",$G101=""),$M101="",$V101="Cancelado"),"",$L101-N($M101)-N($N101))</f>
        <v/>
      </c>
      <c r="P101" s="79" t="n"/>
      <c r="Q101" s="81" t="n"/>
      <c r="R101" s="82">
        <f>IF(AND($D101="",$G101=""),"",IF($V101="Cancelado",0,MAX(0,$L101-N($Q101))))</f>
        <v/>
      </c>
      <c r="S101" s="63">
        <f>IF(AND($D101="",$G101=""),"",IF($V101="Cancelado","Cancelado",IF($L101&lt;=0,"",IF(N($Q101)&gt;=$L101,"✔ Pagado",IF(N($Q101)&gt;0,"⚠ Pago parcial","✖ Sin pagar")))))</f>
        <v/>
      </c>
      <c r="T101" s="79" t="n"/>
      <c r="U101" s="75" t="n"/>
      <c r="V101" s="84" t="n"/>
      <c r="W101" s="64">
        <f>IF(AND($D101="",$G101=""),"",IF($C101="","⚠ Falta la fecha del pedido",IF($V101="","⚠ Elegí el estado de entrega",IF($V101="Cancelado","Cancelado",IF($V101="Entregado",IF($R101&gt;0,"⚠ Entregado: falta cobrar","✔ Cerrado"),IF(AND(N($U101)&gt;0,$U101&lt;TODAY()),"✖ Entrega atrasada ("&amp;(TODAY()-$U101)&amp;" d)","En curso"))))))</f>
        <v/>
      </c>
      <c r="X101" s="79" t="n"/>
      <c r="Y101">
        <f>IF($E101&amp;""="","",IF(LEFT(SUBSTITUTE(SUBSTITUTE(SUBSTITUTE(SUBSTITUTE(SUBSTITUTE($E101&amp;""," ",""),"-",""),"+",""),"(",""),")",""),1)="0",PaisCod&amp;MID(SUBSTITUTE(SUBSTITUTE(SUBSTITUTE(SUBSTITUTE(SUBSTITUTE($E101&amp;""," ",""),"-",""),"+",""),"(",""),")",""),2,20),SUBSTITUTE(SUBSTITUTE(SUBSTITUTE(SUBSTITUTE(SUBSTITUTE($E101&amp;""," ",""),"-",""),"+",""),"(",""),")","")))</f>
        <v/>
      </c>
      <c r="Z101">
        <f>IF(AND(N($R101)&gt;0,$V101&lt;&gt;"Cancelado"),$R101+ROW()/1000000,"")</f>
        <v/>
      </c>
      <c r="AA101">
        <f>IF(AND(OR($V101="Pendiente",$V101="Preparando",$V101="Enviado"),N($U101)&gt;0),$U101+ROW()/1000000,"")</f>
        <v/>
      </c>
      <c r="AB101">
        <f>IF(AND($D101="",$G101=""),"",IF($V101="Cancelado",0,$L101))</f>
        <v/>
      </c>
    </row>
    <row r="102" ht="19" customHeight="1">
      <c r="B102" s="74">
        <f>IF(AND($D102="",$G102=""),"",ROW()-7)</f>
        <v/>
      </c>
      <c r="C102" s="75" t="n"/>
      <c r="D102" s="76" t="n"/>
      <c r="E102" s="77" t="n"/>
      <c r="F102" s="78">
        <f>IF($Y102="","",HYPERLINK("https://wa.me/"&amp;$Y102&amp;"?text="&amp;SUBSTITUTE("Hola "&amp;$D102&amp;", te escribo por tu pedido de "&amp;$G102&amp;"."," ","%20"),"Abrir chat"))</f>
        <v/>
      </c>
      <c r="G102" s="79" t="n"/>
      <c r="H102" s="80" t="n"/>
      <c r="I102" s="81" t="n"/>
      <c r="J102" s="81" t="n"/>
      <c r="K102" s="81" t="n"/>
      <c r="L102" s="82">
        <f>IF(AND($D102="",$G102=""),"",IF(N($H102)=0,1,$H102)*N($I102)-N($J102)+N($K102))</f>
        <v/>
      </c>
      <c r="M102" s="81" t="n"/>
      <c r="N102" s="81" t="n"/>
      <c r="O102" s="83">
        <f>IF(OR(AND($D102="",$G102=""),$M102="",$V102="Cancelado"),"",$L102-N($M102)-N($N102))</f>
        <v/>
      </c>
      <c r="P102" s="79" t="n"/>
      <c r="Q102" s="81" t="n"/>
      <c r="R102" s="82">
        <f>IF(AND($D102="",$G102=""),"",IF($V102="Cancelado",0,MAX(0,$L102-N($Q102))))</f>
        <v/>
      </c>
      <c r="S102" s="60">
        <f>IF(AND($D102="",$G102=""),"",IF($V102="Cancelado","Cancelado",IF($L102&lt;=0,"",IF(N($Q102)&gt;=$L102,"✔ Pagado",IF(N($Q102)&gt;0,"⚠ Pago parcial","✖ Sin pagar")))))</f>
        <v/>
      </c>
      <c r="T102" s="79" t="n"/>
      <c r="U102" s="75" t="n"/>
      <c r="V102" s="84" t="n"/>
      <c r="W102" s="61">
        <f>IF(AND($D102="",$G102=""),"",IF($C102="","⚠ Falta la fecha del pedido",IF($V102="","⚠ Elegí el estado de entrega",IF($V102="Cancelado","Cancelado",IF($V102="Entregado",IF($R102&gt;0,"⚠ Entregado: falta cobrar","✔ Cerrado"),IF(AND(N($U102)&gt;0,$U102&lt;TODAY()),"✖ Entrega atrasada ("&amp;(TODAY()-$U102)&amp;" d)","En curso"))))))</f>
        <v/>
      </c>
      <c r="X102" s="79" t="n"/>
      <c r="Y102">
        <f>IF($E102&amp;""="","",IF(LEFT(SUBSTITUTE(SUBSTITUTE(SUBSTITUTE(SUBSTITUTE(SUBSTITUTE($E102&amp;""," ",""),"-",""),"+",""),"(",""),")",""),1)="0",PaisCod&amp;MID(SUBSTITUTE(SUBSTITUTE(SUBSTITUTE(SUBSTITUTE(SUBSTITUTE($E102&amp;""," ",""),"-",""),"+",""),"(",""),")",""),2,20),SUBSTITUTE(SUBSTITUTE(SUBSTITUTE(SUBSTITUTE(SUBSTITUTE($E102&amp;""," ",""),"-",""),"+",""),"(",""),")","")))</f>
        <v/>
      </c>
      <c r="Z102">
        <f>IF(AND(N($R102)&gt;0,$V102&lt;&gt;"Cancelado"),$R102+ROW()/1000000,"")</f>
        <v/>
      </c>
      <c r="AA102">
        <f>IF(AND(OR($V102="Pendiente",$V102="Preparando",$V102="Enviado"),N($U102)&gt;0),$U102+ROW()/1000000,"")</f>
        <v/>
      </c>
      <c r="AB102">
        <f>IF(AND($D102="",$G102=""),"",IF($V102="Cancelado",0,$L102))</f>
        <v/>
      </c>
    </row>
    <row r="103" ht="19" customHeight="1">
      <c r="B103" s="85">
        <f>IF(AND($D103="",$G103=""),"",ROW()-7)</f>
        <v/>
      </c>
      <c r="C103" s="75" t="n"/>
      <c r="D103" s="76" t="n"/>
      <c r="E103" s="77" t="n"/>
      <c r="F103" s="86">
        <f>IF($Y103="","",HYPERLINK("https://wa.me/"&amp;$Y103&amp;"?text="&amp;SUBSTITUTE("Hola "&amp;$D103&amp;", te escribo por tu pedido de "&amp;$G103&amp;"."," ","%20"),"Abrir chat"))</f>
        <v/>
      </c>
      <c r="G103" s="79" t="n"/>
      <c r="H103" s="80" t="n"/>
      <c r="I103" s="81" t="n"/>
      <c r="J103" s="81" t="n"/>
      <c r="K103" s="81" t="n"/>
      <c r="L103" s="82">
        <f>IF(AND($D103="",$G103=""),"",IF(N($H103)=0,1,$H103)*N($I103)-N($J103)+N($K103))</f>
        <v/>
      </c>
      <c r="M103" s="81" t="n"/>
      <c r="N103" s="81" t="n"/>
      <c r="O103" s="87">
        <f>IF(OR(AND($D103="",$G103=""),$M103="",$V103="Cancelado"),"",$L103-N($M103)-N($N103))</f>
        <v/>
      </c>
      <c r="P103" s="79" t="n"/>
      <c r="Q103" s="81" t="n"/>
      <c r="R103" s="82">
        <f>IF(AND($D103="",$G103=""),"",IF($V103="Cancelado",0,MAX(0,$L103-N($Q103))))</f>
        <v/>
      </c>
      <c r="S103" s="63">
        <f>IF(AND($D103="",$G103=""),"",IF($V103="Cancelado","Cancelado",IF($L103&lt;=0,"",IF(N($Q103)&gt;=$L103,"✔ Pagado",IF(N($Q103)&gt;0,"⚠ Pago parcial","✖ Sin pagar")))))</f>
        <v/>
      </c>
      <c r="T103" s="79" t="n"/>
      <c r="U103" s="75" t="n"/>
      <c r="V103" s="84" t="n"/>
      <c r="W103" s="64">
        <f>IF(AND($D103="",$G103=""),"",IF($C103="","⚠ Falta la fecha del pedido",IF($V103="","⚠ Elegí el estado de entrega",IF($V103="Cancelado","Cancelado",IF($V103="Entregado",IF($R103&gt;0,"⚠ Entregado: falta cobrar","✔ Cerrado"),IF(AND(N($U103)&gt;0,$U103&lt;TODAY()),"✖ Entrega atrasada ("&amp;(TODAY()-$U103)&amp;" d)","En curso"))))))</f>
        <v/>
      </c>
      <c r="X103" s="79" t="n"/>
      <c r="Y103">
        <f>IF($E103&amp;""="","",IF(LEFT(SUBSTITUTE(SUBSTITUTE(SUBSTITUTE(SUBSTITUTE(SUBSTITUTE($E103&amp;""," ",""),"-",""),"+",""),"(",""),")",""),1)="0",PaisCod&amp;MID(SUBSTITUTE(SUBSTITUTE(SUBSTITUTE(SUBSTITUTE(SUBSTITUTE($E103&amp;""," ",""),"-",""),"+",""),"(",""),")",""),2,20),SUBSTITUTE(SUBSTITUTE(SUBSTITUTE(SUBSTITUTE(SUBSTITUTE($E103&amp;""," ",""),"-",""),"+",""),"(",""),")","")))</f>
        <v/>
      </c>
      <c r="Z103">
        <f>IF(AND(N($R103)&gt;0,$V103&lt;&gt;"Cancelado"),$R103+ROW()/1000000,"")</f>
        <v/>
      </c>
      <c r="AA103">
        <f>IF(AND(OR($V103="Pendiente",$V103="Preparando",$V103="Enviado"),N($U103)&gt;0),$U103+ROW()/1000000,"")</f>
        <v/>
      </c>
      <c r="AB103">
        <f>IF(AND($D103="",$G103=""),"",IF($V103="Cancelado",0,$L103))</f>
        <v/>
      </c>
    </row>
    <row r="104" ht="19" customHeight="1">
      <c r="B104" s="74">
        <f>IF(AND($D104="",$G104=""),"",ROW()-7)</f>
        <v/>
      </c>
      <c r="C104" s="75" t="n"/>
      <c r="D104" s="76" t="n"/>
      <c r="E104" s="77" t="n"/>
      <c r="F104" s="78">
        <f>IF($Y104="","",HYPERLINK("https://wa.me/"&amp;$Y104&amp;"?text="&amp;SUBSTITUTE("Hola "&amp;$D104&amp;", te escribo por tu pedido de "&amp;$G104&amp;"."," ","%20"),"Abrir chat"))</f>
        <v/>
      </c>
      <c r="G104" s="79" t="n"/>
      <c r="H104" s="80" t="n"/>
      <c r="I104" s="81" t="n"/>
      <c r="J104" s="81" t="n"/>
      <c r="K104" s="81" t="n"/>
      <c r="L104" s="82">
        <f>IF(AND($D104="",$G104=""),"",IF(N($H104)=0,1,$H104)*N($I104)-N($J104)+N($K104))</f>
        <v/>
      </c>
      <c r="M104" s="81" t="n"/>
      <c r="N104" s="81" t="n"/>
      <c r="O104" s="83">
        <f>IF(OR(AND($D104="",$G104=""),$M104="",$V104="Cancelado"),"",$L104-N($M104)-N($N104))</f>
        <v/>
      </c>
      <c r="P104" s="79" t="n"/>
      <c r="Q104" s="81" t="n"/>
      <c r="R104" s="82">
        <f>IF(AND($D104="",$G104=""),"",IF($V104="Cancelado",0,MAX(0,$L104-N($Q104))))</f>
        <v/>
      </c>
      <c r="S104" s="60">
        <f>IF(AND($D104="",$G104=""),"",IF($V104="Cancelado","Cancelado",IF($L104&lt;=0,"",IF(N($Q104)&gt;=$L104,"✔ Pagado",IF(N($Q104)&gt;0,"⚠ Pago parcial","✖ Sin pagar")))))</f>
        <v/>
      </c>
      <c r="T104" s="79" t="n"/>
      <c r="U104" s="75" t="n"/>
      <c r="V104" s="84" t="n"/>
      <c r="W104" s="61">
        <f>IF(AND($D104="",$G104=""),"",IF($C104="","⚠ Falta la fecha del pedido",IF($V104="","⚠ Elegí el estado de entrega",IF($V104="Cancelado","Cancelado",IF($V104="Entregado",IF($R104&gt;0,"⚠ Entregado: falta cobrar","✔ Cerrado"),IF(AND(N($U104)&gt;0,$U104&lt;TODAY()),"✖ Entrega atrasada ("&amp;(TODAY()-$U104)&amp;" d)","En curso"))))))</f>
        <v/>
      </c>
      <c r="X104" s="79" t="n"/>
      <c r="Y104">
        <f>IF($E104&amp;""="","",IF(LEFT(SUBSTITUTE(SUBSTITUTE(SUBSTITUTE(SUBSTITUTE(SUBSTITUTE($E104&amp;""," ",""),"-",""),"+",""),"(",""),")",""),1)="0",PaisCod&amp;MID(SUBSTITUTE(SUBSTITUTE(SUBSTITUTE(SUBSTITUTE(SUBSTITUTE($E104&amp;""," ",""),"-",""),"+",""),"(",""),")",""),2,20),SUBSTITUTE(SUBSTITUTE(SUBSTITUTE(SUBSTITUTE(SUBSTITUTE($E104&amp;""," ",""),"-",""),"+",""),"(",""),")","")))</f>
        <v/>
      </c>
      <c r="Z104">
        <f>IF(AND(N($R104)&gt;0,$V104&lt;&gt;"Cancelado"),$R104+ROW()/1000000,"")</f>
        <v/>
      </c>
      <c r="AA104">
        <f>IF(AND(OR($V104="Pendiente",$V104="Preparando",$V104="Enviado"),N($U104)&gt;0),$U104+ROW()/1000000,"")</f>
        <v/>
      </c>
      <c r="AB104">
        <f>IF(AND($D104="",$G104=""),"",IF($V104="Cancelado",0,$L104))</f>
        <v/>
      </c>
    </row>
    <row r="105" ht="19" customHeight="1">
      <c r="B105" s="85">
        <f>IF(AND($D105="",$G105=""),"",ROW()-7)</f>
        <v/>
      </c>
      <c r="C105" s="75" t="n"/>
      <c r="D105" s="76" t="n"/>
      <c r="E105" s="77" t="n"/>
      <c r="F105" s="86">
        <f>IF($Y105="","",HYPERLINK("https://wa.me/"&amp;$Y105&amp;"?text="&amp;SUBSTITUTE("Hola "&amp;$D105&amp;", te escribo por tu pedido de "&amp;$G105&amp;"."," ","%20"),"Abrir chat"))</f>
        <v/>
      </c>
      <c r="G105" s="79" t="n"/>
      <c r="H105" s="80" t="n"/>
      <c r="I105" s="81" t="n"/>
      <c r="J105" s="81" t="n"/>
      <c r="K105" s="81" t="n"/>
      <c r="L105" s="82">
        <f>IF(AND($D105="",$G105=""),"",IF(N($H105)=0,1,$H105)*N($I105)-N($J105)+N($K105))</f>
        <v/>
      </c>
      <c r="M105" s="81" t="n"/>
      <c r="N105" s="81" t="n"/>
      <c r="O105" s="87">
        <f>IF(OR(AND($D105="",$G105=""),$M105="",$V105="Cancelado"),"",$L105-N($M105)-N($N105))</f>
        <v/>
      </c>
      <c r="P105" s="79" t="n"/>
      <c r="Q105" s="81" t="n"/>
      <c r="R105" s="82">
        <f>IF(AND($D105="",$G105=""),"",IF($V105="Cancelado",0,MAX(0,$L105-N($Q105))))</f>
        <v/>
      </c>
      <c r="S105" s="63">
        <f>IF(AND($D105="",$G105=""),"",IF($V105="Cancelado","Cancelado",IF($L105&lt;=0,"",IF(N($Q105)&gt;=$L105,"✔ Pagado",IF(N($Q105)&gt;0,"⚠ Pago parcial","✖ Sin pagar")))))</f>
        <v/>
      </c>
      <c r="T105" s="79" t="n"/>
      <c r="U105" s="75" t="n"/>
      <c r="V105" s="84" t="n"/>
      <c r="W105" s="64">
        <f>IF(AND($D105="",$G105=""),"",IF($C105="","⚠ Falta la fecha del pedido",IF($V105="","⚠ Elegí el estado de entrega",IF($V105="Cancelado","Cancelado",IF($V105="Entregado",IF($R105&gt;0,"⚠ Entregado: falta cobrar","✔ Cerrado"),IF(AND(N($U105)&gt;0,$U105&lt;TODAY()),"✖ Entrega atrasada ("&amp;(TODAY()-$U105)&amp;" d)","En curso"))))))</f>
        <v/>
      </c>
      <c r="X105" s="79" t="n"/>
      <c r="Y105">
        <f>IF($E105&amp;""="","",IF(LEFT(SUBSTITUTE(SUBSTITUTE(SUBSTITUTE(SUBSTITUTE(SUBSTITUTE($E105&amp;""," ",""),"-",""),"+",""),"(",""),")",""),1)="0",PaisCod&amp;MID(SUBSTITUTE(SUBSTITUTE(SUBSTITUTE(SUBSTITUTE(SUBSTITUTE($E105&amp;""," ",""),"-",""),"+",""),"(",""),")",""),2,20),SUBSTITUTE(SUBSTITUTE(SUBSTITUTE(SUBSTITUTE(SUBSTITUTE($E105&amp;""," ",""),"-",""),"+",""),"(",""),")","")))</f>
        <v/>
      </c>
      <c r="Z105">
        <f>IF(AND(N($R105)&gt;0,$V105&lt;&gt;"Cancelado"),$R105+ROW()/1000000,"")</f>
        <v/>
      </c>
      <c r="AA105">
        <f>IF(AND(OR($V105="Pendiente",$V105="Preparando",$V105="Enviado"),N($U105)&gt;0),$U105+ROW()/1000000,"")</f>
        <v/>
      </c>
      <c r="AB105">
        <f>IF(AND($D105="",$G105=""),"",IF($V105="Cancelado",0,$L105))</f>
        <v/>
      </c>
    </row>
    <row r="106" ht="19" customHeight="1">
      <c r="B106" s="74">
        <f>IF(AND($D106="",$G106=""),"",ROW()-7)</f>
        <v/>
      </c>
      <c r="C106" s="75" t="n"/>
      <c r="D106" s="76" t="n"/>
      <c r="E106" s="77" t="n"/>
      <c r="F106" s="78">
        <f>IF($Y106="","",HYPERLINK("https://wa.me/"&amp;$Y106&amp;"?text="&amp;SUBSTITUTE("Hola "&amp;$D106&amp;", te escribo por tu pedido de "&amp;$G106&amp;"."," ","%20"),"Abrir chat"))</f>
        <v/>
      </c>
      <c r="G106" s="79" t="n"/>
      <c r="H106" s="80" t="n"/>
      <c r="I106" s="81" t="n"/>
      <c r="J106" s="81" t="n"/>
      <c r="K106" s="81" t="n"/>
      <c r="L106" s="82">
        <f>IF(AND($D106="",$G106=""),"",IF(N($H106)=0,1,$H106)*N($I106)-N($J106)+N($K106))</f>
        <v/>
      </c>
      <c r="M106" s="81" t="n"/>
      <c r="N106" s="81" t="n"/>
      <c r="O106" s="83">
        <f>IF(OR(AND($D106="",$G106=""),$M106="",$V106="Cancelado"),"",$L106-N($M106)-N($N106))</f>
        <v/>
      </c>
      <c r="P106" s="79" t="n"/>
      <c r="Q106" s="81" t="n"/>
      <c r="R106" s="82">
        <f>IF(AND($D106="",$G106=""),"",IF($V106="Cancelado",0,MAX(0,$L106-N($Q106))))</f>
        <v/>
      </c>
      <c r="S106" s="60">
        <f>IF(AND($D106="",$G106=""),"",IF($V106="Cancelado","Cancelado",IF($L106&lt;=0,"",IF(N($Q106)&gt;=$L106,"✔ Pagado",IF(N($Q106)&gt;0,"⚠ Pago parcial","✖ Sin pagar")))))</f>
        <v/>
      </c>
      <c r="T106" s="79" t="n"/>
      <c r="U106" s="75" t="n"/>
      <c r="V106" s="84" t="n"/>
      <c r="W106" s="61">
        <f>IF(AND($D106="",$G106=""),"",IF($C106="","⚠ Falta la fecha del pedido",IF($V106="","⚠ Elegí el estado de entrega",IF($V106="Cancelado","Cancelado",IF($V106="Entregado",IF($R106&gt;0,"⚠ Entregado: falta cobrar","✔ Cerrado"),IF(AND(N($U106)&gt;0,$U106&lt;TODAY()),"✖ Entrega atrasada ("&amp;(TODAY()-$U106)&amp;" d)","En curso"))))))</f>
        <v/>
      </c>
      <c r="X106" s="79" t="n"/>
      <c r="Y106">
        <f>IF($E106&amp;""="","",IF(LEFT(SUBSTITUTE(SUBSTITUTE(SUBSTITUTE(SUBSTITUTE(SUBSTITUTE($E106&amp;""," ",""),"-",""),"+",""),"(",""),")",""),1)="0",PaisCod&amp;MID(SUBSTITUTE(SUBSTITUTE(SUBSTITUTE(SUBSTITUTE(SUBSTITUTE($E106&amp;""," ",""),"-",""),"+",""),"(",""),")",""),2,20),SUBSTITUTE(SUBSTITUTE(SUBSTITUTE(SUBSTITUTE(SUBSTITUTE($E106&amp;""," ",""),"-",""),"+",""),"(",""),")","")))</f>
        <v/>
      </c>
      <c r="Z106">
        <f>IF(AND(N($R106)&gt;0,$V106&lt;&gt;"Cancelado"),$R106+ROW()/1000000,"")</f>
        <v/>
      </c>
      <c r="AA106">
        <f>IF(AND(OR($V106="Pendiente",$V106="Preparando",$V106="Enviado"),N($U106)&gt;0),$U106+ROW()/1000000,"")</f>
        <v/>
      </c>
      <c r="AB106">
        <f>IF(AND($D106="",$G106=""),"",IF($V106="Cancelado",0,$L106))</f>
        <v/>
      </c>
    </row>
    <row r="107" ht="19" customHeight="1">
      <c r="B107" s="85">
        <f>IF(AND($D107="",$G107=""),"",ROW()-7)</f>
        <v/>
      </c>
      <c r="C107" s="75" t="n"/>
      <c r="D107" s="76" t="n"/>
      <c r="E107" s="77" t="n"/>
      <c r="F107" s="86">
        <f>IF($Y107="","",HYPERLINK("https://wa.me/"&amp;$Y107&amp;"?text="&amp;SUBSTITUTE("Hola "&amp;$D107&amp;", te escribo por tu pedido de "&amp;$G107&amp;"."," ","%20"),"Abrir chat"))</f>
        <v/>
      </c>
      <c r="G107" s="79" t="n"/>
      <c r="H107" s="80" t="n"/>
      <c r="I107" s="81" t="n"/>
      <c r="J107" s="81" t="n"/>
      <c r="K107" s="81" t="n"/>
      <c r="L107" s="82">
        <f>IF(AND($D107="",$G107=""),"",IF(N($H107)=0,1,$H107)*N($I107)-N($J107)+N($K107))</f>
        <v/>
      </c>
      <c r="M107" s="81" t="n"/>
      <c r="N107" s="81" t="n"/>
      <c r="O107" s="87">
        <f>IF(OR(AND($D107="",$G107=""),$M107="",$V107="Cancelado"),"",$L107-N($M107)-N($N107))</f>
        <v/>
      </c>
      <c r="P107" s="79" t="n"/>
      <c r="Q107" s="81" t="n"/>
      <c r="R107" s="82">
        <f>IF(AND($D107="",$G107=""),"",IF($V107="Cancelado",0,MAX(0,$L107-N($Q107))))</f>
        <v/>
      </c>
      <c r="S107" s="63">
        <f>IF(AND($D107="",$G107=""),"",IF($V107="Cancelado","Cancelado",IF($L107&lt;=0,"",IF(N($Q107)&gt;=$L107,"✔ Pagado",IF(N($Q107)&gt;0,"⚠ Pago parcial","✖ Sin pagar")))))</f>
        <v/>
      </c>
      <c r="T107" s="79" t="n"/>
      <c r="U107" s="75" t="n"/>
      <c r="V107" s="84" t="n"/>
      <c r="W107" s="64">
        <f>IF(AND($D107="",$G107=""),"",IF($C107="","⚠ Falta la fecha del pedido",IF($V107="","⚠ Elegí el estado de entrega",IF($V107="Cancelado","Cancelado",IF($V107="Entregado",IF($R107&gt;0,"⚠ Entregado: falta cobrar","✔ Cerrado"),IF(AND(N($U107)&gt;0,$U107&lt;TODAY()),"✖ Entrega atrasada ("&amp;(TODAY()-$U107)&amp;" d)","En curso"))))))</f>
        <v/>
      </c>
      <c r="X107" s="79" t="n"/>
      <c r="Y107">
        <f>IF($E107&amp;""="","",IF(LEFT(SUBSTITUTE(SUBSTITUTE(SUBSTITUTE(SUBSTITUTE(SUBSTITUTE($E107&amp;""," ",""),"-",""),"+",""),"(",""),")",""),1)="0",PaisCod&amp;MID(SUBSTITUTE(SUBSTITUTE(SUBSTITUTE(SUBSTITUTE(SUBSTITUTE($E107&amp;""," ",""),"-",""),"+",""),"(",""),")",""),2,20),SUBSTITUTE(SUBSTITUTE(SUBSTITUTE(SUBSTITUTE(SUBSTITUTE($E107&amp;""," ",""),"-",""),"+",""),"(",""),")","")))</f>
        <v/>
      </c>
      <c r="Z107">
        <f>IF(AND(N($R107)&gt;0,$V107&lt;&gt;"Cancelado"),$R107+ROW()/1000000,"")</f>
        <v/>
      </c>
      <c r="AA107">
        <f>IF(AND(OR($V107="Pendiente",$V107="Preparando",$V107="Enviado"),N($U107)&gt;0),$U107+ROW()/1000000,"")</f>
        <v/>
      </c>
      <c r="AB107">
        <f>IF(AND($D107="",$G107=""),"",IF($V107="Cancelado",0,$L107))</f>
        <v/>
      </c>
    </row>
    <row r="108" ht="19" customHeight="1">
      <c r="B108" s="74">
        <f>IF(AND($D108="",$G108=""),"",ROW()-7)</f>
        <v/>
      </c>
      <c r="C108" s="75" t="n"/>
      <c r="D108" s="76" t="n"/>
      <c r="E108" s="77" t="n"/>
      <c r="F108" s="78">
        <f>IF($Y108="","",HYPERLINK("https://wa.me/"&amp;$Y108&amp;"?text="&amp;SUBSTITUTE("Hola "&amp;$D108&amp;", te escribo por tu pedido de "&amp;$G108&amp;"."," ","%20"),"Abrir chat"))</f>
        <v/>
      </c>
      <c r="G108" s="79" t="n"/>
      <c r="H108" s="80" t="n"/>
      <c r="I108" s="81" t="n"/>
      <c r="J108" s="81" t="n"/>
      <c r="K108" s="81" t="n"/>
      <c r="L108" s="82">
        <f>IF(AND($D108="",$G108=""),"",IF(N($H108)=0,1,$H108)*N($I108)-N($J108)+N($K108))</f>
        <v/>
      </c>
      <c r="M108" s="81" t="n"/>
      <c r="N108" s="81" t="n"/>
      <c r="O108" s="83">
        <f>IF(OR(AND($D108="",$G108=""),$M108="",$V108="Cancelado"),"",$L108-N($M108)-N($N108))</f>
        <v/>
      </c>
      <c r="P108" s="79" t="n"/>
      <c r="Q108" s="81" t="n"/>
      <c r="R108" s="82">
        <f>IF(AND($D108="",$G108=""),"",IF($V108="Cancelado",0,MAX(0,$L108-N($Q108))))</f>
        <v/>
      </c>
      <c r="S108" s="60">
        <f>IF(AND($D108="",$G108=""),"",IF($V108="Cancelado","Cancelado",IF($L108&lt;=0,"",IF(N($Q108)&gt;=$L108,"✔ Pagado",IF(N($Q108)&gt;0,"⚠ Pago parcial","✖ Sin pagar")))))</f>
        <v/>
      </c>
      <c r="T108" s="79" t="n"/>
      <c r="U108" s="75" t="n"/>
      <c r="V108" s="84" t="n"/>
      <c r="W108" s="61">
        <f>IF(AND($D108="",$G108=""),"",IF($C108="","⚠ Falta la fecha del pedido",IF($V108="","⚠ Elegí el estado de entrega",IF($V108="Cancelado","Cancelado",IF($V108="Entregado",IF($R108&gt;0,"⚠ Entregado: falta cobrar","✔ Cerrado"),IF(AND(N($U108)&gt;0,$U108&lt;TODAY()),"✖ Entrega atrasada ("&amp;(TODAY()-$U108)&amp;" d)","En curso"))))))</f>
        <v/>
      </c>
      <c r="X108" s="79" t="n"/>
      <c r="Y108">
        <f>IF($E108&amp;""="","",IF(LEFT(SUBSTITUTE(SUBSTITUTE(SUBSTITUTE(SUBSTITUTE(SUBSTITUTE($E108&amp;""," ",""),"-",""),"+",""),"(",""),")",""),1)="0",PaisCod&amp;MID(SUBSTITUTE(SUBSTITUTE(SUBSTITUTE(SUBSTITUTE(SUBSTITUTE($E108&amp;""," ",""),"-",""),"+",""),"(",""),")",""),2,20),SUBSTITUTE(SUBSTITUTE(SUBSTITUTE(SUBSTITUTE(SUBSTITUTE($E108&amp;""," ",""),"-",""),"+",""),"(",""),")","")))</f>
        <v/>
      </c>
      <c r="Z108">
        <f>IF(AND(N($R108)&gt;0,$V108&lt;&gt;"Cancelado"),$R108+ROW()/1000000,"")</f>
        <v/>
      </c>
      <c r="AA108">
        <f>IF(AND(OR($V108="Pendiente",$V108="Preparando",$V108="Enviado"),N($U108)&gt;0),$U108+ROW()/1000000,"")</f>
        <v/>
      </c>
      <c r="AB108">
        <f>IF(AND($D108="",$G108=""),"",IF($V108="Cancelado",0,$L108))</f>
        <v/>
      </c>
    </row>
    <row r="109" ht="19" customHeight="1">
      <c r="B109" s="85">
        <f>IF(AND($D109="",$G109=""),"",ROW()-7)</f>
        <v/>
      </c>
      <c r="C109" s="75" t="n"/>
      <c r="D109" s="76" t="n"/>
      <c r="E109" s="77" t="n"/>
      <c r="F109" s="86">
        <f>IF($Y109="","",HYPERLINK("https://wa.me/"&amp;$Y109&amp;"?text="&amp;SUBSTITUTE("Hola "&amp;$D109&amp;", te escribo por tu pedido de "&amp;$G109&amp;"."," ","%20"),"Abrir chat"))</f>
        <v/>
      </c>
      <c r="G109" s="79" t="n"/>
      <c r="H109" s="80" t="n"/>
      <c r="I109" s="81" t="n"/>
      <c r="J109" s="81" t="n"/>
      <c r="K109" s="81" t="n"/>
      <c r="L109" s="82">
        <f>IF(AND($D109="",$G109=""),"",IF(N($H109)=0,1,$H109)*N($I109)-N($J109)+N($K109))</f>
        <v/>
      </c>
      <c r="M109" s="81" t="n"/>
      <c r="N109" s="81" t="n"/>
      <c r="O109" s="87">
        <f>IF(OR(AND($D109="",$G109=""),$M109="",$V109="Cancelado"),"",$L109-N($M109)-N($N109))</f>
        <v/>
      </c>
      <c r="P109" s="79" t="n"/>
      <c r="Q109" s="81" t="n"/>
      <c r="R109" s="82">
        <f>IF(AND($D109="",$G109=""),"",IF($V109="Cancelado",0,MAX(0,$L109-N($Q109))))</f>
        <v/>
      </c>
      <c r="S109" s="63">
        <f>IF(AND($D109="",$G109=""),"",IF($V109="Cancelado","Cancelado",IF($L109&lt;=0,"",IF(N($Q109)&gt;=$L109,"✔ Pagado",IF(N($Q109)&gt;0,"⚠ Pago parcial","✖ Sin pagar")))))</f>
        <v/>
      </c>
      <c r="T109" s="79" t="n"/>
      <c r="U109" s="75" t="n"/>
      <c r="V109" s="84" t="n"/>
      <c r="W109" s="64">
        <f>IF(AND($D109="",$G109=""),"",IF($C109="","⚠ Falta la fecha del pedido",IF($V109="","⚠ Elegí el estado de entrega",IF($V109="Cancelado","Cancelado",IF($V109="Entregado",IF($R109&gt;0,"⚠ Entregado: falta cobrar","✔ Cerrado"),IF(AND(N($U109)&gt;0,$U109&lt;TODAY()),"✖ Entrega atrasada ("&amp;(TODAY()-$U109)&amp;" d)","En curso"))))))</f>
        <v/>
      </c>
      <c r="X109" s="79" t="n"/>
      <c r="Y109">
        <f>IF($E109&amp;""="","",IF(LEFT(SUBSTITUTE(SUBSTITUTE(SUBSTITUTE(SUBSTITUTE(SUBSTITUTE($E109&amp;""," ",""),"-",""),"+",""),"(",""),")",""),1)="0",PaisCod&amp;MID(SUBSTITUTE(SUBSTITUTE(SUBSTITUTE(SUBSTITUTE(SUBSTITUTE($E109&amp;""," ",""),"-",""),"+",""),"(",""),")",""),2,20),SUBSTITUTE(SUBSTITUTE(SUBSTITUTE(SUBSTITUTE(SUBSTITUTE($E109&amp;""," ",""),"-",""),"+",""),"(",""),")","")))</f>
        <v/>
      </c>
      <c r="Z109">
        <f>IF(AND(N($R109)&gt;0,$V109&lt;&gt;"Cancelado"),$R109+ROW()/1000000,"")</f>
        <v/>
      </c>
      <c r="AA109">
        <f>IF(AND(OR($V109="Pendiente",$V109="Preparando",$V109="Enviado"),N($U109)&gt;0),$U109+ROW()/1000000,"")</f>
        <v/>
      </c>
      <c r="AB109">
        <f>IF(AND($D109="",$G109=""),"",IF($V109="Cancelado",0,$L109))</f>
        <v/>
      </c>
    </row>
    <row r="110" ht="19" customHeight="1">
      <c r="B110" s="74">
        <f>IF(AND($D110="",$G110=""),"",ROW()-7)</f>
        <v/>
      </c>
      <c r="C110" s="75" t="n"/>
      <c r="D110" s="76" t="n"/>
      <c r="E110" s="77" t="n"/>
      <c r="F110" s="78">
        <f>IF($Y110="","",HYPERLINK("https://wa.me/"&amp;$Y110&amp;"?text="&amp;SUBSTITUTE("Hola "&amp;$D110&amp;", te escribo por tu pedido de "&amp;$G110&amp;"."," ","%20"),"Abrir chat"))</f>
        <v/>
      </c>
      <c r="G110" s="79" t="n"/>
      <c r="H110" s="80" t="n"/>
      <c r="I110" s="81" t="n"/>
      <c r="J110" s="81" t="n"/>
      <c r="K110" s="81" t="n"/>
      <c r="L110" s="82">
        <f>IF(AND($D110="",$G110=""),"",IF(N($H110)=0,1,$H110)*N($I110)-N($J110)+N($K110))</f>
        <v/>
      </c>
      <c r="M110" s="81" t="n"/>
      <c r="N110" s="81" t="n"/>
      <c r="O110" s="83">
        <f>IF(OR(AND($D110="",$G110=""),$M110="",$V110="Cancelado"),"",$L110-N($M110)-N($N110))</f>
        <v/>
      </c>
      <c r="P110" s="79" t="n"/>
      <c r="Q110" s="81" t="n"/>
      <c r="R110" s="82">
        <f>IF(AND($D110="",$G110=""),"",IF($V110="Cancelado",0,MAX(0,$L110-N($Q110))))</f>
        <v/>
      </c>
      <c r="S110" s="60">
        <f>IF(AND($D110="",$G110=""),"",IF($V110="Cancelado","Cancelado",IF($L110&lt;=0,"",IF(N($Q110)&gt;=$L110,"✔ Pagado",IF(N($Q110)&gt;0,"⚠ Pago parcial","✖ Sin pagar")))))</f>
        <v/>
      </c>
      <c r="T110" s="79" t="n"/>
      <c r="U110" s="75" t="n"/>
      <c r="V110" s="84" t="n"/>
      <c r="W110" s="61">
        <f>IF(AND($D110="",$G110=""),"",IF($C110="","⚠ Falta la fecha del pedido",IF($V110="","⚠ Elegí el estado de entrega",IF($V110="Cancelado","Cancelado",IF($V110="Entregado",IF($R110&gt;0,"⚠ Entregado: falta cobrar","✔ Cerrado"),IF(AND(N($U110)&gt;0,$U110&lt;TODAY()),"✖ Entrega atrasada ("&amp;(TODAY()-$U110)&amp;" d)","En curso"))))))</f>
        <v/>
      </c>
      <c r="X110" s="79" t="n"/>
      <c r="Y110">
        <f>IF($E110&amp;""="","",IF(LEFT(SUBSTITUTE(SUBSTITUTE(SUBSTITUTE(SUBSTITUTE(SUBSTITUTE($E110&amp;""," ",""),"-",""),"+",""),"(",""),")",""),1)="0",PaisCod&amp;MID(SUBSTITUTE(SUBSTITUTE(SUBSTITUTE(SUBSTITUTE(SUBSTITUTE($E110&amp;""," ",""),"-",""),"+",""),"(",""),")",""),2,20),SUBSTITUTE(SUBSTITUTE(SUBSTITUTE(SUBSTITUTE(SUBSTITUTE($E110&amp;""," ",""),"-",""),"+",""),"(",""),")","")))</f>
        <v/>
      </c>
      <c r="Z110">
        <f>IF(AND(N($R110)&gt;0,$V110&lt;&gt;"Cancelado"),$R110+ROW()/1000000,"")</f>
        <v/>
      </c>
      <c r="AA110">
        <f>IF(AND(OR($V110="Pendiente",$V110="Preparando",$V110="Enviado"),N($U110)&gt;0),$U110+ROW()/1000000,"")</f>
        <v/>
      </c>
      <c r="AB110">
        <f>IF(AND($D110="",$G110=""),"",IF($V110="Cancelado",0,$L110))</f>
        <v/>
      </c>
    </row>
    <row r="111" ht="19" customHeight="1">
      <c r="B111" s="85">
        <f>IF(AND($D111="",$G111=""),"",ROW()-7)</f>
        <v/>
      </c>
      <c r="C111" s="75" t="n"/>
      <c r="D111" s="76" t="n"/>
      <c r="E111" s="77" t="n"/>
      <c r="F111" s="86">
        <f>IF($Y111="","",HYPERLINK("https://wa.me/"&amp;$Y111&amp;"?text="&amp;SUBSTITUTE("Hola "&amp;$D111&amp;", te escribo por tu pedido de "&amp;$G111&amp;"."," ","%20"),"Abrir chat"))</f>
        <v/>
      </c>
      <c r="G111" s="79" t="n"/>
      <c r="H111" s="80" t="n"/>
      <c r="I111" s="81" t="n"/>
      <c r="J111" s="81" t="n"/>
      <c r="K111" s="81" t="n"/>
      <c r="L111" s="82">
        <f>IF(AND($D111="",$G111=""),"",IF(N($H111)=0,1,$H111)*N($I111)-N($J111)+N($K111))</f>
        <v/>
      </c>
      <c r="M111" s="81" t="n"/>
      <c r="N111" s="81" t="n"/>
      <c r="O111" s="87">
        <f>IF(OR(AND($D111="",$G111=""),$M111="",$V111="Cancelado"),"",$L111-N($M111)-N($N111))</f>
        <v/>
      </c>
      <c r="P111" s="79" t="n"/>
      <c r="Q111" s="81" t="n"/>
      <c r="R111" s="82">
        <f>IF(AND($D111="",$G111=""),"",IF($V111="Cancelado",0,MAX(0,$L111-N($Q111))))</f>
        <v/>
      </c>
      <c r="S111" s="63">
        <f>IF(AND($D111="",$G111=""),"",IF($V111="Cancelado","Cancelado",IF($L111&lt;=0,"",IF(N($Q111)&gt;=$L111,"✔ Pagado",IF(N($Q111)&gt;0,"⚠ Pago parcial","✖ Sin pagar")))))</f>
        <v/>
      </c>
      <c r="T111" s="79" t="n"/>
      <c r="U111" s="75" t="n"/>
      <c r="V111" s="84" t="n"/>
      <c r="W111" s="64">
        <f>IF(AND($D111="",$G111=""),"",IF($C111="","⚠ Falta la fecha del pedido",IF($V111="","⚠ Elegí el estado de entrega",IF($V111="Cancelado","Cancelado",IF($V111="Entregado",IF($R111&gt;0,"⚠ Entregado: falta cobrar","✔ Cerrado"),IF(AND(N($U111)&gt;0,$U111&lt;TODAY()),"✖ Entrega atrasada ("&amp;(TODAY()-$U111)&amp;" d)","En curso"))))))</f>
        <v/>
      </c>
      <c r="X111" s="79" t="n"/>
      <c r="Y111">
        <f>IF($E111&amp;""="","",IF(LEFT(SUBSTITUTE(SUBSTITUTE(SUBSTITUTE(SUBSTITUTE(SUBSTITUTE($E111&amp;""," ",""),"-",""),"+",""),"(",""),")",""),1)="0",PaisCod&amp;MID(SUBSTITUTE(SUBSTITUTE(SUBSTITUTE(SUBSTITUTE(SUBSTITUTE($E111&amp;""," ",""),"-",""),"+",""),"(",""),")",""),2,20),SUBSTITUTE(SUBSTITUTE(SUBSTITUTE(SUBSTITUTE(SUBSTITUTE($E111&amp;""," ",""),"-",""),"+",""),"(",""),")","")))</f>
        <v/>
      </c>
      <c r="Z111">
        <f>IF(AND(N($R111)&gt;0,$V111&lt;&gt;"Cancelado"),$R111+ROW()/1000000,"")</f>
        <v/>
      </c>
      <c r="AA111">
        <f>IF(AND(OR($V111="Pendiente",$V111="Preparando",$V111="Enviado"),N($U111)&gt;0),$U111+ROW()/1000000,"")</f>
        <v/>
      </c>
      <c r="AB111">
        <f>IF(AND($D111="",$G111=""),"",IF($V111="Cancelado",0,$L111))</f>
        <v/>
      </c>
    </row>
    <row r="112" ht="19" customHeight="1">
      <c r="B112" s="74">
        <f>IF(AND($D112="",$G112=""),"",ROW()-7)</f>
        <v/>
      </c>
      <c r="C112" s="75" t="n"/>
      <c r="D112" s="76" t="n"/>
      <c r="E112" s="77" t="n"/>
      <c r="F112" s="78">
        <f>IF($Y112="","",HYPERLINK("https://wa.me/"&amp;$Y112&amp;"?text="&amp;SUBSTITUTE("Hola "&amp;$D112&amp;", te escribo por tu pedido de "&amp;$G112&amp;"."," ","%20"),"Abrir chat"))</f>
        <v/>
      </c>
      <c r="G112" s="79" t="n"/>
      <c r="H112" s="80" t="n"/>
      <c r="I112" s="81" t="n"/>
      <c r="J112" s="81" t="n"/>
      <c r="K112" s="81" t="n"/>
      <c r="L112" s="82">
        <f>IF(AND($D112="",$G112=""),"",IF(N($H112)=0,1,$H112)*N($I112)-N($J112)+N($K112))</f>
        <v/>
      </c>
      <c r="M112" s="81" t="n"/>
      <c r="N112" s="81" t="n"/>
      <c r="O112" s="83">
        <f>IF(OR(AND($D112="",$G112=""),$M112="",$V112="Cancelado"),"",$L112-N($M112)-N($N112))</f>
        <v/>
      </c>
      <c r="P112" s="79" t="n"/>
      <c r="Q112" s="81" t="n"/>
      <c r="R112" s="82">
        <f>IF(AND($D112="",$G112=""),"",IF($V112="Cancelado",0,MAX(0,$L112-N($Q112))))</f>
        <v/>
      </c>
      <c r="S112" s="60">
        <f>IF(AND($D112="",$G112=""),"",IF($V112="Cancelado","Cancelado",IF($L112&lt;=0,"",IF(N($Q112)&gt;=$L112,"✔ Pagado",IF(N($Q112)&gt;0,"⚠ Pago parcial","✖ Sin pagar")))))</f>
        <v/>
      </c>
      <c r="T112" s="79" t="n"/>
      <c r="U112" s="75" t="n"/>
      <c r="V112" s="84" t="n"/>
      <c r="W112" s="61">
        <f>IF(AND($D112="",$G112=""),"",IF($C112="","⚠ Falta la fecha del pedido",IF($V112="","⚠ Elegí el estado de entrega",IF($V112="Cancelado","Cancelado",IF($V112="Entregado",IF($R112&gt;0,"⚠ Entregado: falta cobrar","✔ Cerrado"),IF(AND(N($U112)&gt;0,$U112&lt;TODAY()),"✖ Entrega atrasada ("&amp;(TODAY()-$U112)&amp;" d)","En curso"))))))</f>
        <v/>
      </c>
      <c r="X112" s="79" t="n"/>
      <c r="Y112">
        <f>IF($E112&amp;""="","",IF(LEFT(SUBSTITUTE(SUBSTITUTE(SUBSTITUTE(SUBSTITUTE(SUBSTITUTE($E112&amp;""," ",""),"-",""),"+",""),"(",""),")",""),1)="0",PaisCod&amp;MID(SUBSTITUTE(SUBSTITUTE(SUBSTITUTE(SUBSTITUTE(SUBSTITUTE($E112&amp;""," ",""),"-",""),"+",""),"(",""),")",""),2,20),SUBSTITUTE(SUBSTITUTE(SUBSTITUTE(SUBSTITUTE(SUBSTITUTE($E112&amp;""," ",""),"-",""),"+",""),"(",""),")","")))</f>
        <v/>
      </c>
      <c r="Z112">
        <f>IF(AND(N($R112)&gt;0,$V112&lt;&gt;"Cancelado"),$R112+ROW()/1000000,"")</f>
        <v/>
      </c>
      <c r="AA112">
        <f>IF(AND(OR($V112="Pendiente",$V112="Preparando",$V112="Enviado"),N($U112)&gt;0),$U112+ROW()/1000000,"")</f>
        <v/>
      </c>
      <c r="AB112">
        <f>IF(AND($D112="",$G112=""),"",IF($V112="Cancelado",0,$L112))</f>
        <v/>
      </c>
    </row>
    <row r="113" ht="19" customHeight="1">
      <c r="B113" s="85">
        <f>IF(AND($D113="",$G113=""),"",ROW()-7)</f>
        <v/>
      </c>
      <c r="C113" s="75" t="n"/>
      <c r="D113" s="76" t="n"/>
      <c r="E113" s="77" t="n"/>
      <c r="F113" s="86">
        <f>IF($Y113="","",HYPERLINK("https://wa.me/"&amp;$Y113&amp;"?text="&amp;SUBSTITUTE("Hola "&amp;$D113&amp;", te escribo por tu pedido de "&amp;$G113&amp;"."," ","%20"),"Abrir chat"))</f>
        <v/>
      </c>
      <c r="G113" s="79" t="n"/>
      <c r="H113" s="80" t="n"/>
      <c r="I113" s="81" t="n"/>
      <c r="J113" s="81" t="n"/>
      <c r="K113" s="81" t="n"/>
      <c r="L113" s="82">
        <f>IF(AND($D113="",$G113=""),"",IF(N($H113)=0,1,$H113)*N($I113)-N($J113)+N($K113))</f>
        <v/>
      </c>
      <c r="M113" s="81" t="n"/>
      <c r="N113" s="81" t="n"/>
      <c r="O113" s="87">
        <f>IF(OR(AND($D113="",$G113=""),$M113="",$V113="Cancelado"),"",$L113-N($M113)-N($N113))</f>
        <v/>
      </c>
      <c r="P113" s="79" t="n"/>
      <c r="Q113" s="81" t="n"/>
      <c r="R113" s="82">
        <f>IF(AND($D113="",$G113=""),"",IF($V113="Cancelado",0,MAX(0,$L113-N($Q113))))</f>
        <v/>
      </c>
      <c r="S113" s="63">
        <f>IF(AND($D113="",$G113=""),"",IF($V113="Cancelado","Cancelado",IF($L113&lt;=0,"",IF(N($Q113)&gt;=$L113,"✔ Pagado",IF(N($Q113)&gt;0,"⚠ Pago parcial","✖ Sin pagar")))))</f>
        <v/>
      </c>
      <c r="T113" s="79" t="n"/>
      <c r="U113" s="75" t="n"/>
      <c r="V113" s="84" t="n"/>
      <c r="W113" s="64">
        <f>IF(AND($D113="",$G113=""),"",IF($C113="","⚠ Falta la fecha del pedido",IF($V113="","⚠ Elegí el estado de entrega",IF($V113="Cancelado","Cancelado",IF($V113="Entregado",IF($R113&gt;0,"⚠ Entregado: falta cobrar","✔ Cerrado"),IF(AND(N($U113)&gt;0,$U113&lt;TODAY()),"✖ Entrega atrasada ("&amp;(TODAY()-$U113)&amp;" d)","En curso"))))))</f>
        <v/>
      </c>
      <c r="X113" s="79" t="n"/>
      <c r="Y113">
        <f>IF($E113&amp;""="","",IF(LEFT(SUBSTITUTE(SUBSTITUTE(SUBSTITUTE(SUBSTITUTE(SUBSTITUTE($E113&amp;""," ",""),"-",""),"+",""),"(",""),")",""),1)="0",PaisCod&amp;MID(SUBSTITUTE(SUBSTITUTE(SUBSTITUTE(SUBSTITUTE(SUBSTITUTE($E113&amp;""," ",""),"-",""),"+",""),"(",""),")",""),2,20),SUBSTITUTE(SUBSTITUTE(SUBSTITUTE(SUBSTITUTE(SUBSTITUTE($E113&amp;""," ",""),"-",""),"+",""),"(",""),")","")))</f>
        <v/>
      </c>
      <c r="Z113">
        <f>IF(AND(N($R113)&gt;0,$V113&lt;&gt;"Cancelado"),$R113+ROW()/1000000,"")</f>
        <v/>
      </c>
      <c r="AA113">
        <f>IF(AND(OR($V113="Pendiente",$V113="Preparando",$V113="Enviado"),N($U113)&gt;0),$U113+ROW()/1000000,"")</f>
        <v/>
      </c>
      <c r="AB113">
        <f>IF(AND($D113="",$G113=""),"",IF($V113="Cancelado",0,$L113))</f>
        <v/>
      </c>
    </row>
    <row r="114" ht="19" customHeight="1">
      <c r="B114" s="74">
        <f>IF(AND($D114="",$G114=""),"",ROW()-7)</f>
        <v/>
      </c>
      <c r="C114" s="75" t="n"/>
      <c r="D114" s="76" t="n"/>
      <c r="E114" s="77" t="n"/>
      <c r="F114" s="78">
        <f>IF($Y114="","",HYPERLINK("https://wa.me/"&amp;$Y114&amp;"?text="&amp;SUBSTITUTE("Hola "&amp;$D114&amp;", te escribo por tu pedido de "&amp;$G114&amp;"."," ","%20"),"Abrir chat"))</f>
        <v/>
      </c>
      <c r="G114" s="79" t="n"/>
      <c r="H114" s="80" t="n"/>
      <c r="I114" s="81" t="n"/>
      <c r="J114" s="81" t="n"/>
      <c r="K114" s="81" t="n"/>
      <c r="L114" s="82">
        <f>IF(AND($D114="",$G114=""),"",IF(N($H114)=0,1,$H114)*N($I114)-N($J114)+N($K114))</f>
        <v/>
      </c>
      <c r="M114" s="81" t="n"/>
      <c r="N114" s="81" t="n"/>
      <c r="O114" s="83">
        <f>IF(OR(AND($D114="",$G114=""),$M114="",$V114="Cancelado"),"",$L114-N($M114)-N($N114))</f>
        <v/>
      </c>
      <c r="P114" s="79" t="n"/>
      <c r="Q114" s="81" t="n"/>
      <c r="R114" s="82">
        <f>IF(AND($D114="",$G114=""),"",IF($V114="Cancelado",0,MAX(0,$L114-N($Q114))))</f>
        <v/>
      </c>
      <c r="S114" s="60">
        <f>IF(AND($D114="",$G114=""),"",IF($V114="Cancelado","Cancelado",IF($L114&lt;=0,"",IF(N($Q114)&gt;=$L114,"✔ Pagado",IF(N($Q114)&gt;0,"⚠ Pago parcial","✖ Sin pagar")))))</f>
        <v/>
      </c>
      <c r="T114" s="79" t="n"/>
      <c r="U114" s="75" t="n"/>
      <c r="V114" s="84" t="n"/>
      <c r="W114" s="61">
        <f>IF(AND($D114="",$G114=""),"",IF($C114="","⚠ Falta la fecha del pedido",IF($V114="","⚠ Elegí el estado de entrega",IF($V114="Cancelado","Cancelado",IF($V114="Entregado",IF($R114&gt;0,"⚠ Entregado: falta cobrar","✔ Cerrado"),IF(AND(N($U114)&gt;0,$U114&lt;TODAY()),"✖ Entrega atrasada ("&amp;(TODAY()-$U114)&amp;" d)","En curso"))))))</f>
        <v/>
      </c>
      <c r="X114" s="79" t="n"/>
      <c r="Y114">
        <f>IF($E114&amp;""="","",IF(LEFT(SUBSTITUTE(SUBSTITUTE(SUBSTITUTE(SUBSTITUTE(SUBSTITUTE($E114&amp;""," ",""),"-",""),"+",""),"(",""),")",""),1)="0",PaisCod&amp;MID(SUBSTITUTE(SUBSTITUTE(SUBSTITUTE(SUBSTITUTE(SUBSTITUTE($E114&amp;""," ",""),"-",""),"+",""),"(",""),")",""),2,20),SUBSTITUTE(SUBSTITUTE(SUBSTITUTE(SUBSTITUTE(SUBSTITUTE($E114&amp;""," ",""),"-",""),"+",""),"(",""),")","")))</f>
        <v/>
      </c>
      <c r="Z114">
        <f>IF(AND(N($R114)&gt;0,$V114&lt;&gt;"Cancelado"),$R114+ROW()/1000000,"")</f>
        <v/>
      </c>
      <c r="AA114">
        <f>IF(AND(OR($V114="Pendiente",$V114="Preparando",$V114="Enviado"),N($U114)&gt;0),$U114+ROW()/1000000,"")</f>
        <v/>
      </c>
      <c r="AB114">
        <f>IF(AND($D114="",$G114=""),"",IF($V114="Cancelado",0,$L114))</f>
        <v/>
      </c>
    </row>
    <row r="115" ht="19" customHeight="1">
      <c r="B115" s="85">
        <f>IF(AND($D115="",$G115=""),"",ROW()-7)</f>
        <v/>
      </c>
      <c r="C115" s="75" t="n"/>
      <c r="D115" s="76" t="n"/>
      <c r="E115" s="77" t="n"/>
      <c r="F115" s="86">
        <f>IF($Y115="","",HYPERLINK("https://wa.me/"&amp;$Y115&amp;"?text="&amp;SUBSTITUTE("Hola "&amp;$D115&amp;", te escribo por tu pedido de "&amp;$G115&amp;"."," ","%20"),"Abrir chat"))</f>
        <v/>
      </c>
      <c r="G115" s="79" t="n"/>
      <c r="H115" s="80" t="n"/>
      <c r="I115" s="81" t="n"/>
      <c r="J115" s="81" t="n"/>
      <c r="K115" s="81" t="n"/>
      <c r="L115" s="82">
        <f>IF(AND($D115="",$G115=""),"",IF(N($H115)=0,1,$H115)*N($I115)-N($J115)+N($K115))</f>
        <v/>
      </c>
      <c r="M115" s="81" t="n"/>
      <c r="N115" s="81" t="n"/>
      <c r="O115" s="87">
        <f>IF(OR(AND($D115="",$G115=""),$M115="",$V115="Cancelado"),"",$L115-N($M115)-N($N115))</f>
        <v/>
      </c>
      <c r="P115" s="79" t="n"/>
      <c r="Q115" s="81" t="n"/>
      <c r="R115" s="82">
        <f>IF(AND($D115="",$G115=""),"",IF($V115="Cancelado",0,MAX(0,$L115-N($Q115))))</f>
        <v/>
      </c>
      <c r="S115" s="63">
        <f>IF(AND($D115="",$G115=""),"",IF($V115="Cancelado","Cancelado",IF($L115&lt;=0,"",IF(N($Q115)&gt;=$L115,"✔ Pagado",IF(N($Q115)&gt;0,"⚠ Pago parcial","✖ Sin pagar")))))</f>
        <v/>
      </c>
      <c r="T115" s="79" t="n"/>
      <c r="U115" s="75" t="n"/>
      <c r="V115" s="84" t="n"/>
      <c r="W115" s="64">
        <f>IF(AND($D115="",$G115=""),"",IF($C115="","⚠ Falta la fecha del pedido",IF($V115="","⚠ Elegí el estado de entrega",IF($V115="Cancelado","Cancelado",IF($V115="Entregado",IF($R115&gt;0,"⚠ Entregado: falta cobrar","✔ Cerrado"),IF(AND(N($U115)&gt;0,$U115&lt;TODAY()),"✖ Entrega atrasada ("&amp;(TODAY()-$U115)&amp;" d)","En curso"))))))</f>
        <v/>
      </c>
      <c r="X115" s="79" t="n"/>
      <c r="Y115">
        <f>IF($E115&amp;""="","",IF(LEFT(SUBSTITUTE(SUBSTITUTE(SUBSTITUTE(SUBSTITUTE(SUBSTITUTE($E115&amp;""," ",""),"-",""),"+",""),"(",""),")",""),1)="0",PaisCod&amp;MID(SUBSTITUTE(SUBSTITUTE(SUBSTITUTE(SUBSTITUTE(SUBSTITUTE($E115&amp;""," ",""),"-",""),"+",""),"(",""),")",""),2,20),SUBSTITUTE(SUBSTITUTE(SUBSTITUTE(SUBSTITUTE(SUBSTITUTE($E115&amp;""," ",""),"-",""),"+",""),"(",""),")","")))</f>
        <v/>
      </c>
      <c r="Z115">
        <f>IF(AND(N($R115)&gt;0,$V115&lt;&gt;"Cancelado"),$R115+ROW()/1000000,"")</f>
        <v/>
      </c>
      <c r="AA115">
        <f>IF(AND(OR($V115="Pendiente",$V115="Preparando",$V115="Enviado"),N($U115)&gt;0),$U115+ROW()/1000000,"")</f>
        <v/>
      </c>
      <c r="AB115">
        <f>IF(AND($D115="",$G115=""),"",IF($V115="Cancelado",0,$L115))</f>
        <v/>
      </c>
    </row>
    <row r="116" ht="19" customHeight="1">
      <c r="B116" s="74">
        <f>IF(AND($D116="",$G116=""),"",ROW()-7)</f>
        <v/>
      </c>
      <c r="C116" s="75" t="n"/>
      <c r="D116" s="76" t="n"/>
      <c r="E116" s="77" t="n"/>
      <c r="F116" s="78">
        <f>IF($Y116="","",HYPERLINK("https://wa.me/"&amp;$Y116&amp;"?text="&amp;SUBSTITUTE("Hola "&amp;$D116&amp;", te escribo por tu pedido de "&amp;$G116&amp;"."," ","%20"),"Abrir chat"))</f>
        <v/>
      </c>
      <c r="G116" s="79" t="n"/>
      <c r="H116" s="80" t="n"/>
      <c r="I116" s="81" t="n"/>
      <c r="J116" s="81" t="n"/>
      <c r="K116" s="81" t="n"/>
      <c r="L116" s="82">
        <f>IF(AND($D116="",$G116=""),"",IF(N($H116)=0,1,$H116)*N($I116)-N($J116)+N($K116))</f>
        <v/>
      </c>
      <c r="M116" s="81" t="n"/>
      <c r="N116" s="81" t="n"/>
      <c r="O116" s="83">
        <f>IF(OR(AND($D116="",$G116=""),$M116="",$V116="Cancelado"),"",$L116-N($M116)-N($N116))</f>
        <v/>
      </c>
      <c r="P116" s="79" t="n"/>
      <c r="Q116" s="81" t="n"/>
      <c r="R116" s="82">
        <f>IF(AND($D116="",$G116=""),"",IF($V116="Cancelado",0,MAX(0,$L116-N($Q116))))</f>
        <v/>
      </c>
      <c r="S116" s="60">
        <f>IF(AND($D116="",$G116=""),"",IF($V116="Cancelado","Cancelado",IF($L116&lt;=0,"",IF(N($Q116)&gt;=$L116,"✔ Pagado",IF(N($Q116)&gt;0,"⚠ Pago parcial","✖ Sin pagar")))))</f>
        <v/>
      </c>
      <c r="T116" s="79" t="n"/>
      <c r="U116" s="75" t="n"/>
      <c r="V116" s="84" t="n"/>
      <c r="W116" s="61">
        <f>IF(AND($D116="",$G116=""),"",IF($C116="","⚠ Falta la fecha del pedido",IF($V116="","⚠ Elegí el estado de entrega",IF($V116="Cancelado","Cancelado",IF($V116="Entregado",IF($R116&gt;0,"⚠ Entregado: falta cobrar","✔ Cerrado"),IF(AND(N($U116)&gt;0,$U116&lt;TODAY()),"✖ Entrega atrasada ("&amp;(TODAY()-$U116)&amp;" d)","En curso"))))))</f>
        <v/>
      </c>
      <c r="X116" s="79" t="n"/>
      <c r="Y116">
        <f>IF($E116&amp;""="","",IF(LEFT(SUBSTITUTE(SUBSTITUTE(SUBSTITUTE(SUBSTITUTE(SUBSTITUTE($E116&amp;""," ",""),"-",""),"+",""),"(",""),")",""),1)="0",PaisCod&amp;MID(SUBSTITUTE(SUBSTITUTE(SUBSTITUTE(SUBSTITUTE(SUBSTITUTE($E116&amp;""," ",""),"-",""),"+",""),"(",""),")",""),2,20),SUBSTITUTE(SUBSTITUTE(SUBSTITUTE(SUBSTITUTE(SUBSTITUTE($E116&amp;""," ",""),"-",""),"+",""),"(",""),")","")))</f>
        <v/>
      </c>
      <c r="Z116">
        <f>IF(AND(N($R116)&gt;0,$V116&lt;&gt;"Cancelado"),$R116+ROW()/1000000,"")</f>
        <v/>
      </c>
      <c r="AA116">
        <f>IF(AND(OR($V116="Pendiente",$V116="Preparando",$V116="Enviado"),N($U116)&gt;0),$U116+ROW()/1000000,"")</f>
        <v/>
      </c>
      <c r="AB116">
        <f>IF(AND($D116="",$G116=""),"",IF($V116="Cancelado",0,$L116))</f>
        <v/>
      </c>
    </row>
    <row r="117" ht="19" customHeight="1">
      <c r="B117" s="85">
        <f>IF(AND($D117="",$G117=""),"",ROW()-7)</f>
        <v/>
      </c>
      <c r="C117" s="75" t="n"/>
      <c r="D117" s="76" t="n"/>
      <c r="E117" s="77" t="n"/>
      <c r="F117" s="86">
        <f>IF($Y117="","",HYPERLINK("https://wa.me/"&amp;$Y117&amp;"?text="&amp;SUBSTITUTE("Hola "&amp;$D117&amp;", te escribo por tu pedido de "&amp;$G117&amp;"."," ","%20"),"Abrir chat"))</f>
        <v/>
      </c>
      <c r="G117" s="79" t="n"/>
      <c r="H117" s="80" t="n"/>
      <c r="I117" s="81" t="n"/>
      <c r="J117" s="81" t="n"/>
      <c r="K117" s="81" t="n"/>
      <c r="L117" s="82">
        <f>IF(AND($D117="",$G117=""),"",IF(N($H117)=0,1,$H117)*N($I117)-N($J117)+N($K117))</f>
        <v/>
      </c>
      <c r="M117" s="81" t="n"/>
      <c r="N117" s="81" t="n"/>
      <c r="O117" s="87">
        <f>IF(OR(AND($D117="",$G117=""),$M117="",$V117="Cancelado"),"",$L117-N($M117)-N($N117))</f>
        <v/>
      </c>
      <c r="P117" s="79" t="n"/>
      <c r="Q117" s="81" t="n"/>
      <c r="R117" s="82">
        <f>IF(AND($D117="",$G117=""),"",IF($V117="Cancelado",0,MAX(0,$L117-N($Q117))))</f>
        <v/>
      </c>
      <c r="S117" s="63">
        <f>IF(AND($D117="",$G117=""),"",IF($V117="Cancelado","Cancelado",IF($L117&lt;=0,"",IF(N($Q117)&gt;=$L117,"✔ Pagado",IF(N($Q117)&gt;0,"⚠ Pago parcial","✖ Sin pagar")))))</f>
        <v/>
      </c>
      <c r="T117" s="79" t="n"/>
      <c r="U117" s="75" t="n"/>
      <c r="V117" s="84" t="n"/>
      <c r="W117" s="64">
        <f>IF(AND($D117="",$G117=""),"",IF($C117="","⚠ Falta la fecha del pedido",IF($V117="","⚠ Elegí el estado de entrega",IF($V117="Cancelado","Cancelado",IF($V117="Entregado",IF($R117&gt;0,"⚠ Entregado: falta cobrar","✔ Cerrado"),IF(AND(N($U117)&gt;0,$U117&lt;TODAY()),"✖ Entrega atrasada ("&amp;(TODAY()-$U117)&amp;" d)","En curso"))))))</f>
        <v/>
      </c>
      <c r="X117" s="79" t="n"/>
      <c r="Y117">
        <f>IF($E117&amp;""="","",IF(LEFT(SUBSTITUTE(SUBSTITUTE(SUBSTITUTE(SUBSTITUTE(SUBSTITUTE($E117&amp;""," ",""),"-",""),"+",""),"(",""),")",""),1)="0",PaisCod&amp;MID(SUBSTITUTE(SUBSTITUTE(SUBSTITUTE(SUBSTITUTE(SUBSTITUTE($E117&amp;""," ",""),"-",""),"+",""),"(",""),")",""),2,20),SUBSTITUTE(SUBSTITUTE(SUBSTITUTE(SUBSTITUTE(SUBSTITUTE($E117&amp;""," ",""),"-",""),"+",""),"(",""),")","")))</f>
        <v/>
      </c>
      <c r="Z117">
        <f>IF(AND(N($R117)&gt;0,$V117&lt;&gt;"Cancelado"),$R117+ROW()/1000000,"")</f>
        <v/>
      </c>
      <c r="AA117">
        <f>IF(AND(OR($V117="Pendiente",$V117="Preparando",$V117="Enviado"),N($U117)&gt;0),$U117+ROW()/1000000,"")</f>
        <v/>
      </c>
      <c r="AB117">
        <f>IF(AND($D117="",$G117=""),"",IF($V117="Cancelado",0,$L117))</f>
        <v/>
      </c>
    </row>
    <row r="118" ht="19" customHeight="1">
      <c r="B118" s="74">
        <f>IF(AND($D118="",$G118=""),"",ROW()-7)</f>
        <v/>
      </c>
      <c r="C118" s="75" t="n"/>
      <c r="D118" s="76" t="n"/>
      <c r="E118" s="77" t="n"/>
      <c r="F118" s="78">
        <f>IF($Y118="","",HYPERLINK("https://wa.me/"&amp;$Y118&amp;"?text="&amp;SUBSTITUTE("Hola "&amp;$D118&amp;", te escribo por tu pedido de "&amp;$G118&amp;"."," ","%20"),"Abrir chat"))</f>
        <v/>
      </c>
      <c r="G118" s="79" t="n"/>
      <c r="H118" s="80" t="n"/>
      <c r="I118" s="81" t="n"/>
      <c r="J118" s="81" t="n"/>
      <c r="K118" s="81" t="n"/>
      <c r="L118" s="82">
        <f>IF(AND($D118="",$G118=""),"",IF(N($H118)=0,1,$H118)*N($I118)-N($J118)+N($K118))</f>
        <v/>
      </c>
      <c r="M118" s="81" t="n"/>
      <c r="N118" s="81" t="n"/>
      <c r="O118" s="83">
        <f>IF(OR(AND($D118="",$G118=""),$M118="",$V118="Cancelado"),"",$L118-N($M118)-N($N118))</f>
        <v/>
      </c>
      <c r="P118" s="79" t="n"/>
      <c r="Q118" s="81" t="n"/>
      <c r="R118" s="82">
        <f>IF(AND($D118="",$G118=""),"",IF($V118="Cancelado",0,MAX(0,$L118-N($Q118))))</f>
        <v/>
      </c>
      <c r="S118" s="60">
        <f>IF(AND($D118="",$G118=""),"",IF($V118="Cancelado","Cancelado",IF($L118&lt;=0,"",IF(N($Q118)&gt;=$L118,"✔ Pagado",IF(N($Q118)&gt;0,"⚠ Pago parcial","✖ Sin pagar")))))</f>
        <v/>
      </c>
      <c r="T118" s="79" t="n"/>
      <c r="U118" s="75" t="n"/>
      <c r="V118" s="84" t="n"/>
      <c r="W118" s="61">
        <f>IF(AND($D118="",$G118=""),"",IF($C118="","⚠ Falta la fecha del pedido",IF($V118="","⚠ Elegí el estado de entrega",IF($V118="Cancelado","Cancelado",IF($V118="Entregado",IF($R118&gt;0,"⚠ Entregado: falta cobrar","✔ Cerrado"),IF(AND(N($U118)&gt;0,$U118&lt;TODAY()),"✖ Entrega atrasada ("&amp;(TODAY()-$U118)&amp;" d)","En curso"))))))</f>
        <v/>
      </c>
      <c r="X118" s="79" t="n"/>
      <c r="Y118">
        <f>IF($E118&amp;""="","",IF(LEFT(SUBSTITUTE(SUBSTITUTE(SUBSTITUTE(SUBSTITUTE(SUBSTITUTE($E118&amp;""," ",""),"-",""),"+",""),"(",""),")",""),1)="0",PaisCod&amp;MID(SUBSTITUTE(SUBSTITUTE(SUBSTITUTE(SUBSTITUTE(SUBSTITUTE($E118&amp;""," ",""),"-",""),"+",""),"(",""),")",""),2,20),SUBSTITUTE(SUBSTITUTE(SUBSTITUTE(SUBSTITUTE(SUBSTITUTE($E118&amp;""," ",""),"-",""),"+",""),"(",""),")","")))</f>
        <v/>
      </c>
      <c r="Z118">
        <f>IF(AND(N($R118)&gt;0,$V118&lt;&gt;"Cancelado"),$R118+ROW()/1000000,"")</f>
        <v/>
      </c>
      <c r="AA118">
        <f>IF(AND(OR($V118="Pendiente",$V118="Preparando",$V118="Enviado"),N($U118)&gt;0),$U118+ROW()/1000000,"")</f>
        <v/>
      </c>
      <c r="AB118">
        <f>IF(AND($D118="",$G118=""),"",IF($V118="Cancelado",0,$L118))</f>
        <v/>
      </c>
    </row>
    <row r="119" ht="19" customHeight="1">
      <c r="B119" s="85">
        <f>IF(AND($D119="",$G119=""),"",ROW()-7)</f>
        <v/>
      </c>
      <c r="C119" s="75" t="n"/>
      <c r="D119" s="76" t="n"/>
      <c r="E119" s="77" t="n"/>
      <c r="F119" s="86">
        <f>IF($Y119="","",HYPERLINK("https://wa.me/"&amp;$Y119&amp;"?text="&amp;SUBSTITUTE("Hola "&amp;$D119&amp;", te escribo por tu pedido de "&amp;$G119&amp;"."," ","%20"),"Abrir chat"))</f>
        <v/>
      </c>
      <c r="G119" s="79" t="n"/>
      <c r="H119" s="80" t="n"/>
      <c r="I119" s="81" t="n"/>
      <c r="J119" s="81" t="n"/>
      <c r="K119" s="81" t="n"/>
      <c r="L119" s="82">
        <f>IF(AND($D119="",$G119=""),"",IF(N($H119)=0,1,$H119)*N($I119)-N($J119)+N($K119))</f>
        <v/>
      </c>
      <c r="M119" s="81" t="n"/>
      <c r="N119" s="81" t="n"/>
      <c r="O119" s="87">
        <f>IF(OR(AND($D119="",$G119=""),$M119="",$V119="Cancelado"),"",$L119-N($M119)-N($N119))</f>
        <v/>
      </c>
      <c r="P119" s="79" t="n"/>
      <c r="Q119" s="81" t="n"/>
      <c r="R119" s="82">
        <f>IF(AND($D119="",$G119=""),"",IF($V119="Cancelado",0,MAX(0,$L119-N($Q119))))</f>
        <v/>
      </c>
      <c r="S119" s="63">
        <f>IF(AND($D119="",$G119=""),"",IF($V119="Cancelado","Cancelado",IF($L119&lt;=0,"",IF(N($Q119)&gt;=$L119,"✔ Pagado",IF(N($Q119)&gt;0,"⚠ Pago parcial","✖ Sin pagar")))))</f>
        <v/>
      </c>
      <c r="T119" s="79" t="n"/>
      <c r="U119" s="75" t="n"/>
      <c r="V119" s="84" t="n"/>
      <c r="W119" s="64">
        <f>IF(AND($D119="",$G119=""),"",IF($C119="","⚠ Falta la fecha del pedido",IF($V119="","⚠ Elegí el estado de entrega",IF($V119="Cancelado","Cancelado",IF($V119="Entregado",IF($R119&gt;0,"⚠ Entregado: falta cobrar","✔ Cerrado"),IF(AND(N($U119)&gt;0,$U119&lt;TODAY()),"✖ Entrega atrasada ("&amp;(TODAY()-$U119)&amp;" d)","En curso"))))))</f>
        <v/>
      </c>
      <c r="X119" s="79" t="n"/>
      <c r="Y119">
        <f>IF($E119&amp;""="","",IF(LEFT(SUBSTITUTE(SUBSTITUTE(SUBSTITUTE(SUBSTITUTE(SUBSTITUTE($E119&amp;""," ",""),"-",""),"+",""),"(",""),")",""),1)="0",PaisCod&amp;MID(SUBSTITUTE(SUBSTITUTE(SUBSTITUTE(SUBSTITUTE(SUBSTITUTE($E119&amp;""," ",""),"-",""),"+",""),"(",""),")",""),2,20),SUBSTITUTE(SUBSTITUTE(SUBSTITUTE(SUBSTITUTE(SUBSTITUTE($E119&amp;""," ",""),"-",""),"+",""),"(",""),")","")))</f>
        <v/>
      </c>
      <c r="Z119">
        <f>IF(AND(N($R119)&gt;0,$V119&lt;&gt;"Cancelado"),$R119+ROW()/1000000,"")</f>
        <v/>
      </c>
      <c r="AA119">
        <f>IF(AND(OR($V119="Pendiente",$V119="Preparando",$V119="Enviado"),N($U119)&gt;0),$U119+ROW()/1000000,"")</f>
        <v/>
      </c>
      <c r="AB119">
        <f>IF(AND($D119="",$G119=""),"",IF($V119="Cancelado",0,$L119))</f>
        <v/>
      </c>
    </row>
    <row r="120" ht="19" customHeight="1">
      <c r="B120" s="74">
        <f>IF(AND($D120="",$G120=""),"",ROW()-7)</f>
        <v/>
      </c>
      <c r="C120" s="75" t="n"/>
      <c r="D120" s="76" t="n"/>
      <c r="E120" s="77" t="n"/>
      <c r="F120" s="78">
        <f>IF($Y120="","",HYPERLINK("https://wa.me/"&amp;$Y120&amp;"?text="&amp;SUBSTITUTE("Hola "&amp;$D120&amp;", te escribo por tu pedido de "&amp;$G120&amp;"."," ","%20"),"Abrir chat"))</f>
        <v/>
      </c>
      <c r="G120" s="79" t="n"/>
      <c r="H120" s="80" t="n"/>
      <c r="I120" s="81" t="n"/>
      <c r="J120" s="81" t="n"/>
      <c r="K120" s="81" t="n"/>
      <c r="L120" s="82">
        <f>IF(AND($D120="",$G120=""),"",IF(N($H120)=0,1,$H120)*N($I120)-N($J120)+N($K120))</f>
        <v/>
      </c>
      <c r="M120" s="81" t="n"/>
      <c r="N120" s="81" t="n"/>
      <c r="O120" s="83">
        <f>IF(OR(AND($D120="",$G120=""),$M120="",$V120="Cancelado"),"",$L120-N($M120)-N($N120))</f>
        <v/>
      </c>
      <c r="P120" s="79" t="n"/>
      <c r="Q120" s="81" t="n"/>
      <c r="R120" s="82">
        <f>IF(AND($D120="",$G120=""),"",IF($V120="Cancelado",0,MAX(0,$L120-N($Q120))))</f>
        <v/>
      </c>
      <c r="S120" s="60">
        <f>IF(AND($D120="",$G120=""),"",IF($V120="Cancelado","Cancelado",IF($L120&lt;=0,"",IF(N($Q120)&gt;=$L120,"✔ Pagado",IF(N($Q120)&gt;0,"⚠ Pago parcial","✖ Sin pagar")))))</f>
        <v/>
      </c>
      <c r="T120" s="79" t="n"/>
      <c r="U120" s="75" t="n"/>
      <c r="V120" s="84" t="n"/>
      <c r="W120" s="61">
        <f>IF(AND($D120="",$G120=""),"",IF($C120="","⚠ Falta la fecha del pedido",IF($V120="","⚠ Elegí el estado de entrega",IF($V120="Cancelado","Cancelado",IF($V120="Entregado",IF($R120&gt;0,"⚠ Entregado: falta cobrar","✔ Cerrado"),IF(AND(N($U120)&gt;0,$U120&lt;TODAY()),"✖ Entrega atrasada ("&amp;(TODAY()-$U120)&amp;" d)","En curso"))))))</f>
        <v/>
      </c>
      <c r="X120" s="79" t="n"/>
      <c r="Y120">
        <f>IF($E120&amp;""="","",IF(LEFT(SUBSTITUTE(SUBSTITUTE(SUBSTITUTE(SUBSTITUTE(SUBSTITUTE($E120&amp;""," ",""),"-",""),"+",""),"(",""),")",""),1)="0",PaisCod&amp;MID(SUBSTITUTE(SUBSTITUTE(SUBSTITUTE(SUBSTITUTE(SUBSTITUTE($E120&amp;""," ",""),"-",""),"+",""),"(",""),")",""),2,20),SUBSTITUTE(SUBSTITUTE(SUBSTITUTE(SUBSTITUTE(SUBSTITUTE($E120&amp;""," ",""),"-",""),"+",""),"(",""),")","")))</f>
        <v/>
      </c>
      <c r="Z120">
        <f>IF(AND(N($R120)&gt;0,$V120&lt;&gt;"Cancelado"),$R120+ROW()/1000000,"")</f>
        <v/>
      </c>
      <c r="AA120">
        <f>IF(AND(OR($V120="Pendiente",$V120="Preparando",$V120="Enviado"),N($U120)&gt;0),$U120+ROW()/1000000,"")</f>
        <v/>
      </c>
      <c r="AB120">
        <f>IF(AND($D120="",$G120=""),"",IF($V120="Cancelado",0,$L120))</f>
        <v/>
      </c>
    </row>
    <row r="121" ht="19" customHeight="1">
      <c r="B121" s="85">
        <f>IF(AND($D121="",$G121=""),"",ROW()-7)</f>
        <v/>
      </c>
      <c r="C121" s="75" t="n"/>
      <c r="D121" s="76" t="n"/>
      <c r="E121" s="77" t="n"/>
      <c r="F121" s="86">
        <f>IF($Y121="","",HYPERLINK("https://wa.me/"&amp;$Y121&amp;"?text="&amp;SUBSTITUTE("Hola "&amp;$D121&amp;", te escribo por tu pedido de "&amp;$G121&amp;"."," ","%20"),"Abrir chat"))</f>
        <v/>
      </c>
      <c r="G121" s="79" t="n"/>
      <c r="H121" s="80" t="n"/>
      <c r="I121" s="81" t="n"/>
      <c r="J121" s="81" t="n"/>
      <c r="K121" s="81" t="n"/>
      <c r="L121" s="82">
        <f>IF(AND($D121="",$G121=""),"",IF(N($H121)=0,1,$H121)*N($I121)-N($J121)+N($K121))</f>
        <v/>
      </c>
      <c r="M121" s="81" t="n"/>
      <c r="N121" s="81" t="n"/>
      <c r="O121" s="87">
        <f>IF(OR(AND($D121="",$G121=""),$M121="",$V121="Cancelado"),"",$L121-N($M121)-N($N121))</f>
        <v/>
      </c>
      <c r="P121" s="79" t="n"/>
      <c r="Q121" s="81" t="n"/>
      <c r="R121" s="82">
        <f>IF(AND($D121="",$G121=""),"",IF($V121="Cancelado",0,MAX(0,$L121-N($Q121))))</f>
        <v/>
      </c>
      <c r="S121" s="63">
        <f>IF(AND($D121="",$G121=""),"",IF($V121="Cancelado","Cancelado",IF($L121&lt;=0,"",IF(N($Q121)&gt;=$L121,"✔ Pagado",IF(N($Q121)&gt;0,"⚠ Pago parcial","✖ Sin pagar")))))</f>
        <v/>
      </c>
      <c r="T121" s="79" t="n"/>
      <c r="U121" s="75" t="n"/>
      <c r="V121" s="84" t="n"/>
      <c r="W121" s="64">
        <f>IF(AND($D121="",$G121=""),"",IF($C121="","⚠ Falta la fecha del pedido",IF($V121="","⚠ Elegí el estado de entrega",IF($V121="Cancelado","Cancelado",IF($V121="Entregado",IF($R121&gt;0,"⚠ Entregado: falta cobrar","✔ Cerrado"),IF(AND(N($U121)&gt;0,$U121&lt;TODAY()),"✖ Entrega atrasada ("&amp;(TODAY()-$U121)&amp;" d)","En curso"))))))</f>
        <v/>
      </c>
      <c r="X121" s="79" t="n"/>
      <c r="Y121">
        <f>IF($E121&amp;""="","",IF(LEFT(SUBSTITUTE(SUBSTITUTE(SUBSTITUTE(SUBSTITUTE(SUBSTITUTE($E121&amp;""," ",""),"-",""),"+",""),"(",""),")",""),1)="0",PaisCod&amp;MID(SUBSTITUTE(SUBSTITUTE(SUBSTITUTE(SUBSTITUTE(SUBSTITUTE($E121&amp;""," ",""),"-",""),"+",""),"(",""),")",""),2,20),SUBSTITUTE(SUBSTITUTE(SUBSTITUTE(SUBSTITUTE(SUBSTITUTE($E121&amp;""," ",""),"-",""),"+",""),"(",""),")","")))</f>
        <v/>
      </c>
      <c r="Z121">
        <f>IF(AND(N($R121)&gt;0,$V121&lt;&gt;"Cancelado"),$R121+ROW()/1000000,"")</f>
        <v/>
      </c>
      <c r="AA121">
        <f>IF(AND(OR($V121="Pendiente",$V121="Preparando",$V121="Enviado"),N($U121)&gt;0),$U121+ROW()/1000000,"")</f>
        <v/>
      </c>
      <c r="AB121">
        <f>IF(AND($D121="",$G121=""),"",IF($V121="Cancelado",0,$L121))</f>
        <v/>
      </c>
    </row>
    <row r="122" ht="19" customHeight="1">
      <c r="B122" s="74">
        <f>IF(AND($D122="",$G122=""),"",ROW()-7)</f>
        <v/>
      </c>
      <c r="C122" s="75" t="n"/>
      <c r="D122" s="76" t="n"/>
      <c r="E122" s="77" t="n"/>
      <c r="F122" s="78">
        <f>IF($Y122="","",HYPERLINK("https://wa.me/"&amp;$Y122&amp;"?text="&amp;SUBSTITUTE("Hola "&amp;$D122&amp;", te escribo por tu pedido de "&amp;$G122&amp;"."," ","%20"),"Abrir chat"))</f>
        <v/>
      </c>
      <c r="G122" s="79" t="n"/>
      <c r="H122" s="80" t="n"/>
      <c r="I122" s="81" t="n"/>
      <c r="J122" s="81" t="n"/>
      <c r="K122" s="81" t="n"/>
      <c r="L122" s="82">
        <f>IF(AND($D122="",$G122=""),"",IF(N($H122)=0,1,$H122)*N($I122)-N($J122)+N($K122))</f>
        <v/>
      </c>
      <c r="M122" s="81" t="n"/>
      <c r="N122" s="81" t="n"/>
      <c r="O122" s="83">
        <f>IF(OR(AND($D122="",$G122=""),$M122="",$V122="Cancelado"),"",$L122-N($M122)-N($N122))</f>
        <v/>
      </c>
      <c r="P122" s="79" t="n"/>
      <c r="Q122" s="81" t="n"/>
      <c r="R122" s="82">
        <f>IF(AND($D122="",$G122=""),"",IF($V122="Cancelado",0,MAX(0,$L122-N($Q122))))</f>
        <v/>
      </c>
      <c r="S122" s="60">
        <f>IF(AND($D122="",$G122=""),"",IF($V122="Cancelado","Cancelado",IF($L122&lt;=0,"",IF(N($Q122)&gt;=$L122,"✔ Pagado",IF(N($Q122)&gt;0,"⚠ Pago parcial","✖ Sin pagar")))))</f>
        <v/>
      </c>
      <c r="T122" s="79" t="n"/>
      <c r="U122" s="75" t="n"/>
      <c r="V122" s="84" t="n"/>
      <c r="W122" s="61">
        <f>IF(AND($D122="",$G122=""),"",IF($C122="","⚠ Falta la fecha del pedido",IF($V122="","⚠ Elegí el estado de entrega",IF($V122="Cancelado","Cancelado",IF($V122="Entregado",IF($R122&gt;0,"⚠ Entregado: falta cobrar","✔ Cerrado"),IF(AND(N($U122)&gt;0,$U122&lt;TODAY()),"✖ Entrega atrasada ("&amp;(TODAY()-$U122)&amp;" d)","En curso"))))))</f>
        <v/>
      </c>
      <c r="X122" s="79" t="n"/>
      <c r="Y122">
        <f>IF($E122&amp;""="","",IF(LEFT(SUBSTITUTE(SUBSTITUTE(SUBSTITUTE(SUBSTITUTE(SUBSTITUTE($E122&amp;""," ",""),"-",""),"+",""),"(",""),")",""),1)="0",PaisCod&amp;MID(SUBSTITUTE(SUBSTITUTE(SUBSTITUTE(SUBSTITUTE(SUBSTITUTE($E122&amp;""," ",""),"-",""),"+",""),"(",""),")",""),2,20),SUBSTITUTE(SUBSTITUTE(SUBSTITUTE(SUBSTITUTE(SUBSTITUTE($E122&amp;""," ",""),"-",""),"+",""),"(",""),")","")))</f>
        <v/>
      </c>
      <c r="Z122">
        <f>IF(AND(N($R122)&gt;0,$V122&lt;&gt;"Cancelado"),$R122+ROW()/1000000,"")</f>
        <v/>
      </c>
      <c r="AA122">
        <f>IF(AND(OR($V122="Pendiente",$V122="Preparando",$V122="Enviado"),N($U122)&gt;0),$U122+ROW()/1000000,"")</f>
        <v/>
      </c>
      <c r="AB122">
        <f>IF(AND($D122="",$G122=""),"",IF($V122="Cancelado",0,$L122))</f>
        <v/>
      </c>
    </row>
    <row r="123" ht="19" customHeight="1">
      <c r="B123" s="85">
        <f>IF(AND($D123="",$G123=""),"",ROW()-7)</f>
        <v/>
      </c>
      <c r="C123" s="75" t="n"/>
      <c r="D123" s="76" t="n"/>
      <c r="E123" s="77" t="n"/>
      <c r="F123" s="86">
        <f>IF($Y123="","",HYPERLINK("https://wa.me/"&amp;$Y123&amp;"?text="&amp;SUBSTITUTE("Hola "&amp;$D123&amp;", te escribo por tu pedido de "&amp;$G123&amp;"."," ","%20"),"Abrir chat"))</f>
        <v/>
      </c>
      <c r="G123" s="79" t="n"/>
      <c r="H123" s="80" t="n"/>
      <c r="I123" s="81" t="n"/>
      <c r="J123" s="81" t="n"/>
      <c r="K123" s="81" t="n"/>
      <c r="L123" s="82">
        <f>IF(AND($D123="",$G123=""),"",IF(N($H123)=0,1,$H123)*N($I123)-N($J123)+N($K123))</f>
        <v/>
      </c>
      <c r="M123" s="81" t="n"/>
      <c r="N123" s="81" t="n"/>
      <c r="O123" s="87">
        <f>IF(OR(AND($D123="",$G123=""),$M123="",$V123="Cancelado"),"",$L123-N($M123)-N($N123))</f>
        <v/>
      </c>
      <c r="P123" s="79" t="n"/>
      <c r="Q123" s="81" t="n"/>
      <c r="R123" s="82">
        <f>IF(AND($D123="",$G123=""),"",IF($V123="Cancelado",0,MAX(0,$L123-N($Q123))))</f>
        <v/>
      </c>
      <c r="S123" s="63">
        <f>IF(AND($D123="",$G123=""),"",IF($V123="Cancelado","Cancelado",IF($L123&lt;=0,"",IF(N($Q123)&gt;=$L123,"✔ Pagado",IF(N($Q123)&gt;0,"⚠ Pago parcial","✖ Sin pagar")))))</f>
        <v/>
      </c>
      <c r="T123" s="79" t="n"/>
      <c r="U123" s="75" t="n"/>
      <c r="V123" s="84" t="n"/>
      <c r="W123" s="64">
        <f>IF(AND($D123="",$G123=""),"",IF($C123="","⚠ Falta la fecha del pedido",IF($V123="","⚠ Elegí el estado de entrega",IF($V123="Cancelado","Cancelado",IF($V123="Entregado",IF($R123&gt;0,"⚠ Entregado: falta cobrar","✔ Cerrado"),IF(AND(N($U123)&gt;0,$U123&lt;TODAY()),"✖ Entrega atrasada ("&amp;(TODAY()-$U123)&amp;" d)","En curso"))))))</f>
        <v/>
      </c>
      <c r="X123" s="79" t="n"/>
      <c r="Y123">
        <f>IF($E123&amp;""="","",IF(LEFT(SUBSTITUTE(SUBSTITUTE(SUBSTITUTE(SUBSTITUTE(SUBSTITUTE($E123&amp;""," ",""),"-",""),"+",""),"(",""),")",""),1)="0",PaisCod&amp;MID(SUBSTITUTE(SUBSTITUTE(SUBSTITUTE(SUBSTITUTE(SUBSTITUTE($E123&amp;""," ",""),"-",""),"+",""),"(",""),")",""),2,20),SUBSTITUTE(SUBSTITUTE(SUBSTITUTE(SUBSTITUTE(SUBSTITUTE($E123&amp;""," ",""),"-",""),"+",""),"(",""),")","")))</f>
        <v/>
      </c>
      <c r="Z123">
        <f>IF(AND(N($R123)&gt;0,$V123&lt;&gt;"Cancelado"),$R123+ROW()/1000000,"")</f>
        <v/>
      </c>
      <c r="AA123">
        <f>IF(AND(OR($V123="Pendiente",$V123="Preparando",$V123="Enviado"),N($U123)&gt;0),$U123+ROW()/1000000,"")</f>
        <v/>
      </c>
      <c r="AB123">
        <f>IF(AND($D123="",$G123=""),"",IF($V123="Cancelado",0,$L123))</f>
        <v/>
      </c>
    </row>
    <row r="124" ht="19" customHeight="1">
      <c r="B124" s="74">
        <f>IF(AND($D124="",$G124=""),"",ROW()-7)</f>
        <v/>
      </c>
      <c r="C124" s="75" t="n"/>
      <c r="D124" s="76" t="n"/>
      <c r="E124" s="77" t="n"/>
      <c r="F124" s="78">
        <f>IF($Y124="","",HYPERLINK("https://wa.me/"&amp;$Y124&amp;"?text="&amp;SUBSTITUTE("Hola "&amp;$D124&amp;", te escribo por tu pedido de "&amp;$G124&amp;"."," ","%20"),"Abrir chat"))</f>
        <v/>
      </c>
      <c r="G124" s="79" t="n"/>
      <c r="H124" s="80" t="n"/>
      <c r="I124" s="81" t="n"/>
      <c r="J124" s="81" t="n"/>
      <c r="K124" s="81" t="n"/>
      <c r="L124" s="82">
        <f>IF(AND($D124="",$G124=""),"",IF(N($H124)=0,1,$H124)*N($I124)-N($J124)+N($K124))</f>
        <v/>
      </c>
      <c r="M124" s="81" t="n"/>
      <c r="N124" s="81" t="n"/>
      <c r="O124" s="83">
        <f>IF(OR(AND($D124="",$G124=""),$M124="",$V124="Cancelado"),"",$L124-N($M124)-N($N124))</f>
        <v/>
      </c>
      <c r="P124" s="79" t="n"/>
      <c r="Q124" s="81" t="n"/>
      <c r="R124" s="82">
        <f>IF(AND($D124="",$G124=""),"",IF($V124="Cancelado",0,MAX(0,$L124-N($Q124))))</f>
        <v/>
      </c>
      <c r="S124" s="60">
        <f>IF(AND($D124="",$G124=""),"",IF($V124="Cancelado","Cancelado",IF($L124&lt;=0,"",IF(N($Q124)&gt;=$L124,"✔ Pagado",IF(N($Q124)&gt;0,"⚠ Pago parcial","✖ Sin pagar")))))</f>
        <v/>
      </c>
      <c r="T124" s="79" t="n"/>
      <c r="U124" s="75" t="n"/>
      <c r="V124" s="84" t="n"/>
      <c r="W124" s="61">
        <f>IF(AND($D124="",$G124=""),"",IF($C124="","⚠ Falta la fecha del pedido",IF($V124="","⚠ Elegí el estado de entrega",IF($V124="Cancelado","Cancelado",IF($V124="Entregado",IF($R124&gt;0,"⚠ Entregado: falta cobrar","✔ Cerrado"),IF(AND(N($U124)&gt;0,$U124&lt;TODAY()),"✖ Entrega atrasada ("&amp;(TODAY()-$U124)&amp;" d)","En curso"))))))</f>
        <v/>
      </c>
      <c r="X124" s="79" t="n"/>
      <c r="Y124">
        <f>IF($E124&amp;""="","",IF(LEFT(SUBSTITUTE(SUBSTITUTE(SUBSTITUTE(SUBSTITUTE(SUBSTITUTE($E124&amp;""," ",""),"-",""),"+",""),"(",""),")",""),1)="0",PaisCod&amp;MID(SUBSTITUTE(SUBSTITUTE(SUBSTITUTE(SUBSTITUTE(SUBSTITUTE($E124&amp;""," ",""),"-",""),"+",""),"(",""),")",""),2,20),SUBSTITUTE(SUBSTITUTE(SUBSTITUTE(SUBSTITUTE(SUBSTITUTE($E124&amp;""," ",""),"-",""),"+",""),"(",""),")","")))</f>
        <v/>
      </c>
      <c r="Z124">
        <f>IF(AND(N($R124)&gt;0,$V124&lt;&gt;"Cancelado"),$R124+ROW()/1000000,"")</f>
        <v/>
      </c>
      <c r="AA124">
        <f>IF(AND(OR($V124="Pendiente",$V124="Preparando",$V124="Enviado"),N($U124)&gt;0),$U124+ROW()/1000000,"")</f>
        <v/>
      </c>
      <c r="AB124">
        <f>IF(AND($D124="",$G124=""),"",IF($V124="Cancelado",0,$L124))</f>
        <v/>
      </c>
    </row>
    <row r="125" ht="19" customHeight="1">
      <c r="B125" s="85">
        <f>IF(AND($D125="",$G125=""),"",ROW()-7)</f>
        <v/>
      </c>
      <c r="C125" s="75" t="n"/>
      <c r="D125" s="76" t="n"/>
      <c r="E125" s="77" t="n"/>
      <c r="F125" s="86">
        <f>IF($Y125="","",HYPERLINK("https://wa.me/"&amp;$Y125&amp;"?text="&amp;SUBSTITUTE("Hola "&amp;$D125&amp;", te escribo por tu pedido de "&amp;$G125&amp;"."," ","%20"),"Abrir chat"))</f>
        <v/>
      </c>
      <c r="G125" s="79" t="n"/>
      <c r="H125" s="80" t="n"/>
      <c r="I125" s="81" t="n"/>
      <c r="J125" s="81" t="n"/>
      <c r="K125" s="81" t="n"/>
      <c r="L125" s="82">
        <f>IF(AND($D125="",$G125=""),"",IF(N($H125)=0,1,$H125)*N($I125)-N($J125)+N($K125))</f>
        <v/>
      </c>
      <c r="M125" s="81" t="n"/>
      <c r="N125" s="81" t="n"/>
      <c r="O125" s="87">
        <f>IF(OR(AND($D125="",$G125=""),$M125="",$V125="Cancelado"),"",$L125-N($M125)-N($N125))</f>
        <v/>
      </c>
      <c r="P125" s="79" t="n"/>
      <c r="Q125" s="81" t="n"/>
      <c r="R125" s="82">
        <f>IF(AND($D125="",$G125=""),"",IF($V125="Cancelado",0,MAX(0,$L125-N($Q125))))</f>
        <v/>
      </c>
      <c r="S125" s="63">
        <f>IF(AND($D125="",$G125=""),"",IF($V125="Cancelado","Cancelado",IF($L125&lt;=0,"",IF(N($Q125)&gt;=$L125,"✔ Pagado",IF(N($Q125)&gt;0,"⚠ Pago parcial","✖ Sin pagar")))))</f>
        <v/>
      </c>
      <c r="T125" s="79" t="n"/>
      <c r="U125" s="75" t="n"/>
      <c r="V125" s="84" t="n"/>
      <c r="W125" s="64">
        <f>IF(AND($D125="",$G125=""),"",IF($C125="","⚠ Falta la fecha del pedido",IF($V125="","⚠ Elegí el estado de entrega",IF($V125="Cancelado","Cancelado",IF($V125="Entregado",IF($R125&gt;0,"⚠ Entregado: falta cobrar","✔ Cerrado"),IF(AND(N($U125)&gt;0,$U125&lt;TODAY()),"✖ Entrega atrasada ("&amp;(TODAY()-$U125)&amp;" d)","En curso"))))))</f>
        <v/>
      </c>
      <c r="X125" s="79" t="n"/>
      <c r="Y125">
        <f>IF($E125&amp;""="","",IF(LEFT(SUBSTITUTE(SUBSTITUTE(SUBSTITUTE(SUBSTITUTE(SUBSTITUTE($E125&amp;""," ",""),"-",""),"+",""),"(",""),")",""),1)="0",PaisCod&amp;MID(SUBSTITUTE(SUBSTITUTE(SUBSTITUTE(SUBSTITUTE(SUBSTITUTE($E125&amp;""," ",""),"-",""),"+",""),"(",""),")",""),2,20),SUBSTITUTE(SUBSTITUTE(SUBSTITUTE(SUBSTITUTE(SUBSTITUTE($E125&amp;""," ",""),"-",""),"+",""),"(",""),")","")))</f>
        <v/>
      </c>
      <c r="Z125">
        <f>IF(AND(N($R125)&gt;0,$V125&lt;&gt;"Cancelado"),$R125+ROW()/1000000,"")</f>
        <v/>
      </c>
      <c r="AA125">
        <f>IF(AND(OR($V125="Pendiente",$V125="Preparando",$V125="Enviado"),N($U125)&gt;0),$U125+ROW()/1000000,"")</f>
        <v/>
      </c>
      <c r="AB125">
        <f>IF(AND($D125="",$G125=""),"",IF($V125="Cancelado",0,$L125))</f>
        <v/>
      </c>
    </row>
    <row r="126" ht="19" customHeight="1">
      <c r="B126" s="74">
        <f>IF(AND($D126="",$G126=""),"",ROW()-7)</f>
        <v/>
      </c>
      <c r="C126" s="75" t="n"/>
      <c r="D126" s="76" t="n"/>
      <c r="E126" s="77" t="n"/>
      <c r="F126" s="78">
        <f>IF($Y126="","",HYPERLINK("https://wa.me/"&amp;$Y126&amp;"?text="&amp;SUBSTITUTE("Hola "&amp;$D126&amp;", te escribo por tu pedido de "&amp;$G126&amp;"."," ","%20"),"Abrir chat"))</f>
        <v/>
      </c>
      <c r="G126" s="79" t="n"/>
      <c r="H126" s="80" t="n"/>
      <c r="I126" s="81" t="n"/>
      <c r="J126" s="81" t="n"/>
      <c r="K126" s="81" t="n"/>
      <c r="L126" s="82">
        <f>IF(AND($D126="",$G126=""),"",IF(N($H126)=0,1,$H126)*N($I126)-N($J126)+N($K126))</f>
        <v/>
      </c>
      <c r="M126" s="81" t="n"/>
      <c r="N126" s="81" t="n"/>
      <c r="O126" s="83">
        <f>IF(OR(AND($D126="",$G126=""),$M126="",$V126="Cancelado"),"",$L126-N($M126)-N($N126))</f>
        <v/>
      </c>
      <c r="P126" s="79" t="n"/>
      <c r="Q126" s="81" t="n"/>
      <c r="R126" s="82">
        <f>IF(AND($D126="",$G126=""),"",IF($V126="Cancelado",0,MAX(0,$L126-N($Q126))))</f>
        <v/>
      </c>
      <c r="S126" s="60">
        <f>IF(AND($D126="",$G126=""),"",IF($V126="Cancelado","Cancelado",IF($L126&lt;=0,"",IF(N($Q126)&gt;=$L126,"✔ Pagado",IF(N($Q126)&gt;0,"⚠ Pago parcial","✖ Sin pagar")))))</f>
        <v/>
      </c>
      <c r="T126" s="79" t="n"/>
      <c r="U126" s="75" t="n"/>
      <c r="V126" s="84" t="n"/>
      <c r="W126" s="61">
        <f>IF(AND($D126="",$G126=""),"",IF($C126="","⚠ Falta la fecha del pedido",IF($V126="","⚠ Elegí el estado de entrega",IF($V126="Cancelado","Cancelado",IF($V126="Entregado",IF($R126&gt;0,"⚠ Entregado: falta cobrar","✔ Cerrado"),IF(AND(N($U126)&gt;0,$U126&lt;TODAY()),"✖ Entrega atrasada ("&amp;(TODAY()-$U126)&amp;" d)","En curso"))))))</f>
        <v/>
      </c>
      <c r="X126" s="79" t="n"/>
      <c r="Y126">
        <f>IF($E126&amp;""="","",IF(LEFT(SUBSTITUTE(SUBSTITUTE(SUBSTITUTE(SUBSTITUTE(SUBSTITUTE($E126&amp;""," ",""),"-",""),"+",""),"(",""),")",""),1)="0",PaisCod&amp;MID(SUBSTITUTE(SUBSTITUTE(SUBSTITUTE(SUBSTITUTE(SUBSTITUTE($E126&amp;""," ",""),"-",""),"+",""),"(",""),")",""),2,20),SUBSTITUTE(SUBSTITUTE(SUBSTITUTE(SUBSTITUTE(SUBSTITUTE($E126&amp;""," ",""),"-",""),"+",""),"(",""),")","")))</f>
        <v/>
      </c>
      <c r="Z126">
        <f>IF(AND(N($R126)&gt;0,$V126&lt;&gt;"Cancelado"),$R126+ROW()/1000000,"")</f>
        <v/>
      </c>
      <c r="AA126">
        <f>IF(AND(OR($V126="Pendiente",$V126="Preparando",$V126="Enviado"),N($U126)&gt;0),$U126+ROW()/1000000,"")</f>
        <v/>
      </c>
      <c r="AB126">
        <f>IF(AND($D126="",$G126=""),"",IF($V126="Cancelado",0,$L126))</f>
        <v/>
      </c>
    </row>
    <row r="127" ht="19" customHeight="1">
      <c r="B127" s="85">
        <f>IF(AND($D127="",$G127=""),"",ROW()-7)</f>
        <v/>
      </c>
      <c r="C127" s="75" t="n"/>
      <c r="D127" s="76" t="n"/>
      <c r="E127" s="77" t="n"/>
      <c r="F127" s="86">
        <f>IF($Y127="","",HYPERLINK("https://wa.me/"&amp;$Y127&amp;"?text="&amp;SUBSTITUTE("Hola "&amp;$D127&amp;", te escribo por tu pedido de "&amp;$G127&amp;"."," ","%20"),"Abrir chat"))</f>
        <v/>
      </c>
      <c r="G127" s="79" t="n"/>
      <c r="H127" s="80" t="n"/>
      <c r="I127" s="81" t="n"/>
      <c r="J127" s="81" t="n"/>
      <c r="K127" s="81" t="n"/>
      <c r="L127" s="82">
        <f>IF(AND($D127="",$G127=""),"",IF(N($H127)=0,1,$H127)*N($I127)-N($J127)+N($K127))</f>
        <v/>
      </c>
      <c r="M127" s="81" t="n"/>
      <c r="N127" s="81" t="n"/>
      <c r="O127" s="87">
        <f>IF(OR(AND($D127="",$G127=""),$M127="",$V127="Cancelado"),"",$L127-N($M127)-N($N127))</f>
        <v/>
      </c>
      <c r="P127" s="79" t="n"/>
      <c r="Q127" s="81" t="n"/>
      <c r="R127" s="82">
        <f>IF(AND($D127="",$G127=""),"",IF($V127="Cancelado",0,MAX(0,$L127-N($Q127))))</f>
        <v/>
      </c>
      <c r="S127" s="63">
        <f>IF(AND($D127="",$G127=""),"",IF($V127="Cancelado","Cancelado",IF($L127&lt;=0,"",IF(N($Q127)&gt;=$L127,"✔ Pagado",IF(N($Q127)&gt;0,"⚠ Pago parcial","✖ Sin pagar")))))</f>
        <v/>
      </c>
      <c r="T127" s="79" t="n"/>
      <c r="U127" s="75" t="n"/>
      <c r="V127" s="84" t="n"/>
      <c r="W127" s="64">
        <f>IF(AND($D127="",$G127=""),"",IF($C127="","⚠ Falta la fecha del pedido",IF($V127="","⚠ Elegí el estado de entrega",IF($V127="Cancelado","Cancelado",IF($V127="Entregado",IF($R127&gt;0,"⚠ Entregado: falta cobrar","✔ Cerrado"),IF(AND(N($U127)&gt;0,$U127&lt;TODAY()),"✖ Entrega atrasada ("&amp;(TODAY()-$U127)&amp;" d)","En curso"))))))</f>
        <v/>
      </c>
      <c r="X127" s="79" t="n"/>
      <c r="Y127">
        <f>IF($E127&amp;""="","",IF(LEFT(SUBSTITUTE(SUBSTITUTE(SUBSTITUTE(SUBSTITUTE(SUBSTITUTE($E127&amp;""," ",""),"-",""),"+",""),"(",""),")",""),1)="0",PaisCod&amp;MID(SUBSTITUTE(SUBSTITUTE(SUBSTITUTE(SUBSTITUTE(SUBSTITUTE($E127&amp;""," ",""),"-",""),"+",""),"(",""),")",""),2,20),SUBSTITUTE(SUBSTITUTE(SUBSTITUTE(SUBSTITUTE(SUBSTITUTE($E127&amp;""," ",""),"-",""),"+",""),"(",""),")","")))</f>
        <v/>
      </c>
      <c r="Z127">
        <f>IF(AND(N($R127)&gt;0,$V127&lt;&gt;"Cancelado"),$R127+ROW()/1000000,"")</f>
        <v/>
      </c>
      <c r="AA127">
        <f>IF(AND(OR($V127="Pendiente",$V127="Preparando",$V127="Enviado"),N($U127)&gt;0),$U127+ROW()/1000000,"")</f>
        <v/>
      </c>
      <c r="AB127">
        <f>IF(AND($D127="",$G127=""),"",IF($V127="Cancelado",0,$L127))</f>
        <v/>
      </c>
    </row>
    <row r="128" ht="19" customHeight="1">
      <c r="B128" s="74">
        <f>IF(AND($D128="",$G128=""),"",ROW()-7)</f>
        <v/>
      </c>
      <c r="C128" s="75" t="n"/>
      <c r="D128" s="76" t="n"/>
      <c r="E128" s="77" t="n"/>
      <c r="F128" s="78">
        <f>IF($Y128="","",HYPERLINK("https://wa.me/"&amp;$Y128&amp;"?text="&amp;SUBSTITUTE("Hola "&amp;$D128&amp;", te escribo por tu pedido de "&amp;$G128&amp;"."," ","%20"),"Abrir chat"))</f>
        <v/>
      </c>
      <c r="G128" s="79" t="n"/>
      <c r="H128" s="80" t="n"/>
      <c r="I128" s="81" t="n"/>
      <c r="J128" s="81" t="n"/>
      <c r="K128" s="81" t="n"/>
      <c r="L128" s="82">
        <f>IF(AND($D128="",$G128=""),"",IF(N($H128)=0,1,$H128)*N($I128)-N($J128)+N($K128))</f>
        <v/>
      </c>
      <c r="M128" s="81" t="n"/>
      <c r="N128" s="81" t="n"/>
      <c r="O128" s="83">
        <f>IF(OR(AND($D128="",$G128=""),$M128="",$V128="Cancelado"),"",$L128-N($M128)-N($N128))</f>
        <v/>
      </c>
      <c r="P128" s="79" t="n"/>
      <c r="Q128" s="81" t="n"/>
      <c r="R128" s="82">
        <f>IF(AND($D128="",$G128=""),"",IF($V128="Cancelado",0,MAX(0,$L128-N($Q128))))</f>
        <v/>
      </c>
      <c r="S128" s="60">
        <f>IF(AND($D128="",$G128=""),"",IF($V128="Cancelado","Cancelado",IF($L128&lt;=0,"",IF(N($Q128)&gt;=$L128,"✔ Pagado",IF(N($Q128)&gt;0,"⚠ Pago parcial","✖ Sin pagar")))))</f>
        <v/>
      </c>
      <c r="T128" s="79" t="n"/>
      <c r="U128" s="75" t="n"/>
      <c r="V128" s="84" t="n"/>
      <c r="W128" s="61">
        <f>IF(AND($D128="",$G128=""),"",IF($C128="","⚠ Falta la fecha del pedido",IF($V128="","⚠ Elegí el estado de entrega",IF($V128="Cancelado","Cancelado",IF($V128="Entregado",IF($R128&gt;0,"⚠ Entregado: falta cobrar","✔ Cerrado"),IF(AND(N($U128)&gt;0,$U128&lt;TODAY()),"✖ Entrega atrasada ("&amp;(TODAY()-$U128)&amp;" d)","En curso"))))))</f>
        <v/>
      </c>
      <c r="X128" s="79" t="n"/>
      <c r="Y128">
        <f>IF($E128&amp;""="","",IF(LEFT(SUBSTITUTE(SUBSTITUTE(SUBSTITUTE(SUBSTITUTE(SUBSTITUTE($E128&amp;""," ",""),"-",""),"+",""),"(",""),")",""),1)="0",PaisCod&amp;MID(SUBSTITUTE(SUBSTITUTE(SUBSTITUTE(SUBSTITUTE(SUBSTITUTE($E128&amp;""," ",""),"-",""),"+",""),"(",""),")",""),2,20),SUBSTITUTE(SUBSTITUTE(SUBSTITUTE(SUBSTITUTE(SUBSTITUTE($E128&amp;""," ",""),"-",""),"+",""),"(",""),")","")))</f>
        <v/>
      </c>
      <c r="Z128">
        <f>IF(AND(N($R128)&gt;0,$V128&lt;&gt;"Cancelado"),$R128+ROW()/1000000,"")</f>
        <v/>
      </c>
      <c r="AA128">
        <f>IF(AND(OR($V128="Pendiente",$V128="Preparando",$V128="Enviado"),N($U128)&gt;0),$U128+ROW()/1000000,"")</f>
        <v/>
      </c>
      <c r="AB128">
        <f>IF(AND($D128="",$G128=""),"",IF($V128="Cancelado",0,$L128))</f>
        <v/>
      </c>
    </row>
    <row r="129" ht="19" customHeight="1">
      <c r="B129" s="85">
        <f>IF(AND($D129="",$G129=""),"",ROW()-7)</f>
        <v/>
      </c>
      <c r="C129" s="75" t="n"/>
      <c r="D129" s="76" t="n"/>
      <c r="E129" s="77" t="n"/>
      <c r="F129" s="86">
        <f>IF($Y129="","",HYPERLINK("https://wa.me/"&amp;$Y129&amp;"?text="&amp;SUBSTITUTE("Hola "&amp;$D129&amp;", te escribo por tu pedido de "&amp;$G129&amp;"."," ","%20"),"Abrir chat"))</f>
        <v/>
      </c>
      <c r="G129" s="79" t="n"/>
      <c r="H129" s="80" t="n"/>
      <c r="I129" s="81" t="n"/>
      <c r="J129" s="81" t="n"/>
      <c r="K129" s="81" t="n"/>
      <c r="L129" s="82">
        <f>IF(AND($D129="",$G129=""),"",IF(N($H129)=0,1,$H129)*N($I129)-N($J129)+N($K129))</f>
        <v/>
      </c>
      <c r="M129" s="81" t="n"/>
      <c r="N129" s="81" t="n"/>
      <c r="O129" s="87">
        <f>IF(OR(AND($D129="",$G129=""),$M129="",$V129="Cancelado"),"",$L129-N($M129)-N($N129))</f>
        <v/>
      </c>
      <c r="P129" s="79" t="n"/>
      <c r="Q129" s="81" t="n"/>
      <c r="R129" s="82">
        <f>IF(AND($D129="",$G129=""),"",IF($V129="Cancelado",0,MAX(0,$L129-N($Q129))))</f>
        <v/>
      </c>
      <c r="S129" s="63">
        <f>IF(AND($D129="",$G129=""),"",IF($V129="Cancelado","Cancelado",IF($L129&lt;=0,"",IF(N($Q129)&gt;=$L129,"✔ Pagado",IF(N($Q129)&gt;0,"⚠ Pago parcial","✖ Sin pagar")))))</f>
        <v/>
      </c>
      <c r="T129" s="79" t="n"/>
      <c r="U129" s="75" t="n"/>
      <c r="V129" s="84" t="n"/>
      <c r="W129" s="64">
        <f>IF(AND($D129="",$G129=""),"",IF($C129="","⚠ Falta la fecha del pedido",IF($V129="","⚠ Elegí el estado de entrega",IF($V129="Cancelado","Cancelado",IF($V129="Entregado",IF($R129&gt;0,"⚠ Entregado: falta cobrar","✔ Cerrado"),IF(AND(N($U129)&gt;0,$U129&lt;TODAY()),"✖ Entrega atrasada ("&amp;(TODAY()-$U129)&amp;" d)","En curso"))))))</f>
        <v/>
      </c>
      <c r="X129" s="79" t="n"/>
      <c r="Y129">
        <f>IF($E129&amp;""="","",IF(LEFT(SUBSTITUTE(SUBSTITUTE(SUBSTITUTE(SUBSTITUTE(SUBSTITUTE($E129&amp;""," ",""),"-",""),"+",""),"(",""),")",""),1)="0",PaisCod&amp;MID(SUBSTITUTE(SUBSTITUTE(SUBSTITUTE(SUBSTITUTE(SUBSTITUTE($E129&amp;""," ",""),"-",""),"+",""),"(",""),")",""),2,20),SUBSTITUTE(SUBSTITUTE(SUBSTITUTE(SUBSTITUTE(SUBSTITUTE($E129&amp;""," ",""),"-",""),"+",""),"(",""),")","")))</f>
        <v/>
      </c>
      <c r="Z129">
        <f>IF(AND(N($R129)&gt;0,$V129&lt;&gt;"Cancelado"),$R129+ROW()/1000000,"")</f>
        <v/>
      </c>
      <c r="AA129">
        <f>IF(AND(OR($V129="Pendiente",$V129="Preparando",$V129="Enviado"),N($U129)&gt;0),$U129+ROW()/1000000,"")</f>
        <v/>
      </c>
      <c r="AB129">
        <f>IF(AND($D129="",$G129=""),"",IF($V129="Cancelado",0,$L129))</f>
        <v/>
      </c>
    </row>
    <row r="130" ht="19" customHeight="1">
      <c r="B130" s="74">
        <f>IF(AND($D130="",$G130=""),"",ROW()-7)</f>
        <v/>
      </c>
      <c r="C130" s="75" t="n"/>
      <c r="D130" s="76" t="n"/>
      <c r="E130" s="77" t="n"/>
      <c r="F130" s="78">
        <f>IF($Y130="","",HYPERLINK("https://wa.me/"&amp;$Y130&amp;"?text="&amp;SUBSTITUTE("Hola "&amp;$D130&amp;", te escribo por tu pedido de "&amp;$G130&amp;"."," ","%20"),"Abrir chat"))</f>
        <v/>
      </c>
      <c r="G130" s="79" t="n"/>
      <c r="H130" s="80" t="n"/>
      <c r="I130" s="81" t="n"/>
      <c r="J130" s="81" t="n"/>
      <c r="K130" s="81" t="n"/>
      <c r="L130" s="82">
        <f>IF(AND($D130="",$G130=""),"",IF(N($H130)=0,1,$H130)*N($I130)-N($J130)+N($K130))</f>
        <v/>
      </c>
      <c r="M130" s="81" t="n"/>
      <c r="N130" s="81" t="n"/>
      <c r="O130" s="83">
        <f>IF(OR(AND($D130="",$G130=""),$M130="",$V130="Cancelado"),"",$L130-N($M130)-N($N130))</f>
        <v/>
      </c>
      <c r="P130" s="79" t="n"/>
      <c r="Q130" s="81" t="n"/>
      <c r="R130" s="82">
        <f>IF(AND($D130="",$G130=""),"",IF($V130="Cancelado",0,MAX(0,$L130-N($Q130))))</f>
        <v/>
      </c>
      <c r="S130" s="60">
        <f>IF(AND($D130="",$G130=""),"",IF($V130="Cancelado","Cancelado",IF($L130&lt;=0,"",IF(N($Q130)&gt;=$L130,"✔ Pagado",IF(N($Q130)&gt;0,"⚠ Pago parcial","✖ Sin pagar")))))</f>
        <v/>
      </c>
      <c r="T130" s="79" t="n"/>
      <c r="U130" s="75" t="n"/>
      <c r="V130" s="84" t="n"/>
      <c r="W130" s="61">
        <f>IF(AND($D130="",$G130=""),"",IF($C130="","⚠ Falta la fecha del pedido",IF($V130="","⚠ Elegí el estado de entrega",IF($V130="Cancelado","Cancelado",IF($V130="Entregado",IF($R130&gt;0,"⚠ Entregado: falta cobrar","✔ Cerrado"),IF(AND(N($U130)&gt;0,$U130&lt;TODAY()),"✖ Entrega atrasada ("&amp;(TODAY()-$U130)&amp;" d)","En curso"))))))</f>
        <v/>
      </c>
      <c r="X130" s="79" t="n"/>
      <c r="Y130">
        <f>IF($E130&amp;""="","",IF(LEFT(SUBSTITUTE(SUBSTITUTE(SUBSTITUTE(SUBSTITUTE(SUBSTITUTE($E130&amp;""," ",""),"-",""),"+",""),"(",""),")",""),1)="0",PaisCod&amp;MID(SUBSTITUTE(SUBSTITUTE(SUBSTITUTE(SUBSTITUTE(SUBSTITUTE($E130&amp;""," ",""),"-",""),"+",""),"(",""),")",""),2,20),SUBSTITUTE(SUBSTITUTE(SUBSTITUTE(SUBSTITUTE(SUBSTITUTE($E130&amp;""," ",""),"-",""),"+",""),"(",""),")","")))</f>
        <v/>
      </c>
      <c r="Z130">
        <f>IF(AND(N($R130)&gt;0,$V130&lt;&gt;"Cancelado"),$R130+ROW()/1000000,"")</f>
        <v/>
      </c>
      <c r="AA130">
        <f>IF(AND(OR($V130="Pendiente",$V130="Preparando",$V130="Enviado"),N($U130)&gt;0),$U130+ROW()/1000000,"")</f>
        <v/>
      </c>
      <c r="AB130">
        <f>IF(AND($D130="",$G130=""),"",IF($V130="Cancelado",0,$L130))</f>
        <v/>
      </c>
    </row>
    <row r="131" ht="19" customHeight="1">
      <c r="B131" s="85">
        <f>IF(AND($D131="",$G131=""),"",ROW()-7)</f>
        <v/>
      </c>
      <c r="C131" s="75" t="n"/>
      <c r="D131" s="76" t="n"/>
      <c r="E131" s="77" t="n"/>
      <c r="F131" s="86">
        <f>IF($Y131="","",HYPERLINK("https://wa.me/"&amp;$Y131&amp;"?text="&amp;SUBSTITUTE("Hola "&amp;$D131&amp;", te escribo por tu pedido de "&amp;$G131&amp;"."," ","%20"),"Abrir chat"))</f>
        <v/>
      </c>
      <c r="G131" s="79" t="n"/>
      <c r="H131" s="80" t="n"/>
      <c r="I131" s="81" t="n"/>
      <c r="J131" s="81" t="n"/>
      <c r="K131" s="81" t="n"/>
      <c r="L131" s="82">
        <f>IF(AND($D131="",$G131=""),"",IF(N($H131)=0,1,$H131)*N($I131)-N($J131)+N($K131))</f>
        <v/>
      </c>
      <c r="M131" s="81" t="n"/>
      <c r="N131" s="81" t="n"/>
      <c r="O131" s="87">
        <f>IF(OR(AND($D131="",$G131=""),$M131="",$V131="Cancelado"),"",$L131-N($M131)-N($N131))</f>
        <v/>
      </c>
      <c r="P131" s="79" t="n"/>
      <c r="Q131" s="81" t="n"/>
      <c r="R131" s="82">
        <f>IF(AND($D131="",$G131=""),"",IF($V131="Cancelado",0,MAX(0,$L131-N($Q131))))</f>
        <v/>
      </c>
      <c r="S131" s="63">
        <f>IF(AND($D131="",$G131=""),"",IF($V131="Cancelado","Cancelado",IF($L131&lt;=0,"",IF(N($Q131)&gt;=$L131,"✔ Pagado",IF(N($Q131)&gt;0,"⚠ Pago parcial","✖ Sin pagar")))))</f>
        <v/>
      </c>
      <c r="T131" s="79" t="n"/>
      <c r="U131" s="75" t="n"/>
      <c r="V131" s="84" t="n"/>
      <c r="W131" s="64">
        <f>IF(AND($D131="",$G131=""),"",IF($C131="","⚠ Falta la fecha del pedido",IF($V131="","⚠ Elegí el estado de entrega",IF($V131="Cancelado","Cancelado",IF($V131="Entregado",IF($R131&gt;0,"⚠ Entregado: falta cobrar","✔ Cerrado"),IF(AND(N($U131)&gt;0,$U131&lt;TODAY()),"✖ Entrega atrasada ("&amp;(TODAY()-$U131)&amp;" d)","En curso"))))))</f>
        <v/>
      </c>
      <c r="X131" s="79" t="n"/>
      <c r="Y131">
        <f>IF($E131&amp;""="","",IF(LEFT(SUBSTITUTE(SUBSTITUTE(SUBSTITUTE(SUBSTITUTE(SUBSTITUTE($E131&amp;""," ",""),"-",""),"+",""),"(",""),")",""),1)="0",PaisCod&amp;MID(SUBSTITUTE(SUBSTITUTE(SUBSTITUTE(SUBSTITUTE(SUBSTITUTE($E131&amp;""," ",""),"-",""),"+",""),"(",""),")",""),2,20),SUBSTITUTE(SUBSTITUTE(SUBSTITUTE(SUBSTITUTE(SUBSTITUTE($E131&amp;""," ",""),"-",""),"+",""),"(",""),")","")))</f>
        <v/>
      </c>
      <c r="Z131">
        <f>IF(AND(N($R131)&gt;0,$V131&lt;&gt;"Cancelado"),$R131+ROW()/1000000,"")</f>
        <v/>
      </c>
      <c r="AA131">
        <f>IF(AND(OR($V131="Pendiente",$V131="Preparando",$V131="Enviado"),N($U131)&gt;0),$U131+ROW()/1000000,"")</f>
        <v/>
      </c>
      <c r="AB131">
        <f>IF(AND($D131="",$G131=""),"",IF($V131="Cancelado",0,$L131))</f>
        <v/>
      </c>
    </row>
    <row r="132" ht="19" customHeight="1">
      <c r="B132" s="74">
        <f>IF(AND($D132="",$G132=""),"",ROW()-7)</f>
        <v/>
      </c>
      <c r="C132" s="75" t="n"/>
      <c r="D132" s="76" t="n"/>
      <c r="E132" s="77" t="n"/>
      <c r="F132" s="78">
        <f>IF($Y132="","",HYPERLINK("https://wa.me/"&amp;$Y132&amp;"?text="&amp;SUBSTITUTE("Hola "&amp;$D132&amp;", te escribo por tu pedido de "&amp;$G132&amp;"."," ","%20"),"Abrir chat"))</f>
        <v/>
      </c>
      <c r="G132" s="79" t="n"/>
      <c r="H132" s="80" t="n"/>
      <c r="I132" s="81" t="n"/>
      <c r="J132" s="81" t="n"/>
      <c r="K132" s="81" t="n"/>
      <c r="L132" s="82">
        <f>IF(AND($D132="",$G132=""),"",IF(N($H132)=0,1,$H132)*N($I132)-N($J132)+N($K132))</f>
        <v/>
      </c>
      <c r="M132" s="81" t="n"/>
      <c r="N132" s="81" t="n"/>
      <c r="O132" s="83">
        <f>IF(OR(AND($D132="",$G132=""),$M132="",$V132="Cancelado"),"",$L132-N($M132)-N($N132))</f>
        <v/>
      </c>
      <c r="P132" s="79" t="n"/>
      <c r="Q132" s="81" t="n"/>
      <c r="R132" s="82">
        <f>IF(AND($D132="",$G132=""),"",IF($V132="Cancelado",0,MAX(0,$L132-N($Q132))))</f>
        <v/>
      </c>
      <c r="S132" s="60">
        <f>IF(AND($D132="",$G132=""),"",IF($V132="Cancelado","Cancelado",IF($L132&lt;=0,"",IF(N($Q132)&gt;=$L132,"✔ Pagado",IF(N($Q132)&gt;0,"⚠ Pago parcial","✖ Sin pagar")))))</f>
        <v/>
      </c>
      <c r="T132" s="79" t="n"/>
      <c r="U132" s="75" t="n"/>
      <c r="V132" s="84" t="n"/>
      <c r="W132" s="61">
        <f>IF(AND($D132="",$G132=""),"",IF($C132="","⚠ Falta la fecha del pedido",IF($V132="","⚠ Elegí el estado de entrega",IF($V132="Cancelado","Cancelado",IF($V132="Entregado",IF($R132&gt;0,"⚠ Entregado: falta cobrar","✔ Cerrado"),IF(AND(N($U132)&gt;0,$U132&lt;TODAY()),"✖ Entrega atrasada ("&amp;(TODAY()-$U132)&amp;" d)","En curso"))))))</f>
        <v/>
      </c>
      <c r="X132" s="79" t="n"/>
      <c r="Y132">
        <f>IF($E132&amp;""="","",IF(LEFT(SUBSTITUTE(SUBSTITUTE(SUBSTITUTE(SUBSTITUTE(SUBSTITUTE($E132&amp;""," ",""),"-",""),"+",""),"(",""),")",""),1)="0",PaisCod&amp;MID(SUBSTITUTE(SUBSTITUTE(SUBSTITUTE(SUBSTITUTE(SUBSTITUTE($E132&amp;""," ",""),"-",""),"+",""),"(",""),")",""),2,20),SUBSTITUTE(SUBSTITUTE(SUBSTITUTE(SUBSTITUTE(SUBSTITUTE($E132&amp;""," ",""),"-",""),"+",""),"(",""),")","")))</f>
        <v/>
      </c>
      <c r="Z132">
        <f>IF(AND(N($R132)&gt;0,$V132&lt;&gt;"Cancelado"),$R132+ROW()/1000000,"")</f>
        <v/>
      </c>
      <c r="AA132">
        <f>IF(AND(OR($V132="Pendiente",$V132="Preparando",$V132="Enviado"),N($U132)&gt;0),$U132+ROW()/1000000,"")</f>
        <v/>
      </c>
      <c r="AB132">
        <f>IF(AND($D132="",$G132=""),"",IF($V132="Cancelado",0,$L132))</f>
        <v/>
      </c>
    </row>
    <row r="133" ht="19" customHeight="1">
      <c r="B133" s="85">
        <f>IF(AND($D133="",$G133=""),"",ROW()-7)</f>
        <v/>
      </c>
      <c r="C133" s="75" t="n"/>
      <c r="D133" s="76" t="n"/>
      <c r="E133" s="77" t="n"/>
      <c r="F133" s="86">
        <f>IF($Y133="","",HYPERLINK("https://wa.me/"&amp;$Y133&amp;"?text="&amp;SUBSTITUTE("Hola "&amp;$D133&amp;", te escribo por tu pedido de "&amp;$G133&amp;"."," ","%20"),"Abrir chat"))</f>
        <v/>
      </c>
      <c r="G133" s="79" t="n"/>
      <c r="H133" s="80" t="n"/>
      <c r="I133" s="81" t="n"/>
      <c r="J133" s="81" t="n"/>
      <c r="K133" s="81" t="n"/>
      <c r="L133" s="82">
        <f>IF(AND($D133="",$G133=""),"",IF(N($H133)=0,1,$H133)*N($I133)-N($J133)+N($K133))</f>
        <v/>
      </c>
      <c r="M133" s="81" t="n"/>
      <c r="N133" s="81" t="n"/>
      <c r="O133" s="87">
        <f>IF(OR(AND($D133="",$G133=""),$M133="",$V133="Cancelado"),"",$L133-N($M133)-N($N133))</f>
        <v/>
      </c>
      <c r="P133" s="79" t="n"/>
      <c r="Q133" s="81" t="n"/>
      <c r="R133" s="82">
        <f>IF(AND($D133="",$G133=""),"",IF($V133="Cancelado",0,MAX(0,$L133-N($Q133))))</f>
        <v/>
      </c>
      <c r="S133" s="63">
        <f>IF(AND($D133="",$G133=""),"",IF($V133="Cancelado","Cancelado",IF($L133&lt;=0,"",IF(N($Q133)&gt;=$L133,"✔ Pagado",IF(N($Q133)&gt;0,"⚠ Pago parcial","✖ Sin pagar")))))</f>
        <v/>
      </c>
      <c r="T133" s="79" t="n"/>
      <c r="U133" s="75" t="n"/>
      <c r="V133" s="84" t="n"/>
      <c r="W133" s="64">
        <f>IF(AND($D133="",$G133=""),"",IF($C133="","⚠ Falta la fecha del pedido",IF($V133="","⚠ Elegí el estado de entrega",IF($V133="Cancelado","Cancelado",IF($V133="Entregado",IF($R133&gt;0,"⚠ Entregado: falta cobrar","✔ Cerrado"),IF(AND(N($U133)&gt;0,$U133&lt;TODAY()),"✖ Entrega atrasada ("&amp;(TODAY()-$U133)&amp;" d)","En curso"))))))</f>
        <v/>
      </c>
      <c r="X133" s="79" t="n"/>
      <c r="Y133">
        <f>IF($E133&amp;""="","",IF(LEFT(SUBSTITUTE(SUBSTITUTE(SUBSTITUTE(SUBSTITUTE(SUBSTITUTE($E133&amp;""," ",""),"-",""),"+",""),"(",""),")",""),1)="0",PaisCod&amp;MID(SUBSTITUTE(SUBSTITUTE(SUBSTITUTE(SUBSTITUTE(SUBSTITUTE($E133&amp;""," ",""),"-",""),"+",""),"(",""),")",""),2,20),SUBSTITUTE(SUBSTITUTE(SUBSTITUTE(SUBSTITUTE(SUBSTITUTE($E133&amp;""," ",""),"-",""),"+",""),"(",""),")","")))</f>
        <v/>
      </c>
      <c r="Z133">
        <f>IF(AND(N($R133)&gt;0,$V133&lt;&gt;"Cancelado"),$R133+ROW()/1000000,"")</f>
        <v/>
      </c>
      <c r="AA133">
        <f>IF(AND(OR($V133="Pendiente",$V133="Preparando",$V133="Enviado"),N($U133)&gt;0),$U133+ROW()/1000000,"")</f>
        <v/>
      </c>
      <c r="AB133">
        <f>IF(AND($D133="",$G133=""),"",IF($V133="Cancelado",0,$L133))</f>
        <v/>
      </c>
    </row>
    <row r="134" ht="19" customHeight="1">
      <c r="B134" s="74">
        <f>IF(AND($D134="",$G134=""),"",ROW()-7)</f>
        <v/>
      </c>
      <c r="C134" s="75" t="n"/>
      <c r="D134" s="76" t="n"/>
      <c r="E134" s="77" t="n"/>
      <c r="F134" s="78">
        <f>IF($Y134="","",HYPERLINK("https://wa.me/"&amp;$Y134&amp;"?text="&amp;SUBSTITUTE("Hola "&amp;$D134&amp;", te escribo por tu pedido de "&amp;$G134&amp;"."," ","%20"),"Abrir chat"))</f>
        <v/>
      </c>
      <c r="G134" s="79" t="n"/>
      <c r="H134" s="80" t="n"/>
      <c r="I134" s="81" t="n"/>
      <c r="J134" s="81" t="n"/>
      <c r="K134" s="81" t="n"/>
      <c r="L134" s="82">
        <f>IF(AND($D134="",$G134=""),"",IF(N($H134)=0,1,$H134)*N($I134)-N($J134)+N($K134))</f>
        <v/>
      </c>
      <c r="M134" s="81" t="n"/>
      <c r="N134" s="81" t="n"/>
      <c r="O134" s="83">
        <f>IF(OR(AND($D134="",$G134=""),$M134="",$V134="Cancelado"),"",$L134-N($M134)-N($N134))</f>
        <v/>
      </c>
      <c r="P134" s="79" t="n"/>
      <c r="Q134" s="81" t="n"/>
      <c r="R134" s="82">
        <f>IF(AND($D134="",$G134=""),"",IF($V134="Cancelado",0,MAX(0,$L134-N($Q134))))</f>
        <v/>
      </c>
      <c r="S134" s="60">
        <f>IF(AND($D134="",$G134=""),"",IF($V134="Cancelado","Cancelado",IF($L134&lt;=0,"",IF(N($Q134)&gt;=$L134,"✔ Pagado",IF(N($Q134)&gt;0,"⚠ Pago parcial","✖ Sin pagar")))))</f>
        <v/>
      </c>
      <c r="T134" s="79" t="n"/>
      <c r="U134" s="75" t="n"/>
      <c r="V134" s="84" t="n"/>
      <c r="W134" s="61">
        <f>IF(AND($D134="",$G134=""),"",IF($C134="","⚠ Falta la fecha del pedido",IF($V134="","⚠ Elegí el estado de entrega",IF($V134="Cancelado","Cancelado",IF($V134="Entregado",IF($R134&gt;0,"⚠ Entregado: falta cobrar","✔ Cerrado"),IF(AND(N($U134)&gt;0,$U134&lt;TODAY()),"✖ Entrega atrasada ("&amp;(TODAY()-$U134)&amp;" d)","En curso"))))))</f>
        <v/>
      </c>
      <c r="X134" s="79" t="n"/>
      <c r="Y134">
        <f>IF($E134&amp;""="","",IF(LEFT(SUBSTITUTE(SUBSTITUTE(SUBSTITUTE(SUBSTITUTE(SUBSTITUTE($E134&amp;""," ",""),"-",""),"+",""),"(",""),")",""),1)="0",PaisCod&amp;MID(SUBSTITUTE(SUBSTITUTE(SUBSTITUTE(SUBSTITUTE(SUBSTITUTE($E134&amp;""," ",""),"-",""),"+",""),"(",""),")",""),2,20),SUBSTITUTE(SUBSTITUTE(SUBSTITUTE(SUBSTITUTE(SUBSTITUTE($E134&amp;""," ",""),"-",""),"+",""),"(",""),")","")))</f>
        <v/>
      </c>
      <c r="Z134">
        <f>IF(AND(N($R134)&gt;0,$V134&lt;&gt;"Cancelado"),$R134+ROW()/1000000,"")</f>
        <v/>
      </c>
      <c r="AA134">
        <f>IF(AND(OR($V134="Pendiente",$V134="Preparando",$V134="Enviado"),N($U134)&gt;0),$U134+ROW()/1000000,"")</f>
        <v/>
      </c>
      <c r="AB134">
        <f>IF(AND($D134="",$G134=""),"",IF($V134="Cancelado",0,$L134))</f>
        <v/>
      </c>
    </row>
    <row r="135" ht="19" customHeight="1">
      <c r="B135" s="85">
        <f>IF(AND($D135="",$G135=""),"",ROW()-7)</f>
        <v/>
      </c>
      <c r="C135" s="75" t="n"/>
      <c r="D135" s="76" t="n"/>
      <c r="E135" s="77" t="n"/>
      <c r="F135" s="86">
        <f>IF($Y135="","",HYPERLINK("https://wa.me/"&amp;$Y135&amp;"?text="&amp;SUBSTITUTE("Hola "&amp;$D135&amp;", te escribo por tu pedido de "&amp;$G135&amp;"."," ","%20"),"Abrir chat"))</f>
        <v/>
      </c>
      <c r="G135" s="79" t="n"/>
      <c r="H135" s="80" t="n"/>
      <c r="I135" s="81" t="n"/>
      <c r="J135" s="81" t="n"/>
      <c r="K135" s="81" t="n"/>
      <c r="L135" s="82">
        <f>IF(AND($D135="",$G135=""),"",IF(N($H135)=0,1,$H135)*N($I135)-N($J135)+N($K135))</f>
        <v/>
      </c>
      <c r="M135" s="81" t="n"/>
      <c r="N135" s="81" t="n"/>
      <c r="O135" s="87">
        <f>IF(OR(AND($D135="",$G135=""),$M135="",$V135="Cancelado"),"",$L135-N($M135)-N($N135))</f>
        <v/>
      </c>
      <c r="P135" s="79" t="n"/>
      <c r="Q135" s="81" t="n"/>
      <c r="R135" s="82">
        <f>IF(AND($D135="",$G135=""),"",IF($V135="Cancelado",0,MAX(0,$L135-N($Q135))))</f>
        <v/>
      </c>
      <c r="S135" s="63">
        <f>IF(AND($D135="",$G135=""),"",IF($V135="Cancelado","Cancelado",IF($L135&lt;=0,"",IF(N($Q135)&gt;=$L135,"✔ Pagado",IF(N($Q135)&gt;0,"⚠ Pago parcial","✖ Sin pagar")))))</f>
        <v/>
      </c>
      <c r="T135" s="79" t="n"/>
      <c r="U135" s="75" t="n"/>
      <c r="V135" s="84" t="n"/>
      <c r="W135" s="64">
        <f>IF(AND($D135="",$G135=""),"",IF($C135="","⚠ Falta la fecha del pedido",IF($V135="","⚠ Elegí el estado de entrega",IF($V135="Cancelado","Cancelado",IF($V135="Entregado",IF($R135&gt;0,"⚠ Entregado: falta cobrar","✔ Cerrado"),IF(AND(N($U135)&gt;0,$U135&lt;TODAY()),"✖ Entrega atrasada ("&amp;(TODAY()-$U135)&amp;" d)","En curso"))))))</f>
        <v/>
      </c>
      <c r="X135" s="79" t="n"/>
      <c r="Y135">
        <f>IF($E135&amp;""="","",IF(LEFT(SUBSTITUTE(SUBSTITUTE(SUBSTITUTE(SUBSTITUTE(SUBSTITUTE($E135&amp;""," ",""),"-",""),"+",""),"(",""),")",""),1)="0",PaisCod&amp;MID(SUBSTITUTE(SUBSTITUTE(SUBSTITUTE(SUBSTITUTE(SUBSTITUTE($E135&amp;""," ",""),"-",""),"+",""),"(",""),")",""),2,20),SUBSTITUTE(SUBSTITUTE(SUBSTITUTE(SUBSTITUTE(SUBSTITUTE($E135&amp;""," ",""),"-",""),"+",""),"(",""),")","")))</f>
        <v/>
      </c>
      <c r="Z135">
        <f>IF(AND(N($R135)&gt;0,$V135&lt;&gt;"Cancelado"),$R135+ROW()/1000000,"")</f>
        <v/>
      </c>
      <c r="AA135">
        <f>IF(AND(OR($V135="Pendiente",$V135="Preparando",$V135="Enviado"),N($U135)&gt;0),$U135+ROW()/1000000,"")</f>
        <v/>
      </c>
      <c r="AB135">
        <f>IF(AND($D135="",$G135=""),"",IF($V135="Cancelado",0,$L135))</f>
        <v/>
      </c>
    </row>
    <row r="136" ht="19" customHeight="1">
      <c r="B136" s="74">
        <f>IF(AND($D136="",$G136=""),"",ROW()-7)</f>
        <v/>
      </c>
      <c r="C136" s="75" t="n"/>
      <c r="D136" s="76" t="n"/>
      <c r="E136" s="77" t="n"/>
      <c r="F136" s="78">
        <f>IF($Y136="","",HYPERLINK("https://wa.me/"&amp;$Y136&amp;"?text="&amp;SUBSTITUTE("Hola "&amp;$D136&amp;", te escribo por tu pedido de "&amp;$G136&amp;"."," ","%20"),"Abrir chat"))</f>
        <v/>
      </c>
      <c r="G136" s="79" t="n"/>
      <c r="H136" s="80" t="n"/>
      <c r="I136" s="81" t="n"/>
      <c r="J136" s="81" t="n"/>
      <c r="K136" s="81" t="n"/>
      <c r="L136" s="82">
        <f>IF(AND($D136="",$G136=""),"",IF(N($H136)=0,1,$H136)*N($I136)-N($J136)+N($K136))</f>
        <v/>
      </c>
      <c r="M136" s="81" t="n"/>
      <c r="N136" s="81" t="n"/>
      <c r="O136" s="83">
        <f>IF(OR(AND($D136="",$G136=""),$M136="",$V136="Cancelado"),"",$L136-N($M136)-N($N136))</f>
        <v/>
      </c>
      <c r="P136" s="79" t="n"/>
      <c r="Q136" s="81" t="n"/>
      <c r="R136" s="82">
        <f>IF(AND($D136="",$G136=""),"",IF($V136="Cancelado",0,MAX(0,$L136-N($Q136))))</f>
        <v/>
      </c>
      <c r="S136" s="60">
        <f>IF(AND($D136="",$G136=""),"",IF($V136="Cancelado","Cancelado",IF($L136&lt;=0,"",IF(N($Q136)&gt;=$L136,"✔ Pagado",IF(N($Q136)&gt;0,"⚠ Pago parcial","✖ Sin pagar")))))</f>
        <v/>
      </c>
      <c r="T136" s="79" t="n"/>
      <c r="U136" s="75" t="n"/>
      <c r="V136" s="84" t="n"/>
      <c r="W136" s="61">
        <f>IF(AND($D136="",$G136=""),"",IF($C136="","⚠ Falta la fecha del pedido",IF($V136="","⚠ Elegí el estado de entrega",IF($V136="Cancelado","Cancelado",IF($V136="Entregado",IF($R136&gt;0,"⚠ Entregado: falta cobrar","✔ Cerrado"),IF(AND(N($U136)&gt;0,$U136&lt;TODAY()),"✖ Entrega atrasada ("&amp;(TODAY()-$U136)&amp;" d)","En curso"))))))</f>
        <v/>
      </c>
      <c r="X136" s="79" t="n"/>
      <c r="Y136">
        <f>IF($E136&amp;""="","",IF(LEFT(SUBSTITUTE(SUBSTITUTE(SUBSTITUTE(SUBSTITUTE(SUBSTITUTE($E136&amp;""," ",""),"-",""),"+",""),"(",""),")",""),1)="0",PaisCod&amp;MID(SUBSTITUTE(SUBSTITUTE(SUBSTITUTE(SUBSTITUTE(SUBSTITUTE($E136&amp;""," ",""),"-",""),"+",""),"(",""),")",""),2,20),SUBSTITUTE(SUBSTITUTE(SUBSTITUTE(SUBSTITUTE(SUBSTITUTE($E136&amp;""," ",""),"-",""),"+",""),"(",""),")","")))</f>
        <v/>
      </c>
      <c r="Z136">
        <f>IF(AND(N($R136)&gt;0,$V136&lt;&gt;"Cancelado"),$R136+ROW()/1000000,"")</f>
        <v/>
      </c>
      <c r="AA136">
        <f>IF(AND(OR($V136="Pendiente",$V136="Preparando",$V136="Enviado"),N($U136)&gt;0),$U136+ROW()/1000000,"")</f>
        <v/>
      </c>
      <c r="AB136">
        <f>IF(AND($D136="",$G136=""),"",IF($V136="Cancelado",0,$L136))</f>
        <v/>
      </c>
    </row>
    <row r="137" ht="19" customHeight="1">
      <c r="B137" s="85">
        <f>IF(AND($D137="",$G137=""),"",ROW()-7)</f>
        <v/>
      </c>
      <c r="C137" s="75" t="n"/>
      <c r="D137" s="76" t="n"/>
      <c r="E137" s="77" t="n"/>
      <c r="F137" s="86">
        <f>IF($Y137="","",HYPERLINK("https://wa.me/"&amp;$Y137&amp;"?text="&amp;SUBSTITUTE("Hola "&amp;$D137&amp;", te escribo por tu pedido de "&amp;$G137&amp;"."," ","%20"),"Abrir chat"))</f>
        <v/>
      </c>
      <c r="G137" s="79" t="n"/>
      <c r="H137" s="80" t="n"/>
      <c r="I137" s="81" t="n"/>
      <c r="J137" s="81" t="n"/>
      <c r="K137" s="81" t="n"/>
      <c r="L137" s="82">
        <f>IF(AND($D137="",$G137=""),"",IF(N($H137)=0,1,$H137)*N($I137)-N($J137)+N($K137))</f>
        <v/>
      </c>
      <c r="M137" s="81" t="n"/>
      <c r="N137" s="81" t="n"/>
      <c r="O137" s="87">
        <f>IF(OR(AND($D137="",$G137=""),$M137="",$V137="Cancelado"),"",$L137-N($M137)-N($N137))</f>
        <v/>
      </c>
      <c r="P137" s="79" t="n"/>
      <c r="Q137" s="81" t="n"/>
      <c r="R137" s="82">
        <f>IF(AND($D137="",$G137=""),"",IF($V137="Cancelado",0,MAX(0,$L137-N($Q137))))</f>
        <v/>
      </c>
      <c r="S137" s="63">
        <f>IF(AND($D137="",$G137=""),"",IF($V137="Cancelado","Cancelado",IF($L137&lt;=0,"",IF(N($Q137)&gt;=$L137,"✔ Pagado",IF(N($Q137)&gt;0,"⚠ Pago parcial","✖ Sin pagar")))))</f>
        <v/>
      </c>
      <c r="T137" s="79" t="n"/>
      <c r="U137" s="75" t="n"/>
      <c r="V137" s="84" t="n"/>
      <c r="W137" s="64">
        <f>IF(AND($D137="",$G137=""),"",IF($C137="","⚠ Falta la fecha del pedido",IF($V137="","⚠ Elegí el estado de entrega",IF($V137="Cancelado","Cancelado",IF($V137="Entregado",IF($R137&gt;0,"⚠ Entregado: falta cobrar","✔ Cerrado"),IF(AND(N($U137)&gt;0,$U137&lt;TODAY()),"✖ Entrega atrasada ("&amp;(TODAY()-$U137)&amp;" d)","En curso"))))))</f>
        <v/>
      </c>
      <c r="X137" s="79" t="n"/>
      <c r="Y137">
        <f>IF($E137&amp;""="","",IF(LEFT(SUBSTITUTE(SUBSTITUTE(SUBSTITUTE(SUBSTITUTE(SUBSTITUTE($E137&amp;""," ",""),"-",""),"+",""),"(",""),")",""),1)="0",PaisCod&amp;MID(SUBSTITUTE(SUBSTITUTE(SUBSTITUTE(SUBSTITUTE(SUBSTITUTE($E137&amp;""," ",""),"-",""),"+",""),"(",""),")",""),2,20),SUBSTITUTE(SUBSTITUTE(SUBSTITUTE(SUBSTITUTE(SUBSTITUTE($E137&amp;""," ",""),"-",""),"+",""),"(",""),")","")))</f>
        <v/>
      </c>
      <c r="Z137">
        <f>IF(AND(N($R137)&gt;0,$V137&lt;&gt;"Cancelado"),$R137+ROW()/1000000,"")</f>
        <v/>
      </c>
      <c r="AA137">
        <f>IF(AND(OR($V137="Pendiente",$V137="Preparando",$V137="Enviado"),N($U137)&gt;0),$U137+ROW()/1000000,"")</f>
        <v/>
      </c>
      <c r="AB137">
        <f>IF(AND($D137="",$G137=""),"",IF($V137="Cancelado",0,$L137))</f>
        <v/>
      </c>
    </row>
    <row r="138" ht="19" customHeight="1">
      <c r="B138" s="74">
        <f>IF(AND($D138="",$G138=""),"",ROW()-7)</f>
        <v/>
      </c>
      <c r="C138" s="75" t="n"/>
      <c r="D138" s="76" t="n"/>
      <c r="E138" s="77" t="n"/>
      <c r="F138" s="78">
        <f>IF($Y138="","",HYPERLINK("https://wa.me/"&amp;$Y138&amp;"?text="&amp;SUBSTITUTE("Hola "&amp;$D138&amp;", te escribo por tu pedido de "&amp;$G138&amp;"."," ","%20"),"Abrir chat"))</f>
        <v/>
      </c>
      <c r="G138" s="79" t="n"/>
      <c r="H138" s="80" t="n"/>
      <c r="I138" s="81" t="n"/>
      <c r="J138" s="81" t="n"/>
      <c r="K138" s="81" t="n"/>
      <c r="L138" s="82">
        <f>IF(AND($D138="",$G138=""),"",IF(N($H138)=0,1,$H138)*N($I138)-N($J138)+N($K138))</f>
        <v/>
      </c>
      <c r="M138" s="81" t="n"/>
      <c r="N138" s="81" t="n"/>
      <c r="O138" s="83">
        <f>IF(OR(AND($D138="",$G138=""),$M138="",$V138="Cancelado"),"",$L138-N($M138)-N($N138))</f>
        <v/>
      </c>
      <c r="P138" s="79" t="n"/>
      <c r="Q138" s="81" t="n"/>
      <c r="R138" s="82">
        <f>IF(AND($D138="",$G138=""),"",IF($V138="Cancelado",0,MAX(0,$L138-N($Q138))))</f>
        <v/>
      </c>
      <c r="S138" s="60">
        <f>IF(AND($D138="",$G138=""),"",IF($V138="Cancelado","Cancelado",IF($L138&lt;=0,"",IF(N($Q138)&gt;=$L138,"✔ Pagado",IF(N($Q138)&gt;0,"⚠ Pago parcial","✖ Sin pagar")))))</f>
        <v/>
      </c>
      <c r="T138" s="79" t="n"/>
      <c r="U138" s="75" t="n"/>
      <c r="V138" s="84" t="n"/>
      <c r="W138" s="61">
        <f>IF(AND($D138="",$G138=""),"",IF($C138="","⚠ Falta la fecha del pedido",IF($V138="","⚠ Elegí el estado de entrega",IF($V138="Cancelado","Cancelado",IF($V138="Entregado",IF($R138&gt;0,"⚠ Entregado: falta cobrar","✔ Cerrado"),IF(AND(N($U138)&gt;0,$U138&lt;TODAY()),"✖ Entrega atrasada ("&amp;(TODAY()-$U138)&amp;" d)","En curso"))))))</f>
        <v/>
      </c>
      <c r="X138" s="79" t="n"/>
      <c r="Y138">
        <f>IF($E138&amp;""="","",IF(LEFT(SUBSTITUTE(SUBSTITUTE(SUBSTITUTE(SUBSTITUTE(SUBSTITUTE($E138&amp;""," ",""),"-",""),"+",""),"(",""),")",""),1)="0",PaisCod&amp;MID(SUBSTITUTE(SUBSTITUTE(SUBSTITUTE(SUBSTITUTE(SUBSTITUTE($E138&amp;""," ",""),"-",""),"+",""),"(",""),")",""),2,20),SUBSTITUTE(SUBSTITUTE(SUBSTITUTE(SUBSTITUTE(SUBSTITUTE($E138&amp;""," ",""),"-",""),"+",""),"(",""),")","")))</f>
        <v/>
      </c>
      <c r="Z138">
        <f>IF(AND(N($R138)&gt;0,$V138&lt;&gt;"Cancelado"),$R138+ROW()/1000000,"")</f>
        <v/>
      </c>
      <c r="AA138">
        <f>IF(AND(OR($V138="Pendiente",$V138="Preparando",$V138="Enviado"),N($U138)&gt;0),$U138+ROW()/1000000,"")</f>
        <v/>
      </c>
      <c r="AB138">
        <f>IF(AND($D138="",$G138=""),"",IF($V138="Cancelado",0,$L138))</f>
        <v/>
      </c>
    </row>
    <row r="139" ht="19" customHeight="1">
      <c r="B139" s="85">
        <f>IF(AND($D139="",$G139=""),"",ROW()-7)</f>
        <v/>
      </c>
      <c r="C139" s="75" t="n"/>
      <c r="D139" s="76" t="n"/>
      <c r="E139" s="77" t="n"/>
      <c r="F139" s="86">
        <f>IF($Y139="","",HYPERLINK("https://wa.me/"&amp;$Y139&amp;"?text="&amp;SUBSTITUTE("Hola "&amp;$D139&amp;", te escribo por tu pedido de "&amp;$G139&amp;"."," ","%20"),"Abrir chat"))</f>
        <v/>
      </c>
      <c r="G139" s="79" t="n"/>
      <c r="H139" s="80" t="n"/>
      <c r="I139" s="81" t="n"/>
      <c r="J139" s="81" t="n"/>
      <c r="K139" s="81" t="n"/>
      <c r="L139" s="82">
        <f>IF(AND($D139="",$G139=""),"",IF(N($H139)=0,1,$H139)*N($I139)-N($J139)+N($K139))</f>
        <v/>
      </c>
      <c r="M139" s="81" t="n"/>
      <c r="N139" s="81" t="n"/>
      <c r="O139" s="87">
        <f>IF(OR(AND($D139="",$G139=""),$M139="",$V139="Cancelado"),"",$L139-N($M139)-N($N139))</f>
        <v/>
      </c>
      <c r="P139" s="79" t="n"/>
      <c r="Q139" s="81" t="n"/>
      <c r="R139" s="82">
        <f>IF(AND($D139="",$G139=""),"",IF($V139="Cancelado",0,MAX(0,$L139-N($Q139))))</f>
        <v/>
      </c>
      <c r="S139" s="63">
        <f>IF(AND($D139="",$G139=""),"",IF($V139="Cancelado","Cancelado",IF($L139&lt;=0,"",IF(N($Q139)&gt;=$L139,"✔ Pagado",IF(N($Q139)&gt;0,"⚠ Pago parcial","✖ Sin pagar")))))</f>
        <v/>
      </c>
      <c r="T139" s="79" t="n"/>
      <c r="U139" s="75" t="n"/>
      <c r="V139" s="84" t="n"/>
      <c r="W139" s="64">
        <f>IF(AND($D139="",$G139=""),"",IF($C139="","⚠ Falta la fecha del pedido",IF($V139="","⚠ Elegí el estado de entrega",IF($V139="Cancelado","Cancelado",IF($V139="Entregado",IF($R139&gt;0,"⚠ Entregado: falta cobrar","✔ Cerrado"),IF(AND(N($U139)&gt;0,$U139&lt;TODAY()),"✖ Entrega atrasada ("&amp;(TODAY()-$U139)&amp;" d)","En curso"))))))</f>
        <v/>
      </c>
      <c r="X139" s="79" t="n"/>
      <c r="Y139">
        <f>IF($E139&amp;""="","",IF(LEFT(SUBSTITUTE(SUBSTITUTE(SUBSTITUTE(SUBSTITUTE(SUBSTITUTE($E139&amp;""," ",""),"-",""),"+",""),"(",""),")",""),1)="0",PaisCod&amp;MID(SUBSTITUTE(SUBSTITUTE(SUBSTITUTE(SUBSTITUTE(SUBSTITUTE($E139&amp;""," ",""),"-",""),"+",""),"(",""),")",""),2,20),SUBSTITUTE(SUBSTITUTE(SUBSTITUTE(SUBSTITUTE(SUBSTITUTE($E139&amp;""," ",""),"-",""),"+",""),"(",""),")","")))</f>
        <v/>
      </c>
      <c r="Z139">
        <f>IF(AND(N($R139)&gt;0,$V139&lt;&gt;"Cancelado"),$R139+ROW()/1000000,"")</f>
        <v/>
      </c>
      <c r="AA139">
        <f>IF(AND(OR($V139="Pendiente",$V139="Preparando",$V139="Enviado"),N($U139)&gt;0),$U139+ROW()/1000000,"")</f>
        <v/>
      </c>
      <c r="AB139">
        <f>IF(AND($D139="",$G139=""),"",IF($V139="Cancelado",0,$L139))</f>
        <v/>
      </c>
    </row>
    <row r="140" ht="19" customHeight="1">
      <c r="B140" s="74">
        <f>IF(AND($D140="",$G140=""),"",ROW()-7)</f>
        <v/>
      </c>
      <c r="C140" s="75" t="n"/>
      <c r="D140" s="76" t="n"/>
      <c r="E140" s="77" t="n"/>
      <c r="F140" s="78">
        <f>IF($Y140="","",HYPERLINK("https://wa.me/"&amp;$Y140&amp;"?text="&amp;SUBSTITUTE("Hola "&amp;$D140&amp;", te escribo por tu pedido de "&amp;$G140&amp;"."," ","%20"),"Abrir chat"))</f>
        <v/>
      </c>
      <c r="G140" s="79" t="n"/>
      <c r="H140" s="80" t="n"/>
      <c r="I140" s="81" t="n"/>
      <c r="J140" s="81" t="n"/>
      <c r="K140" s="81" t="n"/>
      <c r="L140" s="82">
        <f>IF(AND($D140="",$G140=""),"",IF(N($H140)=0,1,$H140)*N($I140)-N($J140)+N($K140))</f>
        <v/>
      </c>
      <c r="M140" s="81" t="n"/>
      <c r="N140" s="81" t="n"/>
      <c r="O140" s="83">
        <f>IF(OR(AND($D140="",$G140=""),$M140="",$V140="Cancelado"),"",$L140-N($M140)-N($N140))</f>
        <v/>
      </c>
      <c r="P140" s="79" t="n"/>
      <c r="Q140" s="81" t="n"/>
      <c r="R140" s="82">
        <f>IF(AND($D140="",$G140=""),"",IF($V140="Cancelado",0,MAX(0,$L140-N($Q140))))</f>
        <v/>
      </c>
      <c r="S140" s="60">
        <f>IF(AND($D140="",$G140=""),"",IF($V140="Cancelado","Cancelado",IF($L140&lt;=0,"",IF(N($Q140)&gt;=$L140,"✔ Pagado",IF(N($Q140)&gt;0,"⚠ Pago parcial","✖ Sin pagar")))))</f>
        <v/>
      </c>
      <c r="T140" s="79" t="n"/>
      <c r="U140" s="75" t="n"/>
      <c r="V140" s="84" t="n"/>
      <c r="W140" s="61">
        <f>IF(AND($D140="",$G140=""),"",IF($C140="","⚠ Falta la fecha del pedido",IF($V140="","⚠ Elegí el estado de entrega",IF($V140="Cancelado","Cancelado",IF($V140="Entregado",IF($R140&gt;0,"⚠ Entregado: falta cobrar","✔ Cerrado"),IF(AND(N($U140)&gt;0,$U140&lt;TODAY()),"✖ Entrega atrasada ("&amp;(TODAY()-$U140)&amp;" d)","En curso"))))))</f>
        <v/>
      </c>
      <c r="X140" s="79" t="n"/>
      <c r="Y140">
        <f>IF($E140&amp;""="","",IF(LEFT(SUBSTITUTE(SUBSTITUTE(SUBSTITUTE(SUBSTITUTE(SUBSTITUTE($E140&amp;""," ",""),"-",""),"+",""),"(",""),")",""),1)="0",PaisCod&amp;MID(SUBSTITUTE(SUBSTITUTE(SUBSTITUTE(SUBSTITUTE(SUBSTITUTE($E140&amp;""," ",""),"-",""),"+",""),"(",""),")",""),2,20),SUBSTITUTE(SUBSTITUTE(SUBSTITUTE(SUBSTITUTE(SUBSTITUTE($E140&amp;""," ",""),"-",""),"+",""),"(",""),")","")))</f>
        <v/>
      </c>
      <c r="Z140">
        <f>IF(AND(N($R140)&gt;0,$V140&lt;&gt;"Cancelado"),$R140+ROW()/1000000,"")</f>
        <v/>
      </c>
      <c r="AA140">
        <f>IF(AND(OR($V140="Pendiente",$V140="Preparando",$V140="Enviado"),N($U140)&gt;0),$U140+ROW()/1000000,"")</f>
        <v/>
      </c>
      <c r="AB140">
        <f>IF(AND($D140="",$G140=""),"",IF($V140="Cancelado",0,$L140))</f>
        <v/>
      </c>
    </row>
    <row r="141" ht="19" customHeight="1">
      <c r="B141" s="85">
        <f>IF(AND($D141="",$G141=""),"",ROW()-7)</f>
        <v/>
      </c>
      <c r="C141" s="75" t="n"/>
      <c r="D141" s="76" t="n"/>
      <c r="E141" s="77" t="n"/>
      <c r="F141" s="86">
        <f>IF($Y141="","",HYPERLINK("https://wa.me/"&amp;$Y141&amp;"?text="&amp;SUBSTITUTE("Hola "&amp;$D141&amp;", te escribo por tu pedido de "&amp;$G141&amp;"."," ","%20"),"Abrir chat"))</f>
        <v/>
      </c>
      <c r="G141" s="79" t="n"/>
      <c r="H141" s="80" t="n"/>
      <c r="I141" s="81" t="n"/>
      <c r="J141" s="81" t="n"/>
      <c r="K141" s="81" t="n"/>
      <c r="L141" s="82">
        <f>IF(AND($D141="",$G141=""),"",IF(N($H141)=0,1,$H141)*N($I141)-N($J141)+N($K141))</f>
        <v/>
      </c>
      <c r="M141" s="81" t="n"/>
      <c r="N141" s="81" t="n"/>
      <c r="O141" s="87">
        <f>IF(OR(AND($D141="",$G141=""),$M141="",$V141="Cancelado"),"",$L141-N($M141)-N($N141))</f>
        <v/>
      </c>
      <c r="P141" s="79" t="n"/>
      <c r="Q141" s="81" t="n"/>
      <c r="R141" s="82">
        <f>IF(AND($D141="",$G141=""),"",IF($V141="Cancelado",0,MAX(0,$L141-N($Q141))))</f>
        <v/>
      </c>
      <c r="S141" s="63">
        <f>IF(AND($D141="",$G141=""),"",IF($V141="Cancelado","Cancelado",IF($L141&lt;=0,"",IF(N($Q141)&gt;=$L141,"✔ Pagado",IF(N($Q141)&gt;0,"⚠ Pago parcial","✖ Sin pagar")))))</f>
        <v/>
      </c>
      <c r="T141" s="79" t="n"/>
      <c r="U141" s="75" t="n"/>
      <c r="V141" s="84" t="n"/>
      <c r="W141" s="64">
        <f>IF(AND($D141="",$G141=""),"",IF($C141="","⚠ Falta la fecha del pedido",IF($V141="","⚠ Elegí el estado de entrega",IF($V141="Cancelado","Cancelado",IF($V141="Entregado",IF($R141&gt;0,"⚠ Entregado: falta cobrar","✔ Cerrado"),IF(AND(N($U141)&gt;0,$U141&lt;TODAY()),"✖ Entrega atrasada ("&amp;(TODAY()-$U141)&amp;" d)","En curso"))))))</f>
        <v/>
      </c>
      <c r="X141" s="79" t="n"/>
      <c r="Y141">
        <f>IF($E141&amp;""="","",IF(LEFT(SUBSTITUTE(SUBSTITUTE(SUBSTITUTE(SUBSTITUTE(SUBSTITUTE($E141&amp;""," ",""),"-",""),"+",""),"(",""),")",""),1)="0",PaisCod&amp;MID(SUBSTITUTE(SUBSTITUTE(SUBSTITUTE(SUBSTITUTE(SUBSTITUTE($E141&amp;""," ",""),"-",""),"+",""),"(",""),")",""),2,20),SUBSTITUTE(SUBSTITUTE(SUBSTITUTE(SUBSTITUTE(SUBSTITUTE($E141&amp;""," ",""),"-",""),"+",""),"(",""),")","")))</f>
        <v/>
      </c>
      <c r="Z141">
        <f>IF(AND(N($R141)&gt;0,$V141&lt;&gt;"Cancelado"),$R141+ROW()/1000000,"")</f>
        <v/>
      </c>
      <c r="AA141">
        <f>IF(AND(OR($V141="Pendiente",$V141="Preparando",$V141="Enviado"),N($U141)&gt;0),$U141+ROW()/1000000,"")</f>
        <v/>
      </c>
      <c r="AB141">
        <f>IF(AND($D141="",$G141=""),"",IF($V141="Cancelado",0,$L141))</f>
        <v/>
      </c>
    </row>
    <row r="142" ht="19" customHeight="1">
      <c r="B142" s="74">
        <f>IF(AND($D142="",$G142=""),"",ROW()-7)</f>
        <v/>
      </c>
      <c r="C142" s="75" t="n"/>
      <c r="D142" s="76" t="n"/>
      <c r="E142" s="77" t="n"/>
      <c r="F142" s="78">
        <f>IF($Y142="","",HYPERLINK("https://wa.me/"&amp;$Y142&amp;"?text="&amp;SUBSTITUTE("Hola "&amp;$D142&amp;", te escribo por tu pedido de "&amp;$G142&amp;"."," ","%20"),"Abrir chat"))</f>
        <v/>
      </c>
      <c r="G142" s="79" t="n"/>
      <c r="H142" s="80" t="n"/>
      <c r="I142" s="81" t="n"/>
      <c r="J142" s="81" t="n"/>
      <c r="K142" s="81" t="n"/>
      <c r="L142" s="82">
        <f>IF(AND($D142="",$G142=""),"",IF(N($H142)=0,1,$H142)*N($I142)-N($J142)+N($K142))</f>
        <v/>
      </c>
      <c r="M142" s="81" t="n"/>
      <c r="N142" s="81" t="n"/>
      <c r="O142" s="83">
        <f>IF(OR(AND($D142="",$G142=""),$M142="",$V142="Cancelado"),"",$L142-N($M142)-N($N142))</f>
        <v/>
      </c>
      <c r="P142" s="79" t="n"/>
      <c r="Q142" s="81" t="n"/>
      <c r="R142" s="82">
        <f>IF(AND($D142="",$G142=""),"",IF($V142="Cancelado",0,MAX(0,$L142-N($Q142))))</f>
        <v/>
      </c>
      <c r="S142" s="60">
        <f>IF(AND($D142="",$G142=""),"",IF($V142="Cancelado","Cancelado",IF($L142&lt;=0,"",IF(N($Q142)&gt;=$L142,"✔ Pagado",IF(N($Q142)&gt;0,"⚠ Pago parcial","✖ Sin pagar")))))</f>
        <v/>
      </c>
      <c r="T142" s="79" t="n"/>
      <c r="U142" s="75" t="n"/>
      <c r="V142" s="84" t="n"/>
      <c r="W142" s="61">
        <f>IF(AND($D142="",$G142=""),"",IF($C142="","⚠ Falta la fecha del pedido",IF($V142="","⚠ Elegí el estado de entrega",IF($V142="Cancelado","Cancelado",IF($V142="Entregado",IF($R142&gt;0,"⚠ Entregado: falta cobrar","✔ Cerrado"),IF(AND(N($U142)&gt;0,$U142&lt;TODAY()),"✖ Entrega atrasada ("&amp;(TODAY()-$U142)&amp;" d)","En curso"))))))</f>
        <v/>
      </c>
      <c r="X142" s="79" t="n"/>
      <c r="Y142">
        <f>IF($E142&amp;""="","",IF(LEFT(SUBSTITUTE(SUBSTITUTE(SUBSTITUTE(SUBSTITUTE(SUBSTITUTE($E142&amp;""," ",""),"-",""),"+",""),"(",""),")",""),1)="0",PaisCod&amp;MID(SUBSTITUTE(SUBSTITUTE(SUBSTITUTE(SUBSTITUTE(SUBSTITUTE($E142&amp;""," ",""),"-",""),"+",""),"(",""),")",""),2,20),SUBSTITUTE(SUBSTITUTE(SUBSTITUTE(SUBSTITUTE(SUBSTITUTE($E142&amp;""," ",""),"-",""),"+",""),"(",""),")","")))</f>
        <v/>
      </c>
      <c r="Z142">
        <f>IF(AND(N($R142)&gt;0,$V142&lt;&gt;"Cancelado"),$R142+ROW()/1000000,"")</f>
        <v/>
      </c>
      <c r="AA142">
        <f>IF(AND(OR($V142="Pendiente",$V142="Preparando",$V142="Enviado"),N($U142)&gt;0),$U142+ROW()/1000000,"")</f>
        <v/>
      </c>
      <c r="AB142">
        <f>IF(AND($D142="",$G142=""),"",IF($V142="Cancelado",0,$L142))</f>
        <v/>
      </c>
    </row>
    <row r="143" ht="19" customHeight="1">
      <c r="B143" s="85">
        <f>IF(AND($D143="",$G143=""),"",ROW()-7)</f>
        <v/>
      </c>
      <c r="C143" s="75" t="n"/>
      <c r="D143" s="76" t="n"/>
      <c r="E143" s="77" t="n"/>
      <c r="F143" s="86">
        <f>IF($Y143="","",HYPERLINK("https://wa.me/"&amp;$Y143&amp;"?text="&amp;SUBSTITUTE("Hola "&amp;$D143&amp;", te escribo por tu pedido de "&amp;$G143&amp;"."," ","%20"),"Abrir chat"))</f>
        <v/>
      </c>
      <c r="G143" s="79" t="n"/>
      <c r="H143" s="80" t="n"/>
      <c r="I143" s="81" t="n"/>
      <c r="J143" s="81" t="n"/>
      <c r="K143" s="81" t="n"/>
      <c r="L143" s="82">
        <f>IF(AND($D143="",$G143=""),"",IF(N($H143)=0,1,$H143)*N($I143)-N($J143)+N($K143))</f>
        <v/>
      </c>
      <c r="M143" s="81" t="n"/>
      <c r="N143" s="81" t="n"/>
      <c r="O143" s="87">
        <f>IF(OR(AND($D143="",$G143=""),$M143="",$V143="Cancelado"),"",$L143-N($M143)-N($N143))</f>
        <v/>
      </c>
      <c r="P143" s="79" t="n"/>
      <c r="Q143" s="81" t="n"/>
      <c r="R143" s="82">
        <f>IF(AND($D143="",$G143=""),"",IF($V143="Cancelado",0,MAX(0,$L143-N($Q143))))</f>
        <v/>
      </c>
      <c r="S143" s="63">
        <f>IF(AND($D143="",$G143=""),"",IF($V143="Cancelado","Cancelado",IF($L143&lt;=0,"",IF(N($Q143)&gt;=$L143,"✔ Pagado",IF(N($Q143)&gt;0,"⚠ Pago parcial","✖ Sin pagar")))))</f>
        <v/>
      </c>
      <c r="T143" s="79" t="n"/>
      <c r="U143" s="75" t="n"/>
      <c r="V143" s="84" t="n"/>
      <c r="W143" s="64">
        <f>IF(AND($D143="",$G143=""),"",IF($C143="","⚠ Falta la fecha del pedido",IF($V143="","⚠ Elegí el estado de entrega",IF($V143="Cancelado","Cancelado",IF($V143="Entregado",IF($R143&gt;0,"⚠ Entregado: falta cobrar","✔ Cerrado"),IF(AND(N($U143)&gt;0,$U143&lt;TODAY()),"✖ Entrega atrasada ("&amp;(TODAY()-$U143)&amp;" d)","En curso"))))))</f>
        <v/>
      </c>
      <c r="X143" s="79" t="n"/>
      <c r="Y143">
        <f>IF($E143&amp;""="","",IF(LEFT(SUBSTITUTE(SUBSTITUTE(SUBSTITUTE(SUBSTITUTE(SUBSTITUTE($E143&amp;""," ",""),"-",""),"+",""),"(",""),")",""),1)="0",PaisCod&amp;MID(SUBSTITUTE(SUBSTITUTE(SUBSTITUTE(SUBSTITUTE(SUBSTITUTE($E143&amp;""," ",""),"-",""),"+",""),"(",""),")",""),2,20),SUBSTITUTE(SUBSTITUTE(SUBSTITUTE(SUBSTITUTE(SUBSTITUTE($E143&amp;""," ",""),"-",""),"+",""),"(",""),")","")))</f>
        <v/>
      </c>
      <c r="Z143">
        <f>IF(AND(N($R143)&gt;0,$V143&lt;&gt;"Cancelado"),$R143+ROW()/1000000,"")</f>
        <v/>
      </c>
      <c r="AA143">
        <f>IF(AND(OR($V143="Pendiente",$V143="Preparando",$V143="Enviado"),N($U143)&gt;0),$U143+ROW()/1000000,"")</f>
        <v/>
      </c>
      <c r="AB143">
        <f>IF(AND($D143="",$G143=""),"",IF($V143="Cancelado",0,$L143))</f>
        <v/>
      </c>
    </row>
    <row r="144" ht="19" customHeight="1">
      <c r="B144" s="74">
        <f>IF(AND($D144="",$G144=""),"",ROW()-7)</f>
        <v/>
      </c>
      <c r="C144" s="75" t="n"/>
      <c r="D144" s="76" t="n"/>
      <c r="E144" s="77" t="n"/>
      <c r="F144" s="78">
        <f>IF($Y144="","",HYPERLINK("https://wa.me/"&amp;$Y144&amp;"?text="&amp;SUBSTITUTE("Hola "&amp;$D144&amp;", te escribo por tu pedido de "&amp;$G144&amp;"."," ","%20"),"Abrir chat"))</f>
        <v/>
      </c>
      <c r="G144" s="79" t="n"/>
      <c r="H144" s="80" t="n"/>
      <c r="I144" s="81" t="n"/>
      <c r="J144" s="81" t="n"/>
      <c r="K144" s="81" t="n"/>
      <c r="L144" s="82">
        <f>IF(AND($D144="",$G144=""),"",IF(N($H144)=0,1,$H144)*N($I144)-N($J144)+N($K144))</f>
        <v/>
      </c>
      <c r="M144" s="81" t="n"/>
      <c r="N144" s="81" t="n"/>
      <c r="O144" s="83">
        <f>IF(OR(AND($D144="",$G144=""),$M144="",$V144="Cancelado"),"",$L144-N($M144)-N($N144))</f>
        <v/>
      </c>
      <c r="P144" s="79" t="n"/>
      <c r="Q144" s="81" t="n"/>
      <c r="R144" s="82">
        <f>IF(AND($D144="",$G144=""),"",IF($V144="Cancelado",0,MAX(0,$L144-N($Q144))))</f>
        <v/>
      </c>
      <c r="S144" s="60">
        <f>IF(AND($D144="",$G144=""),"",IF($V144="Cancelado","Cancelado",IF($L144&lt;=0,"",IF(N($Q144)&gt;=$L144,"✔ Pagado",IF(N($Q144)&gt;0,"⚠ Pago parcial","✖ Sin pagar")))))</f>
        <v/>
      </c>
      <c r="T144" s="79" t="n"/>
      <c r="U144" s="75" t="n"/>
      <c r="V144" s="84" t="n"/>
      <c r="W144" s="61">
        <f>IF(AND($D144="",$G144=""),"",IF($C144="","⚠ Falta la fecha del pedido",IF($V144="","⚠ Elegí el estado de entrega",IF($V144="Cancelado","Cancelado",IF($V144="Entregado",IF($R144&gt;0,"⚠ Entregado: falta cobrar","✔ Cerrado"),IF(AND(N($U144)&gt;0,$U144&lt;TODAY()),"✖ Entrega atrasada ("&amp;(TODAY()-$U144)&amp;" d)","En curso"))))))</f>
        <v/>
      </c>
      <c r="X144" s="79" t="n"/>
      <c r="Y144">
        <f>IF($E144&amp;""="","",IF(LEFT(SUBSTITUTE(SUBSTITUTE(SUBSTITUTE(SUBSTITUTE(SUBSTITUTE($E144&amp;""," ",""),"-",""),"+",""),"(",""),")",""),1)="0",PaisCod&amp;MID(SUBSTITUTE(SUBSTITUTE(SUBSTITUTE(SUBSTITUTE(SUBSTITUTE($E144&amp;""," ",""),"-",""),"+",""),"(",""),")",""),2,20),SUBSTITUTE(SUBSTITUTE(SUBSTITUTE(SUBSTITUTE(SUBSTITUTE($E144&amp;""," ",""),"-",""),"+",""),"(",""),")","")))</f>
        <v/>
      </c>
      <c r="Z144">
        <f>IF(AND(N($R144)&gt;0,$V144&lt;&gt;"Cancelado"),$R144+ROW()/1000000,"")</f>
        <v/>
      </c>
      <c r="AA144">
        <f>IF(AND(OR($V144="Pendiente",$V144="Preparando",$V144="Enviado"),N($U144)&gt;0),$U144+ROW()/1000000,"")</f>
        <v/>
      </c>
      <c r="AB144">
        <f>IF(AND($D144="",$G144=""),"",IF($V144="Cancelado",0,$L144))</f>
        <v/>
      </c>
    </row>
    <row r="145" ht="19" customHeight="1">
      <c r="B145" s="85">
        <f>IF(AND($D145="",$G145=""),"",ROW()-7)</f>
        <v/>
      </c>
      <c r="C145" s="75" t="n"/>
      <c r="D145" s="76" t="n"/>
      <c r="E145" s="77" t="n"/>
      <c r="F145" s="86">
        <f>IF($Y145="","",HYPERLINK("https://wa.me/"&amp;$Y145&amp;"?text="&amp;SUBSTITUTE("Hola "&amp;$D145&amp;", te escribo por tu pedido de "&amp;$G145&amp;"."," ","%20"),"Abrir chat"))</f>
        <v/>
      </c>
      <c r="G145" s="79" t="n"/>
      <c r="H145" s="80" t="n"/>
      <c r="I145" s="81" t="n"/>
      <c r="J145" s="81" t="n"/>
      <c r="K145" s="81" t="n"/>
      <c r="L145" s="82">
        <f>IF(AND($D145="",$G145=""),"",IF(N($H145)=0,1,$H145)*N($I145)-N($J145)+N($K145))</f>
        <v/>
      </c>
      <c r="M145" s="81" t="n"/>
      <c r="N145" s="81" t="n"/>
      <c r="O145" s="87">
        <f>IF(OR(AND($D145="",$G145=""),$M145="",$V145="Cancelado"),"",$L145-N($M145)-N($N145))</f>
        <v/>
      </c>
      <c r="P145" s="79" t="n"/>
      <c r="Q145" s="81" t="n"/>
      <c r="R145" s="82">
        <f>IF(AND($D145="",$G145=""),"",IF($V145="Cancelado",0,MAX(0,$L145-N($Q145))))</f>
        <v/>
      </c>
      <c r="S145" s="63">
        <f>IF(AND($D145="",$G145=""),"",IF($V145="Cancelado","Cancelado",IF($L145&lt;=0,"",IF(N($Q145)&gt;=$L145,"✔ Pagado",IF(N($Q145)&gt;0,"⚠ Pago parcial","✖ Sin pagar")))))</f>
        <v/>
      </c>
      <c r="T145" s="79" t="n"/>
      <c r="U145" s="75" t="n"/>
      <c r="V145" s="84" t="n"/>
      <c r="W145" s="64">
        <f>IF(AND($D145="",$G145=""),"",IF($C145="","⚠ Falta la fecha del pedido",IF($V145="","⚠ Elegí el estado de entrega",IF($V145="Cancelado","Cancelado",IF($V145="Entregado",IF($R145&gt;0,"⚠ Entregado: falta cobrar","✔ Cerrado"),IF(AND(N($U145)&gt;0,$U145&lt;TODAY()),"✖ Entrega atrasada ("&amp;(TODAY()-$U145)&amp;" d)","En curso"))))))</f>
        <v/>
      </c>
      <c r="X145" s="79" t="n"/>
      <c r="Y145">
        <f>IF($E145&amp;""="","",IF(LEFT(SUBSTITUTE(SUBSTITUTE(SUBSTITUTE(SUBSTITUTE(SUBSTITUTE($E145&amp;""," ",""),"-",""),"+",""),"(",""),")",""),1)="0",PaisCod&amp;MID(SUBSTITUTE(SUBSTITUTE(SUBSTITUTE(SUBSTITUTE(SUBSTITUTE($E145&amp;""," ",""),"-",""),"+",""),"(",""),")",""),2,20),SUBSTITUTE(SUBSTITUTE(SUBSTITUTE(SUBSTITUTE(SUBSTITUTE($E145&amp;""," ",""),"-",""),"+",""),"(",""),")","")))</f>
        <v/>
      </c>
      <c r="Z145">
        <f>IF(AND(N($R145)&gt;0,$V145&lt;&gt;"Cancelado"),$R145+ROW()/1000000,"")</f>
        <v/>
      </c>
      <c r="AA145">
        <f>IF(AND(OR($V145="Pendiente",$V145="Preparando",$V145="Enviado"),N($U145)&gt;0),$U145+ROW()/1000000,"")</f>
        <v/>
      </c>
      <c r="AB145">
        <f>IF(AND($D145="",$G145=""),"",IF($V145="Cancelado",0,$L145))</f>
        <v/>
      </c>
    </row>
    <row r="146" ht="19" customHeight="1">
      <c r="B146" s="74">
        <f>IF(AND($D146="",$G146=""),"",ROW()-7)</f>
        <v/>
      </c>
      <c r="C146" s="75" t="n"/>
      <c r="D146" s="76" t="n"/>
      <c r="E146" s="77" t="n"/>
      <c r="F146" s="78">
        <f>IF($Y146="","",HYPERLINK("https://wa.me/"&amp;$Y146&amp;"?text="&amp;SUBSTITUTE("Hola "&amp;$D146&amp;", te escribo por tu pedido de "&amp;$G146&amp;"."," ","%20"),"Abrir chat"))</f>
        <v/>
      </c>
      <c r="G146" s="79" t="n"/>
      <c r="H146" s="80" t="n"/>
      <c r="I146" s="81" t="n"/>
      <c r="J146" s="81" t="n"/>
      <c r="K146" s="81" t="n"/>
      <c r="L146" s="82">
        <f>IF(AND($D146="",$G146=""),"",IF(N($H146)=0,1,$H146)*N($I146)-N($J146)+N($K146))</f>
        <v/>
      </c>
      <c r="M146" s="81" t="n"/>
      <c r="N146" s="81" t="n"/>
      <c r="O146" s="83">
        <f>IF(OR(AND($D146="",$G146=""),$M146="",$V146="Cancelado"),"",$L146-N($M146)-N($N146))</f>
        <v/>
      </c>
      <c r="P146" s="79" t="n"/>
      <c r="Q146" s="81" t="n"/>
      <c r="R146" s="82">
        <f>IF(AND($D146="",$G146=""),"",IF($V146="Cancelado",0,MAX(0,$L146-N($Q146))))</f>
        <v/>
      </c>
      <c r="S146" s="60">
        <f>IF(AND($D146="",$G146=""),"",IF($V146="Cancelado","Cancelado",IF($L146&lt;=0,"",IF(N($Q146)&gt;=$L146,"✔ Pagado",IF(N($Q146)&gt;0,"⚠ Pago parcial","✖ Sin pagar")))))</f>
        <v/>
      </c>
      <c r="T146" s="79" t="n"/>
      <c r="U146" s="75" t="n"/>
      <c r="V146" s="84" t="n"/>
      <c r="W146" s="61">
        <f>IF(AND($D146="",$G146=""),"",IF($C146="","⚠ Falta la fecha del pedido",IF($V146="","⚠ Elegí el estado de entrega",IF($V146="Cancelado","Cancelado",IF($V146="Entregado",IF($R146&gt;0,"⚠ Entregado: falta cobrar","✔ Cerrado"),IF(AND(N($U146)&gt;0,$U146&lt;TODAY()),"✖ Entrega atrasada ("&amp;(TODAY()-$U146)&amp;" d)","En curso"))))))</f>
        <v/>
      </c>
      <c r="X146" s="79" t="n"/>
      <c r="Y146">
        <f>IF($E146&amp;""="","",IF(LEFT(SUBSTITUTE(SUBSTITUTE(SUBSTITUTE(SUBSTITUTE(SUBSTITUTE($E146&amp;""," ",""),"-",""),"+",""),"(",""),")",""),1)="0",PaisCod&amp;MID(SUBSTITUTE(SUBSTITUTE(SUBSTITUTE(SUBSTITUTE(SUBSTITUTE($E146&amp;""," ",""),"-",""),"+",""),"(",""),")",""),2,20),SUBSTITUTE(SUBSTITUTE(SUBSTITUTE(SUBSTITUTE(SUBSTITUTE($E146&amp;""," ",""),"-",""),"+",""),"(",""),")","")))</f>
        <v/>
      </c>
      <c r="Z146">
        <f>IF(AND(N($R146)&gt;0,$V146&lt;&gt;"Cancelado"),$R146+ROW()/1000000,"")</f>
        <v/>
      </c>
      <c r="AA146">
        <f>IF(AND(OR($V146="Pendiente",$V146="Preparando",$V146="Enviado"),N($U146)&gt;0),$U146+ROW()/1000000,"")</f>
        <v/>
      </c>
      <c r="AB146">
        <f>IF(AND($D146="",$G146=""),"",IF($V146="Cancelado",0,$L146))</f>
        <v/>
      </c>
    </row>
    <row r="147" ht="19" customHeight="1">
      <c r="B147" s="85">
        <f>IF(AND($D147="",$G147=""),"",ROW()-7)</f>
        <v/>
      </c>
      <c r="C147" s="75" t="n"/>
      <c r="D147" s="76" t="n"/>
      <c r="E147" s="77" t="n"/>
      <c r="F147" s="86">
        <f>IF($Y147="","",HYPERLINK("https://wa.me/"&amp;$Y147&amp;"?text="&amp;SUBSTITUTE("Hola "&amp;$D147&amp;", te escribo por tu pedido de "&amp;$G147&amp;"."," ","%20"),"Abrir chat"))</f>
        <v/>
      </c>
      <c r="G147" s="79" t="n"/>
      <c r="H147" s="80" t="n"/>
      <c r="I147" s="81" t="n"/>
      <c r="J147" s="81" t="n"/>
      <c r="K147" s="81" t="n"/>
      <c r="L147" s="82">
        <f>IF(AND($D147="",$G147=""),"",IF(N($H147)=0,1,$H147)*N($I147)-N($J147)+N($K147))</f>
        <v/>
      </c>
      <c r="M147" s="81" t="n"/>
      <c r="N147" s="81" t="n"/>
      <c r="O147" s="87">
        <f>IF(OR(AND($D147="",$G147=""),$M147="",$V147="Cancelado"),"",$L147-N($M147)-N($N147))</f>
        <v/>
      </c>
      <c r="P147" s="79" t="n"/>
      <c r="Q147" s="81" t="n"/>
      <c r="R147" s="82">
        <f>IF(AND($D147="",$G147=""),"",IF($V147="Cancelado",0,MAX(0,$L147-N($Q147))))</f>
        <v/>
      </c>
      <c r="S147" s="63">
        <f>IF(AND($D147="",$G147=""),"",IF($V147="Cancelado","Cancelado",IF($L147&lt;=0,"",IF(N($Q147)&gt;=$L147,"✔ Pagado",IF(N($Q147)&gt;0,"⚠ Pago parcial","✖ Sin pagar")))))</f>
        <v/>
      </c>
      <c r="T147" s="79" t="n"/>
      <c r="U147" s="75" t="n"/>
      <c r="V147" s="84" t="n"/>
      <c r="W147" s="64">
        <f>IF(AND($D147="",$G147=""),"",IF($C147="","⚠ Falta la fecha del pedido",IF($V147="","⚠ Elegí el estado de entrega",IF($V147="Cancelado","Cancelado",IF($V147="Entregado",IF($R147&gt;0,"⚠ Entregado: falta cobrar","✔ Cerrado"),IF(AND(N($U147)&gt;0,$U147&lt;TODAY()),"✖ Entrega atrasada ("&amp;(TODAY()-$U147)&amp;" d)","En curso"))))))</f>
        <v/>
      </c>
      <c r="X147" s="79" t="n"/>
      <c r="Y147">
        <f>IF($E147&amp;""="","",IF(LEFT(SUBSTITUTE(SUBSTITUTE(SUBSTITUTE(SUBSTITUTE(SUBSTITUTE($E147&amp;""," ",""),"-",""),"+",""),"(",""),")",""),1)="0",PaisCod&amp;MID(SUBSTITUTE(SUBSTITUTE(SUBSTITUTE(SUBSTITUTE(SUBSTITUTE($E147&amp;""," ",""),"-",""),"+",""),"(",""),")",""),2,20),SUBSTITUTE(SUBSTITUTE(SUBSTITUTE(SUBSTITUTE(SUBSTITUTE($E147&amp;""," ",""),"-",""),"+",""),"(",""),")","")))</f>
        <v/>
      </c>
      <c r="Z147">
        <f>IF(AND(N($R147)&gt;0,$V147&lt;&gt;"Cancelado"),$R147+ROW()/1000000,"")</f>
        <v/>
      </c>
      <c r="AA147">
        <f>IF(AND(OR($V147="Pendiente",$V147="Preparando",$V147="Enviado"),N($U147)&gt;0),$U147+ROW()/1000000,"")</f>
        <v/>
      </c>
      <c r="AB147">
        <f>IF(AND($D147="",$G147=""),"",IF($V147="Cancelado",0,$L147))</f>
        <v/>
      </c>
    </row>
    <row r="148" ht="19" customHeight="1">
      <c r="B148" s="74">
        <f>IF(AND($D148="",$G148=""),"",ROW()-7)</f>
        <v/>
      </c>
      <c r="C148" s="75" t="n"/>
      <c r="D148" s="76" t="n"/>
      <c r="E148" s="77" t="n"/>
      <c r="F148" s="78">
        <f>IF($Y148="","",HYPERLINK("https://wa.me/"&amp;$Y148&amp;"?text="&amp;SUBSTITUTE("Hola "&amp;$D148&amp;", te escribo por tu pedido de "&amp;$G148&amp;"."," ","%20"),"Abrir chat"))</f>
        <v/>
      </c>
      <c r="G148" s="79" t="n"/>
      <c r="H148" s="80" t="n"/>
      <c r="I148" s="81" t="n"/>
      <c r="J148" s="81" t="n"/>
      <c r="K148" s="81" t="n"/>
      <c r="L148" s="82">
        <f>IF(AND($D148="",$G148=""),"",IF(N($H148)=0,1,$H148)*N($I148)-N($J148)+N($K148))</f>
        <v/>
      </c>
      <c r="M148" s="81" t="n"/>
      <c r="N148" s="81" t="n"/>
      <c r="O148" s="83">
        <f>IF(OR(AND($D148="",$G148=""),$M148="",$V148="Cancelado"),"",$L148-N($M148)-N($N148))</f>
        <v/>
      </c>
      <c r="P148" s="79" t="n"/>
      <c r="Q148" s="81" t="n"/>
      <c r="R148" s="82">
        <f>IF(AND($D148="",$G148=""),"",IF($V148="Cancelado",0,MAX(0,$L148-N($Q148))))</f>
        <v/>
      </c>
      <c r="S148" s="60">
        <f>IF(AND($D148="",$G148=""),"",IF($V148="Cancelado","Cancelado",IF($L148&lt;=0,"",IF(N($Q148)&gt;=$L148,"✔ Pagado",IF(N($Q148)&gt;0,"⚠ Pago parcial","✖ Sin pagar")))))</f>
        <v/>
      </c>
      <c r="T148" s="79" t="n"/>
      <c r="U148" s="75" t="n"/>
      <c r="V148" s="84" t="n"/>
      <c r="W148" s="61">
        <f>IF(AND($D148="",$G148=""),"",IF($C148="","⚠ Falta la fecha del pedido",IF($V148="","⚠ Elegí el estado de entrega",IF($V148="Cancelado","Cancelado",IF($V148="Entregado",IF($R148&gt;0,"⚠ Entregado: falta cobrar","✔ Cerrado"),IF(AND(N($U148)&gt;0,$U148&lt;TODAY()),"✖ Entrega atrasada ("&amp;(TODAY()-$U148)&amp;" d)","En curso"))))))</f>
        <v/>
      </c>
      <c r="X148" s="79" t="n"/>
      <c r="Y148">
        <f>IF($E148&amp;""="","",IF(LEFT(SUBSTITUTE(SUBSTITUTE(SUBSTITUTE(SUBSTITUTE(SUBSTITUTE($E148&amp;""," ",""),"-",""),"+",""),"(",""),")",""),1)="0",PaisCod&amp;MID(SUBSTITUTE(SUBSTITUTE(SUBSTITUTE(SUBSTITUTE(SUBSTITUTE($E148&amp;""," ",""),"-",""),"+",""),"(",""),")",""),2,20),SUBSTITUTE(SUBSTITUTE(SUBSTITUTE(SUBSTITUTE(SUBSTITUTE($E148&amp;""," ",""),"-",""),"+",""),"(",""),")","")))</f>
        <v/>
      </c>
      <c r="Z148">
        <f>IF(AND(N($R148)&gt;0,$V148&lt;&gt;"Cancelado"),$R148+ROW()/1000000,"")</f>
        <v/>
      </c>
      <c r="AA148">
        <f>IF(AND(OR($V148="Pendiente",$V148="Preparando",$V148="Enviado"),N($U148)&gt;0),$U148+ROW()/1000000,"")</f>
        <v/>
      </c>
      <c r="AB148">
        <f>IF(AND($D148="",$G148=""),"",IF($V148="Cancelado",0,$L148))</f>
        <v/>
      </c>
    </row>
    <row r="149" ht="19" customHeight="1">
      <c r="B149" s="85">
        <f>IF(AND($D149="",$G149=""),"",ROW()-7)</f>
        <v/>
      </c>
      <c r="C149" s="75" t="n"/>
      <c r="D149" s="76" t="n"/>
      <c r="E149" s="77" t="n"/>
      <c r="F149" s="86">
        <f>IF($Y149="","",HYPERLINK("https://wa.me/"&amp;$Y149&amp;"?text="&amp;SUBSTITUTE("Hola "&amp;$D149&amp;", te escribo por tu pedido de "&amp;$G149&amp;"."," ","%20"),"Abrir chat"))</f>
        <v/>
      </c>
      <c r="G149" s="79" t="n"/>
      <c r="H149" s="80" t="n"/>
      <c r="I149" s="81" t="n"/>
      <c r="J149" s="81" t="n"/>
      <c r="K149" s="81" t="n"/>
      <c r="L149" s="82">
        <f>IF(AND($D149="",$G149=""),"",IF(N($H149)=0,1,$H149)*N($I149)-N($J149)+N($K149))</f>
        <v/>
      </c>
      <c r="M149" s="81" t="n"/>
      <c r="N149" s="81" t="n"/>
      <c r="O149" s="87">
        <f>IF(OR(AND($D149="",$G149=""),$M149="",$V149="Cancelado"),"",$L149-N($M149)-N($N149))</f>
        <v/>
      </c>
      <c r="P149" s="79" t="n"/>
      <c r="Q149" s="81" t="n"/>
      <c r="R149" s="82">
        <f>IF(AND($D149="",$G149=""),"",IF($V149="Cancelado",0,MAX(0,$L149-N($Q149))))</f>
        <v/>
      </c>
      <c r="S149" s="63">
        <f>IF(AND($D149="",$G149=""),"",IF($V149="Cancelado","Cancelado",IF($L149&lt;=0,"",IF(N($Q149)&gt;=$L149,"✔ Pagado",IF(N($Q149)&gt;0,"⚠ Pago parcial","✖ Sin pagar")))))</f>
        <v/>
      </c>
      <c r="T149" s="79" t="n"/>
      <c r="U149" s="75" t="n"/>
      <c r="V149" s="84" t="n"/>
      <c r="W149" s="64">
        <f>IF(AND($D149="",$G149=""),"",IF($C149="","⚠ Falta la fecha del pedido",IF($V149="","⚠ Elegí el estado de entrega",IF($V149="Cancelado","Cancelado",IF($V149="Entregado",IF($R149&gt;0,"⚠ Entregado: falta cobrar","✔ Cerrado"),IF(AND(N($U149)&gt;0,$U149&lt;TODAY()),"✖ Entrega atrasada ("&amp;(TODAY()-$U149)&amp;" d)","En curso"))))))</f>
        <v/>
      </c>
      <c r="X149" s="79" t="n"/>
      <c r="Y149">
        <f>IF($E149&amp;""="","",IF(LEFT(SUBSTITUTE(SUBSTITUTE(SUBSTITUTE(SUBSTITUTE(SUBSTITUTE($E149&amp;""," ",""),"-",""),"+",""),"(",""),")",""),1)="0",PaisCod&amp;MID(SUBSTITUTE(SUBSTITUTE(SUBSTITUTE(SUBSTITUTE(SUBSTITUTE($E149&amp;""," ",""),"-",""),"+",""),"(",""),")",""),2,20),SUBSTITUTE(SUBSTITUTE(SUBSTITUTE(SUBSTITUTE(SUBSTITUTE($E149&amp;""," ",""),"-",""),"+",""),"(",""),")","")))</f>
        <v/>
      </c>
      <c r="Z149">
        <f>IF(AND(N($R149)&gt;0,$V149&lt;&gt;"Cancelado"),$R149+ROW()/1000000,"")</f>
        <v/>
      </c>
      <c r="AA149">
        <f>IF(AND(OR($V149="Pendiente",$V149="Preparando",$V149="Enviado"),N($U149)&gt;0),$U149+ROW()/1000000,"")</f>
        <v/>
      </c>
      <c r="AB149">
        <f>IF(AND($D149="",$G149=""),"",IF($V149="Cancelado",0,$L149))</f>
        <v/>
      </c>
    </row>
    <row r="150" ht="19" customHeight="1">
      <c r="B150" s="74">
        <f>IF(AND($D150="",$G150=""),"",ROW()-7)</f>
        <v/>
      </c>
      <c r="C150" s="75" t="n"/>
      <c r="D150" s="76" t="n"/>
      <c r="E150" s="77" t="n"/>
      <c r="F150" s="78">
        <f>IF($Y150="","",HYPERLINK("https://wa.me/"&amp;$Y150&amp;"?text="&amp;SUBSTITUTE("Hola "&amp;$D150&amp;", te escribo por tu pedido de "&amp;$G150&amp;"."," ","%20"),"Abrir chat"))</f>
        <v/>
      </c>
      <c r="G150" s="79" t="n"/>
      <c r="H150" s="80" t="n"/>
      <c r="I150" s="81" t="n"/>
      <c r="J150" s="81" t="n"/>
      <c r="K150" s="81" t="n"/>
      <c r="L150" s="82">
        <f>IF(AND($D150="",$G150=""),"",IF(N($H150)=0,1,$H150)*N($I150)-N($J150)+N($K150))</f>
        <v/>
      </c>
      <c r="M150" s="81" t="n"/>
      <c r="N150" s="81" t="n"/>
      <c r="O150" s="83">
        <f>IF(OR(AND($D150="",$G150=""),$M150="",$V150="Cancelado"),"",$L150-N($M150)-N($N150))</f>
        <v/>
      </c>
      <c r="P150" s="79" t="n"/>
      <c r="Q150" s="81" t="n"/>
      <c r="R150" s="82">
        <f>IF(AND($D150="",$G150=""),"",IF($V150="Cancelado",0,MAX(0,$L150-N($Q150))))</f>
        <v/>
      </c>
      <c r="S150" s="60">
        <f>IF(AND($D150="",$G150=""),"",IF($V150="Cancelado","Cancelado",IF($L150&lt;=0,"",IF(N($Q150)&gt;=$L150,"✔ Pagado",IF(N($Q150)&gt;0,"⚠ Pago parcial","✖ Sin pagar")))))</f>
        <v/>
      </c>
      <c r="T150" s="79" t="n"/>
      <c r="U150" s="75" t="n"/>
      <c r="V150" s="84" t="n"/>
      <c r="W150" s="61">
        <f>IF(AND($D150="",$G150=""),"",IF($C150="","⚠ Falta la fecha del pedido",IF($V150="","⚠ Elegí el estado de entrega",IF($V150="Cancelado","Cancelado",IF($V150="Entregado",IF($R150&gt;0,"⚠ Entregado: falta cobrar","✔ Cerrado"),IF(AND(N($U150)&gt;0,$U150&lt;TODAY()),"✖ Entrega atrasada ("&amp;(TODAY()-$U150)&amp;" d)","En curso"))))))</f>
        <v/>
      </c>
      <c r="X150" s="79" t="n"/>
      <c r="Y150">
        <f>IF($E150&amp;""="","",IF(LEFT(SUBSTITUTE(SUBSTITUTE(SUBSTITUTE(SUBSTITUTE(SUBSTITUTE($E150&amp;""," ",""),"-",""),"+",""),"(",""),")",""),1)="0",PaisCod&amp;MID(SUBSTITUTE(SUBSTITUTE(SUBSTITUTE(SUBSTITUTE(SUBSTITUTE($E150&amp;""," ",""),"-",""),"+",""),"(",""),")",""),2,20),SUBSTITUTE(SUBSTITUTE(SUBSTITUTE(SUBSTITUTE(SUBSTITUTE($E150&amp;""," ",""),"-",""),"+",""),"(",""),")","")))</f>
        <v/>
      </c>
      <c r="Z150">
        <f>IF(AND(N($R150)&gt;0,$V150&lt;&gt;"Cancelado"),$R150+ROW()/1000000,"")</f>
        <v/>
      </c>
      <c r="AA150">
        <f>IF(AND(OR($V150="Pendiente",$V150="Preparando",$V150="Enviado"),N($U150)&gt;0),$U150+ROW()/1000000,"")</f>
        <v/>
      </c>
      <c r="AB150">
        <f>IF(AND($D150="",$G150=""),"",IF($V150="Cancelado",0,$L150))</f>
        <v/>
      </c>
    </row>
    <row r="151" ht="19" customHeight="1">
      <c r="B151" s="85">
        <f>IF(AND($D151="",$G151=""),"",ROW()-7)</f>
        <v/>
      </c>
      <c r="C151" s="75" t="n"/>
      <c r="D151" s="76" t="n"/>
      <c r="E151" s="77" t="n"/>
      <c r="F151" s="86">
        <f>IF($Y151="","",HYPERLINK("https://wa.me/"&amp;$Y151&amp;"?text="&amp;SUBSTITUTE("Hola "&amp;$D151&amp;", te escribo por tu pedido de "&amp;$G151&amp;"."," ","%20"),"Abrir chat"))</f>
        <v/>
      </c>
      <c r="G151" s="79" t="n"/>
      <c r="H151" s="80" t="n"/>
      <c r="I151" s="81" t="n"/>
      <c r="J151" s="81" t="n"/>
      <c r="K151" s="81" t="n"/>
      <c r="L151" s="82">
        <f>IF(AND($D151="",$G151=""),"",IF(N($H151)=0,1,$H151)*N($I151)-N($J151)+N($K151))</f>
        <v/>
      </c>
      <c r="M151" s="81" t="n"/>
      <c r="N151" s="81" t="n"/>
      <c r="O151" s="87">
        <f>IF(OR(AND($D151="",$G151=""),$M151="",$V151="Cancelado"),"",$L151-N($M151)-N($N151))</f>
        <v/>
      </c>
      <c r="P151" s="79" t="n"/>
      <c r="Q151" s="81" t="n"/>
      <c r="R151" s="82">
        <f>IF(AND($D151="",$G151=""),"",IF($V151="Cancelado",0,MAX(0,$L151-N($Q151))))</f>
        <v/>
      </c>
      <c r="S151" s="63">
        <f>IF(AND($D151="",$G151=""),"",IF($V151="Cancelado","Cancelado",IF($L151&lt;=0,"",IF(N($Q151)&gt;=$L151,"✔ Pagado",IF(N($Q151)&gt;0,"⚠ Pago parcial","✖ Sin pagar")))))</f>
        <v/>
      </c>
      <c r="T151" s="79" t="n"/>
      <c r="U151" s="75" t="n"/>
      <c r="V151" s="84" t="n"/>
      <c r="W151" s="64">
        <f>IF(AND($D151="",$G151=""),"",IF($C151="","⚠ Falta la fecha del pedido",IF($V151="","⚠ Elegí el estado de entrega",IF($V151="Cancelado","Cancelado",IF($V151="Entregado",IF($R151&gt;0,"⚠ Entregado: falta cobrar","✔ Cerrado"),IF(AND(N($U151)&gt;0,$U151&lt;TODAY()),"✖ Entrega atrasada ("&amp;(TODAY()-$U151)&amp;" d)","En curso"))))))</f>
        <v/>
      </c>
      <c r="X151" s="79" t="n"/>
      <c r="Y151">
        <f>IF($E151&amp;""="","",IF(LEFT(SUBSTITUTE(SUBSTITUTE(SUBSTITUTE(SUBSTITUTE(SUBSTITUTE($E151&amp;""," ",""),"-",""),"+",""),"(",""),")",""),1)="0",PaisCod&amp;MID(SUBSTITUTE(SUBSTITUTE(SUBSTITUTE(SUBSTITUTE(SUBSTITUTE($E151&amp;""," ",""),"-",""),"+",""),"(",""),")",""),2,20),SUBSTITUTE(SUBSTITUTE(SUBSTITUTE(SUBSTITUTE(SUBSTITUTE($E151&amp;""," ",""),"-",""),"+",""),"(",""),")","")))</f>
        <v/>
      </c>
      <c r="Z151">
        <f>IF(AND(N($R151)&gt;0,$V151&lt;&gt;"Cancelado"),$R151+ROW()/1000000,"")</f>
        <v/>
      </c>
      <c r="AA151">
        <f>IF(AND(OR($V151="Pendiente",$V151="Preparando",$V151="Enviado"),N($U151)&gt;0),$U151+ROW()/1000000,"")</f>
        <v/>
      </c>
      <c r="AB151">
        <f>IF(AND($D151="",$G151=""),"",IF($V151="Cancelado",0,$L151))</f>
        <v/>
      </c>
    </row>
    <row r="152" ht="19" customHeight="1">
      <c r="B152" s="74">
        <f>IF(AND($D152="",$G152=""),"",ROW()-7)</f>
        <v/>
      </c>
      <c r="C152" s="75" t="n"/>
      <c r="D152" s="76" t="n"/>
      <c r="E152" s="77" t="n"/>
      <c r="F152" s="78">
        <f>IF($Y152="","",HYPERLINK("https://wa.me/"&amp;$Y152&amp;"?text="&amp;SUBSTITUTE("Hola "&amp;$D152&amp;", te escribo por tu pedido de "&amp;$G152&amp;"."," ","%20"),"Abrir chat"))</f>
        <v/>
      </c>
      <c r="G152" s="79" t="n"/>
      <c r="H152" s="80" t="n"/>
      <c r="I152" s="81" t="n"/>
      <c r="J152" s="81" t="n"/>
      <c r="K152" s="81" t="n"/>
      <c r="L152" s="82">
        <f>IF(AND($D152="",$G152=""),"",IF(N($H152)=0,1,$H152)*N($I152)-N($J152)+N($K152))</f>
        <v/>
      </c>
      <c r="M152" s="81" t="n"/>
      <c r="N152" s="81" t="n"/>
      <c r="O152" s="83">
        <f>IF(OR(AND($D152="",$G152=""),$M152="",$V152="Cancelado"),"",$L152-N($M152)-N($N152))</f>
        <v/>
      </c>
      <c r="P152" s="79" t="n"/>
      <c r="Q152" s="81" t="n"/>
      <c r="R152" s="82">
        <f>IF(AND($D152="",$G152=""),"",IF($V152="Cancelado",0,MAX(0,$L152-N($Q152))))</f>
        <v/>
      </c>
      <c r="S152" s="60">
        <f>IF(AND($D152="",$G152=""),"",IF($V152="Cancelado","Cancelado",IF($L152&lt;=0,"",IF(N($Q152)&gt;=$L152,"✔ Pagado",IF(N($Q152)&gt;0,"⚠ Pago parcial","✖ Sin pagar")))))</f>
        <v/>
      </c>
      <c r="T152" s="79" t="n"/>
      <c r="U152" s="75" t="n"/>
      <c r="V152" s="84" t="n"/>
      <c r="W152" s="61">
        <f>IF(AND($D152="",$G152=""),"",IF($C152="","⚠ Falta la fecha del pedido",IF($V152="","⚠ Elegí el estado de entrega",IF($V152="Cancelado","Cancelado",IF($V152="Entregado",IF($R152&gt;0,"⚠ Entregado: falta cobrar","✔ Cerrado"),IF(AND(N($U152)&gt;0,$U152&lt;TODAY()),"✖ Entrega atrasada ("&amp;(TODAY()-$U152)&amp;" d)","En curso"))))))</f>
        <v/>
      </c>
      <c r="X152" s="79" t="n"/>
      <c r="Y152">
        <f>IF($E152&amp;""="","",IF(LEFT(SUBSTITUTE(SUBSTITUTE(SUBSTITUTE(SUBSTITUTE(SUBSTITUTE($E152&amp;""," ",""),"-",""),"+",""),"(",""),")",""),1)="0",PaisCod&amp;MID(SUBSTITUTE(SUBSTITUTE(SUBSTITUTE(SUBSTITUTE(SUBSTITUTE($E152&amp;""," ",""),"-",""),"+",""),"(",""),")",""),2,20),SUBSTITUTE(SUBSTITUTE(SUBSTITUTE(SUBSTITUTE(SUBSTITUTE($E152&amp;""," ",""),"-",""),"+",""),"(",""),")","")))</f>
        <v/>
      </c>
      <c r="Z152">
        <f>IF(AND(N($R152)&gt;0,$V152&lt;&gt;"Cancelado"),$R152+ROW()/1000000,"")</f>
        <v/>
      </c>
      <c r="AA152">
        <f>IF(AND(OR($V152="Pendiente",$V152="Preparando",$V152="Enviado"),N($U152)&gt;0),$U152+ROW()/1000000,"")</f>
        <v/>
      </c>
      <c r="AB152">
        <f>IF(AND($D152="",$G152=""),"",IF($V152="Cancelado",0,$L152))</f>
        <v/>
      </c>
    </row>
    <row r="153" ht="19" customHeight="1">
      <c r="B153" s="85">
        <f>IF(AND($D153="",$G153=""),"",ROW()-7)</f>
        <v/>
      </c>
      <c r="C153" s="75" t="n"/>
      <c r="D153" s="76" t="n"/>
      <c r="E153" s="77" t="n"/>
      <c r="F153" s="86">
        <f>IF($Y153="","",HYPERLINK("https://wa.me/"&amp;$Y153&amp;"?text="&amp;SUBSTITUTE("Hola "&amp;$D153&amp;", te escribo por tu pedido de "&amp;$G153&amp;"."," ","%20"),"Abrir chat"))</f>
        <v/>
      </c>
      <c r="G153" s="79" t="n"/>
      <c r="H153" s="80" t="n"/>
      <c r="I153" s="81" t="n"/>
      <c r="J153" s="81" t="n"/>
      <c r="K153" s="81" t="n"/>
      <c r="L153" s="82">
        <f>IF(AND($D153="",$G153=""),"",IF(N($H153)=0,1,$H153)*N($I153)-N($J153)+N($K153))</f>
        <v/>
      </c>
      <c r="M153" s="81" t="n"/>
      <c r="N153" s="81" t="n"/>
      <c r="O153" s="87">
        <f>IF(OR(AND($D153="",$G153=""),$M153="",$V153="Cancelado"),"",$L153-N($M153)-N($N153))</f>
        <v/>
      </c>
      <c r="P153" s="79" t="n"/>
      <c r="Q153" s="81" t="n"/>
      <c r="R153" s="82">
        <f>IF(AND($D153="",$G153=""),"",IF($V153="Cancelado",0,MAX(0,$L153-N($Q153))))</f>
        <v/>
      </c>
      <c r="S153" s="63">
        <f>IF(AND($D153="",$G153=""),"",IF($V153="Cancelado","Cancelado",IF($L153&lt;=0,"",IF(N($Q153)&gt;=$L153,"✔ Pagado",IF(N($Q153)&gt;0,"⚠ Pago parcial","✖ Sin pagar")))))</f>
        <v/>
      </c>
      <c r="T153" s="79" t="n"/>
      <c r="U153" s="75" t="n"/>
      <c r="V153" s="84" t="n"/>
      <c r="W153" s="64">
        <f>IF(AND($D153="",$G153=""),"",IF($C153="","⚠ Falta la fecha del pedido",IF($V153="","⚠ Elegí el estado de entrega",IF($V153="Cancelado","Cancelado",IF($V153="Entregado",IF($R153&gt;0,"⚠ Entregado: falta cobrar","✔ Cerrado"),IF(AND(N($U153)&gt;0,$U153&lt;TODAY()),"✖ Entrega atrasada ("&amp;(TODAY()-$U153)&amp;" d)","En curso"))))))</f>
        <v/>
      </c>
      <c r="X153" s="79" t="n"/>
      <c r="Y153">
        <f>IF($E153&amp;""="","",IF(LEFT(SUBSTITUTE(SUBSTITUTE(SUBSTITUTE(SUBSTITUTE(SUBSTITUTE($E153&amp;""," ",""),"-",""),"+",""),"(",""),")",""),1)="0",PaisCod&amp;MID(SUBSTITUTE(SUBSTITUTE(SUBSTITUTE(SUBSTITUTE(SUBSTITUTE($E153&amp;""," ",""),"-",""),"+",""),"(",""),")",""),2,20),SUBSTITUTE(SUBSTITUTE(SUBSTITUTE(SUBSTITUTE(SUBSTITUTE($E153&amp;""," ",""),"-",""),"+",""),"(",""),")","")))</f>
        <v/>
      </c>
      <c r="Z153">
        <f>IF(AND(N($R153)&gt;0,$V153&lt;&gt;"Cancelado"),$R153+ROW()/1000000,"")</f>
        <v/>
      </c>
      <c r="AA153">
        <f>IF(AND(OR($V153="Pendiente",$V153="Preparando",$V153="Enviado"),N($U153)&gt;0),$U153+ROW()/1000000,"")</f>
        <v/>
      </c>
      <c r="AB153">
        <f>IF(AND($D153="",$G153=""),"",IF($V153="Cancelado",0,$L153))</f>
        <v/>
      </c>
    </row>
    <row r="154" ht="19" customHeight="1">
      <c r="B154" s="74">
        <f>IF(AND($D154="",$G154=""),"",ROW()-7)</f>
        <v/>
      </c>
      <c r="C154" s="75" t="n"/>
      <c r="D154" s="76" t="n"/>
      <c r="E154" s="77" t="n"/>
      <c r="F154" s="78">
        <f>IF($Y154="","",HYPERLINK("https://wa.me/"&amp;$Y154&amp;"?text="&amp;SUBSTITUTE("Hola "&amp;$D154&amp;", te escribo por tu pedido de "&amp;$G154&amp;"."," ","%20"),"Abrir chat"))</f>
        <v/>
      </c>
      <c r="G154" s="79" t="n"/>
      <c r="H154" s="80" t="n"/>
      <c r="I154" s="81" t="n"/>
      <c r="J154" s="81" t="n"/>
      <c r="K154" s="81" t="n"/>
      <c r="L154" s="82">
        <f>IF(AND($D154="",$G154=""),"",IF(N($H154)=0,1,$H154)*N($I154)-N($J154)+N($K154))</f>
        <v/>
      </c>
      <c r="M154" s="81" t="n"/>
      <c r="N154" s="81" t="n"/>
      <c r="O154" s="83">
        <f>IF(OR(AND($D154="",$G154=""),$M154="",$V154="Cancelado"),"",$L154-N($M154)-N($N154))</f>
        <v/>
      </c>
      <c r="P154" s="79" t="n"/>
      <c r="Q154" s="81" t="n"/>
      <c r="R154" s="82">
        <f>IF(AND($D154="",$G154=""),"",IF($V154="Cancelado",0,MAX(0,$L154-N($Q154))))</f>
        <v/>
      </c>
      <c r="S154" s="60">
        <f>IF(AND($D154="",$G154=""),"",IF($V154="Cancelado","Cancelado",IF($L154&lt;=0,"",IF(N($Q154)&gt;=$L154,"✔ Pagado",IF(N($Q154)&gt;0,"⚠ Pago parcial","✖ Sin pagar")))))</f>
        <v/>
      </c>
      <c r="T154" s="79" t="n"/>
      <c r="U154" s="75" t="n"/>
      <c r="V154" s="84" t="n"/>
      <c r="W154" s="61">
        <f>IF(AND($D154="",$G154=""),"",IF($C154="","⚠ Falta la fecha del pedido",IF($V154="","⚠ Elegí el estado de entrega",IF($V154="Cancelado","Cancelado",IF($V154="Entregado",IF($R154&gt;0,"⚠ Entregado: falta cobrar","✔ Cerrado"),IF(AND(N($U154)&gt;0,$U154&lt;TODAY()),"✖ Entrega atrasada ("&amp;(TODAY()-$U154)&amp;" d)","En curso"))))))</f>
        <v/>
      </c>
      <c r="X154" s="79" t="n"/>
      <c r="Y154">
        <f>IF($E154&amp;""="","",IF(LEFT(SUBSTITUTE(SUBSTITUTE(SUBSTITUTE(SUBSTITUTE(SUBSTITUTE($E154&amp;""," ",""),"-",""),"+",""),"(",""),")",""),1)="0",PaisCod&amp;MID(SUBSTITUTE(SUBSTITUTE(SUBSTITUTE(SUBSTITUTE(SUBSTITUTE($E154&amp;""," ",""),"-",""),"+",""),"(",""),")",""),2,20),SUBSTITUTE(SUBSTITUTE(SUBSTITUTE(SUBSTITUTE(SUBSTITUTE($E154&amp;""," ",""),"-",""),"+",""),"(",""),")","")))</f>
        <v/>
      </c>
      <c r="Z154">
        <f>IF(AND(N($R154)&gt;0,$V154&lt;&gt;"Cancelado"),$R154+ROW()/1000000,"")</f>
        <v/>
      </c>
      <c r="AA154">
        <f>IF(AND(OR($V154="Pendiente",$V154="Preparando",$V154="Enviado"),N($U154)&gt;0),$U154+ROW()/1000000,"")</f>
        <v/>
      </c>
      <c r="AB154">
        <f>IF(AND($D154="",$G154=""),"",IF($V154="Cancelado",0,$L154))</f>
        <v/>
      </c>
    </row>
    <row r="155" ht="19" customHeight="1">
      <c r="B155" s="85">
        <f>IF(AND($D155="",$G155=""),"",ROW()-7)</f>
        <v/>
      </c>
      <c r="C155" s="75" t="n"/>
      <c r="D155" s="76" t="n"/>
      <c r="E155" s="77" t="n"/>
      <c r="F155" s="86">
        <f>IF($Y155="","",HYPERLINK("https://wa.me/"&amp;$Y155&amp;"?text="&amp;SUBSTITUTE("Hola "&amp;$D155&amp;", te escribo por tu pedido de "&amp;$G155&amp;"."," ","%20"),"Abrir chat"))</f>
        <v/>
      </c>
      <c r="G155" s="79" t="n"/>
      <c r="H155" s="80" t="n"/>
      <c r="I155" s="81" t="n"/>
      <c r="J155" s="81" t="n"/>
      <c r="K155" s="81" t="n"/>
      <c r="L155" s="82">
        <f>IF(AND($D155="",$G155=""),"",IF(N($H155)=0,1,$H155)*N($I155)-N($J155)+N($K155))</f>
        <v/>
      </c>
      <c r="M155" s="81" t="n"/>
      <c r="N155" s="81" t="n"/>
      <c r="O155" s="87">
        <f>IF(OR(AND($D155="",$G155=""),$M155="",$V155="Cancelado"),"",$L155-N($M155)-N($N155))</f>
        <v/>
      </c>
      <c r="P155" s="79" t="n"/>
      <c r="Q155" s="81" t="n"/>
      <c r="R155" s="82">
        <f>IF(AND($D155="",$G155=""),"",IF($V155="Cancelado",0,MAX(0,$L155-N($Q155))))</f>
        <v/>
      </c>
      <c r="S155" s="63">
        <f>IF(AND($D155="",$G155=""),"",IF($V155="Cancelado","Cancelado",IF($L155&lt;=0,"",IF(N($Q155)&gt;=$L155,"✔ Pagado",IF(N($Q155)&gt;0,"⚠ Pago parcial","✖ Sin pagar")))))</f>
        <v/>
      </c>
      <c r="T155" s="79" t="n"/>
      <c r="U155" s="75" t="n"/>
      <c r="V155" s="84" t="n"/>
      <c r="W155" s="64">
        <f>IF(AND($D155="",$G155=""),"",IF($C155="","⚠ Falta la fecha del pedido",IF($V155="","⚠ Elegí el estado de entrega",IF($V155="Cancelado","Cancelado",IF($V155="Entregado",IF($R155&gt;0,"⚠ Entregado: falta cobrar","✔ Cerrado"),IF(AND(N($U155)&gt;0,$U155&lt;TODAY()),"✖ Entrega atrasada ("&amp;(TODAY()-$U155)&amp;" d)","En curso"))))))</f>
        <v/>
      </c>
      <c r="X155" s="79" t="n"/>
      <c r="Y155">
        <f>IF($E155&amp;""="","",IF(LEFT(SUBSTITUTE(SUBSTITUTE(SUBSTITUTE(SUBSTITUTE(SUBSTITUTE($E155&amp;""," ",""),"-",""),"+",""),"(",""),")",""),1)="0",PaisCod&amp;MID(SUBSTITUTE(SUBSTITUTE(SUBSTITUTE(SUBSTITUTE(SUBSTITUTE($E155&amp;""," ",""),"-",""),"+",""),"(",""),")",""),2,20),SUBSTITUTE(SUBSTITUTE(SUBSTITUTE(SUBSTITUTE(SUBSTITUTE($E155&amp;""," ",""),"-",""),"+",""),"(",""),")","")))</f>
        <v/>
      </c>
      <c r="Z155">
        <f>IF(AND(N($R155)&gt;0,$V155&lt;&gt;"Cancelado"),$R155+ROW()/1000000,"")</f>
        <v/>
      </c>
      <c r="AA155">
        <f>IF(AND(OR($V155="Pendiente",$V155="Preparando",$V155="Enviado"),N($U155)&gt;0),$U155+ROW()/1000000,"")</f>
        <v/>
      </c>
      <c r="AB155">
        <f>IF(AND($D155="",$G155=""),"",IF($V155="Cancelado",0,$L155))</f>
        <v/>
      </c>
    </row>
    <row r="156" ht="19" customHeight="1">
      <c r="B156" s="74">
        <f>IF(AND($D156="",$G156=""),"",ROW()-7)</f>
        <v/>
      </c>
      <c r="C156" s="75" t="n"/>
      <c r="D156" s="76" t="n"/>
      <c r="E156" s="77" t="n"/>
      <c r="F156" s="78">
        <f>IF($Y156="","",HYPERLINK("https://wa.me/"&amp;$Y156&amp;"?text="&amp;SUBSTITUTE("Hola "&amp;$D156&amp;", te escribo por tu pedido de "&amp;$G156&amp;"."," ","%20"),"Abrir chat"))</f>
        <v/>
      </c>
      <c r="G156" s="79" t="n"/>
      <c r="H156" s="80" t="n"/>
      <c r="I156" s="81" t="n"/>
      <c r="J156" s="81" t="n"/>
      <c r="K156" s="81" t="n"/>
      <c r="L156" s="82">
        <f>IF(AND($D156="",$G156=""),"",IF(N($H156)=0,1,$H156)*N($I156)-N($J156)+N($K156))</f>
        <v/>
      </c>
      <c r="M156" s="81" t="n"/>
      <c r="N156" s="81" t="n"/>
      <c r="O156" s="83">
        <f>IF(OR(AND($D156="",$G156=""),$M156="",$V156="Cancelado"),"",$L156-N($M156)-N($N156))</f>
        <v/>
      </c>
      <c r="P156" s="79" t="n"/>
      <c r="Q156" s="81" t="n"/>
      <c r="R156" s="82">
        <f>IF(AND($D156="",$G156=""),"",IF($V156="Cancelado",0,MAX(0,$L156-N($Q156))))</f>
        <v/>
      </c>
      <c r="S156" s="60">
        <f>IF(AND($D156="",$G156=""),"",IF($V156="Cancelado","Cancelado",IF($L156&lt;=0,"",IF(N($Q156)&gt;=$L156,"✔ Pagado",IF(N($Q156)&gt;0,"⚠ Pago parcial","✖ Sin pagar")))))</f>
        <v/>
      </c>
      <c r="T156" s="79" t="n"/>
      <c r="U156" s="75" t="n"/>
      <c r="V156" s="84" t="n"/>
      <c r="W156" s="61">
        <f>IF(AND($D156="",$G156=""),"",IF($C156="","⚠ Falta la fecha del pedido",IF($V156="","⚠ Elegí el estado de entrega",IF($V156="Cancelado","Cancelado",IF($V156="Entregado",IF($R156&gt;0,"⚠ Entregado: falta cobrar","✔ Cerrado"),IF(AND(N($U156)&gt;0,$U156&lt;TODAY()),"✖ Entrega atrasada ("&amp;(TODAY()-$U156)&amp;" d)","En curso"))))))</f>
        <v/>
      </c>
      <c r="X156" s="79" t="n"/>
      <c r="Y156">
        <f>IF($E156&amp;""="","",IF(LEFT(SUBSTITUTE(SUBSTITUTE(SUBSTITUTE(SUBSTITUTE(SUBSTITUTE($E156&amp;""," ",""),"-",""),"+",""),"(",""),")",""),1)="0",PaisCod&amp;MID(SUBSTITUTE(SUBSTITUTE(SUBSTITUTE(SUBSTITUTE(SUBSTITUTE($E156&amp;""," ",""),"-",""),"+",""),"(",""),")",""),2,20),SUBSTITUTE(SUBSTITUTE(SUBSTITUTE(SUBSTITUTE(SUBSTITUTE($E156&amp;""," ",""),"-",""),"+",""),"(",""),")","")))</f>
        <v/>
      </c>
      <c r="Z156">
        <f>IF(AND(N($R156)&gt;0,$V156&lt;&gt;"Cancelado"),$R156+ROW()/1000000,"")</f>
        <v/>
      </c>
      <c r="AA156">
        <f>IF(AND(OR($V156="Pendiente",$V156="Preparando",$V156="Enviado"),N($U156)&gt;0),$U156+ROW()/1000000,"")</f>
        <v/>
      </c>
      <c r="AB156">
        <f>IF(AND($D156="",$G156=""),"",IF($V156="Cancelado",0,$L156))</f>
        <v/>
      </c>
    </row>
    <row r="157" ht="19" customHeight="1">
      <c r="B157" s="85">
        <f>IF(AND($D157="",$G157=""),"",ROW()-7)</f>
        <v/>
      </c>
      <c r="C157" s="75" t="n"/>
      <c r="D157" s="76" t="n"/>
      <c r="E157" s="77" t="n"/>
      <c r="F157" s="86">
        <f>IF($Y157="","",HYPERLINK("https://wa.me/"&amp;$Y157&amp;"?text="&amp;SUBSTITUTE("Hola "&amp;$D157&amp;", te escribo por tu pedido de "&amp;$G157&amp;"."," ","%20"),"Abrir chat"))</f>
        <v/>
      </c>
      <c r="G157" s="79" t="n"/>
      <c r="H157" s="80" t="n"/>
      <c r="I157" s="81" t="n"/>
      <c r="J157" s="81" t="n"/>
      <c r="K157" s="81" t="n"/>
      <c r="L157" s="82">
        <f>IF(AND($D157="",$G157=""),"",IF(N($H157)=0,1,$H157)*N($I157)-N($J157)+N($K157))</f>
        <v/>
      </c>
      <c r="M157" s="81" t="n"/>
      <c r="N157" s="81" t="n"/>
      <c r="O157" s="87">
        <f>IF(OR(AND($D157="",$G157=""),$M157="",$V157="Cancelado"),"",$L157-N($M157)-N($N157))</f>
        <v/>
      </c>
      <c r="P157" s="79" t="n"/>
      <c r="Q157" s="81" t="n"/>
      <c r="R157" s="82">
        <f>IF(AND($D157="",$G157=""),"",IF($V157="Cancelado",0,MAX(0,$L157-N($Q157))))</f>
        <v/>
      </c>
      <c r="S157" s="63">
        <f>IF(AND($D157="",$G157=""),"",IF($V157="Cancelado","Cancelado",IF($L157&lt;=0,"",IF(N($Q157)&gt;=$L157,"✔ Pagado",IF(N($Q157)&gt;0,"⚠ Pago parcial","✖ Sin pagar")))))</f>
        <v/>
      </c>
      <c r="T157" s="79" t="n"/>
      <c r="U157" s="75" t="n"/>
      <c r="V157" s="84" t="n"/>
      <c r="W157" s="64">
        <f>IF(AND($D157="",$G157=""),"",IF($C157="","⚠ Falta la fecha del pedido",IF($V157="","⚠ Elegí el estado de entrega",IF($V157="Cancelado","Cancelado",IF($V157="Entregado",IF($R157&gt;0,"⚠ Entregado: falta cobrar","✔ Cerrado"),IF(AND(N($U157)&gt;0,$U157&lt;TODAY()),"✖ Entrega atrasada ("&amp;(TODAY()-$U157)&amp;" d)","En curso"))))))</f>
        <v/>
      </c>
      <c r="X157" s="79" t="n"/>
      <c r="Y157">
        <f>IF($E157&amp;""="","",IF(LEFT(SUBSTITUTE(SUBSTITUTE(SUBSTITUTE(SUBSTITUTE(SUBSTITUTE($E157&amp;""," ",""),"-",""),"+",""),"(",""),")",""),1)="0",PaisCod&amp;MID(SUBSTITUTE(SUBSTITUTE(SUBSTITUTE(SUBSTITUTE(SUBSTITUTE($E157&amp;""," ",""),"-",""),"+",""),"(",""),")",""),2,20),SUBSTITUTE(SUBSTITUTE(SUBSTITUTE(SUBSTITUTE(SUBSTITUTE($E157&amp;""," ",""),"-",""),"+",""),"(",""),")","")))</f>
        <v/>
      </c>
      <c r="Z157">
        <f>IF(AND(N($R157)&gt;0,$V157&lt;&gt;"Cancelado"),$R157+ROW()/1000000,"")</f>
        <v/>
      </c>
      <c r="AA157">
        <f>IF(AND(OR($V157="Pendiente",$V157="Preparando",$V157="Enviado"),N($U157)&gt;0),$U157+ROW()/1000000,"")</f>
        <v/>
      </c>
      <c r="AB157">
        <f>IF(AND($D157="",$G157=""),"",IF($V157="Cancelado",0,$L157))</f>
        <v/>
      </c>
    </row>
    <row r="158" ht="19" customHeight="1">
      <c r="B158" s="74">
        <f>IF(AND($D158="",$G158=""),"",ROW()-7)</f>
        <v/>
      </c>
      <c r="C158" s="75" t="n"/>
      <c r="D158" s="76" t="n"/>
      <c r="E158" s="77" t="n"/>
      <c r="F158" s="78">
        <f>IF($Y158="","",HYPERLINK("https://wa.me/"&amp;$Y158&amp;"?text="&amp;SUBSTITUTE("Hola "&amp;$D158&amp;", te escribo por tu pedido de "&amp;$G158&amp;"."," ","%20"),"Abrir chat"))</f>
        <v/>
      </c>
      <c r="G158" s="79" t="n"/>
      <c r="H158" s="80" t="n"/>
      <c r="I158" s="81" t="n"/>
      <c r="J158" s="81" t="n"/>
      <c r="K158" s="81" t="n"/>
      <c r="L158" s="82">
        <f>IF(AND($D158="",$G158=""),"",IF(N($H158)=0,1,$H158)*N($I158)-N($J158)+N($K158))</f>
        <v/>
      </c>
      <c r="M158" s="81" t="n"/>
      <c r="N158" s="81" t="n"/>
      <c r="O158" s="83">
        <f>IF(OR(AND($D158="",$G158=""),$M158="",$V158="Cancelado"),"",$L158-N($M158)-N($N158))</f>
        <v/>
      </c>
      <c r="P158" s="79" t="n"/>
      <c r="Q158" s="81" t="n"/>
      <c r="R158" s="82">
        <f>IF(AND($D158="",$G158=""),"",IF($V158="Cancelado",0,MAX(0,$L158-N($Q158))))</f>
        <v/>
      </c>
      <c r="S158" s="60">
        <f>IF(AND($D158="",$G158=""),"",IF($V158="Cancelado","Cancelado",IF($L158&lt;=0,"",IF(N($Q158)&gt;=$L158,"✔ Pagado",IF(N($Q158)&gt;0,"⚠ Pago parcial","✖ Sin pagar")))))</f>
        <v/>
      </c>
      <c r="T158" s="79" t="n"/>
      <c r="U158" s="75" t="n"/>
      <c r="V158" s="84" t="n"/>
      <c r="W158" s="61">
        <f>IF(AND($D158="",$G158=""),"",IF($C158="","⚠ Falta la fecha del pedido",IF($V158="","⚠ Elegí el estado de entrega",IF($V158="Cancelado","Cancelado",IF($V158="Entregado",IF($R158&gt;0,"⚠ Entregado: falta cobrar","✔ Cerrado"),IF(AND(N($U158)&gt;0,$U158&lt;TODAY()),"✖ Entrega atrasada ("&amp;(TODAY()-$U158)&amp;" d)","En curso"))))))</f>
        <v/>
      </c>
      <c r="X158" s="79" t="n"/>
      <c r="Y158">
        <f>IF($E158&amp;""="","",IF(LEFT(SUBSTITUTE(SUBSTITUTE(SUBSTITUTE(SUBSTITUTE(SUBSTITUTE($E158&amp;""," ",""),"-",""),"+",""),"(",""),")",""),1)="0",PaisCod&amp;MID(SUBSTITUTE(SUBSTITUTE(SUBSTITUTE(SUBSTITUTE(SUBSTITUTE($E158&amp;""," ",""),"-",""),"+",""),"(",""),")",""),2,20),SUBSTITUTE(SUBSTITUTE(SUBSTITUTE(SUBSTITUTE(SUBSTITUTE($E158&amp;""," ",""),"-",""),"+",""),"(",""),")","")))</f>
        <v/>
      </c>
      <c r="Z158">
        <f>IF(AND(N($R158)&gt;0,$V158&lt;&gt;"Cancelado"),$R158+ROW()/1000000,"")</f>
        <v/>
      </c>
      <c r="AA158">
        <f>IF(AND(OR($V158="Pendiente",$V158="Preparando",$V158="Enviado"),N($U158)&gt;0),$U158+ROW()/1000000,"")</f>
        <v/>
      </c>
      <c r="AB158">
        <f>IF(AND($D158="",$G158=""),"",IF($V158="Cancelado",0,$L158))</f>
        <v/>
      </c>
    </row>
    <row r="159" ht="19" customHeight="1">
      <c r="B159" s="85">
        <f>IF(AND($D159="",$G159=""),"",ROW()-7)</f>
        <v/>
      </c>
      <c r="C159" s="75" t="n"/>
      <c r="D159" s="76" t="n"/>
      <c r="E159" s="77" t="n"/>
      <c r="F159" s="86">
        <f>IF($Y159="","",HYPERLINK("https://wa.me/"&amp;$Y159&amp;"?text="&amp;SUBSTITUTE("Hola "&amp;$D159&amp;", te escribo por tu pedido de "&amp;$G159&amp;"."," ","%20"),"Abrir chat"))</f>
        <v/>
      </c>
      <c r="G159" s="79" t="n"/>
      <c r="H159" s="80" t="n"/>
      <c r="I159" s="81" t="n"/>
      <c r="J159" s="81" t="n"/>
      <c r="K159" s="81" t="n"/>
      <c r="L159" s="82">
        <f>IF(AND($D159="",$G159=""),"",IF(N($H159)=0,1,$H159)*N($I159)-N($J159)+N($K159))</f>
        <v/>
      </c>
      <c r="M159" s="81" t="n"/>
      <c r="N159" s="81" t="n"/>
      <c r="O159" s="87">
        <f>IF(OR(AND($D159="",$G159=""),$M159="",$V159="Cancelado"),"",$L159-N($M159)-N($N159))</f>
        <v/>
      </c>
      <c r="P159" s="79" t="n"/>
      <c r="Q159" s="81" t="n"/>
      <c r="R159" s="82">
        <f>IF(AND($D159="",$G159=""),"",IF($V159="Cancelado",0,MAX(0,$L159-N($Q159))))</f>
        <v/>
      </c>
      <c r="S159" s="63">
        <f>IF(AND($D159="",$G159=""),"",IF($V159="Cancelado","Cancelado",IF($L159&lt;=0,"",IF(N($Q159)&gt;=$L159,"✔ Pagado",IF(N($Q159)&gt;0,"⚠ Pago parcial","✖ Sin pagar")))))</f>
        <v/>
      </c>
      <c r="T159" s="79" t="n"/>
      <c r="U159" s="75" t="n"/>
      <c r="V159" s="84" t="n"/>
      <c r="W159" s="64">
        <f>IF(AND($D159="",$G159=""),"",IF($C159="","⚠ Falta la fecha del pedido",IF($V159="","⚠ Elegí el estado de entrega",IF($V159="Cancelado","Cancelado",IF($V159="Entregado",IF($R159&gt;0,"⚠ Entregado: falta cobrar","✔ Cerrado"),IF(AND(N($U159)&gt;0,$U159&lt;TODAY()),"✖ Entrega atrasada ("&amp;(TODAY()-$U159)&amp;" d)","En curso"))))))</f>
        <v/>
      </c>
      <c r="X159" s="79" t="n"/>
      <c r="Y159">
        <f>IF($E159&amp;""="","",IF(LEFT(SUBSTITUTE(SUBSTITUTE(SUBSTITUTE(SUBSTITUTE(SUBSTITUTE($E159&amp;""," ",""),"-",""),"+",""),"(",""),")",""),1)="0",PaisCod&amp;MID(SUBSTITUTE(SUBSTITUTE(SUBSTITUTE(SUBSTITUTE(SUBSTITUTE($E159&amp;""," ",""),"-",""),"+",""),"(",""),")",""),2,20),SUBSTITUTE(SUBSTITUTE(SUBSTITUTE(SUBSTITUTE(SUBSTITUTE($E159&amp;""," ",""),"-",""),"+",""),"(",""),")","")))</f>
        <v/>
      </c>
      <c r="Z159">
        <f>IF(AND(N($R159)&gt;0,$V159&lt;&gt;"Cancelado"),$R159+ROW()/1000000,"")</f>
        <v/>
      </c>
      <c r="AA159">
        <f>IF(AND(OR($V159="Pendiente",$V159="Preparando",$V159="Enviado"),N($U159)&gt;0),$U159+ROW()/1000000,"")</f>
        <v/>
      </c>
      <c r="AB159">
        <f>IF(AND($D159="",$G159=""),"",IF($V159="Cancelado",0,$L159))</f>
        <v/>
      </c>
    </row>
    <row r="160" ht="19" customHeight="1">
      <c r="B160" s="74">
        <f>IF(AND($D160="",$G160=""),"",ROW()-7)</f>
        <v/>
      </c>
      <c r="C160" s="75" t="n"/>
      <c r="D160" s="76" t="n"/>
      <c r="E160" s="77" t="n"/>
      <c r="F160" s="78">
        <f>IF($Y160="","",HYPERLINK("https://wa.me/"&amp;$Y160&amp;"?text="&amp;SUBSTITUTE("Hola "&amp;$D160&amp;", te escribo por tu pedido de "&amp;$G160&amp;"."," ","%20"),"Abrir chat"))</f>
        <v/>
      </c>
      <c r="G160" s="79" t="n"/>
      <c r="H160" s="80" t="n"/>
      <c r="I160" s="81" t="n"/>
      <c r="J160" s="81" t="n"/>
      <c r="K160" s="81" t="n"/>
      <c r="L160" s="82">
        <f>IF(AND($D160="",$G160=""),"",IF(N($H160)=0,1,$H160)*N($I160)-N($J160)+N($K160))</f>
        <v/>
      </c>
      <c r="M160" s="81" t="n"/>
      <c r="N160" s="81" t="n"/>
      <c r="O160" s="83">
        <f>IF(OR(AND($D160="",$G160=""),$M160="",$V160="Cancelado"),"",$L160-N($M160)-N($N160))</f>
        <v/>
      </c>
      <c r="P160" s="79" t="n"/>
      <c r="Q160" s="81" t="n"/>
      <c r="R160" s="82">
        <f>IF(AND($D160="",$G160=""),"",IF($V160="Cancelado",0,MAX(0,$L160-N($Q160))))</f>
        <v/>
      </c>
      <c r="S160" s="60">
        <f>IF(AND($D160="",$G160=""),"",IF($V160="Cancelado","Cancelado",IF($L160&lt;=0,"",IF(N($Q160)&gt;=$L160,"✔ Pagado",IF(N($Q160)&gt;0,"⚠ Pago parcial","✖ Sin pagar")))))</f>
        <v/>
      </c>
      <c r="T160" s="79" t="n"/>
      <c r="U160" s="75" t="n"/>
      <c r="V160" s="84" t="n"/>
      <c r="W160" s="61">
        <f>IF(AND($D160="",$G160=""),"",IF($C160="","⚠ Falta la fecha del pedido",IF($V160="","⚠ Elegí el estado de entrega",IF($V160="Cancelado","Cancelado",IF($V160="Entregado",IF($R160&gt;0,"⚠ Entregado: falta cobrar","✔ Cerrado"),IF(AND(N($U160)&gt;0,$U160&lt;TODAY()),"✖ Entrega atrasada ("&amp;(TODAY()-$U160)&amp;" d)","En curso"))))))</f>
        <v/>
      </c>
      <c r="X160" s="79" t="n"/>
      <c r="Y160">
        <f>IF($E160&amp;""="","",IF(LEFT(SUBSTITUTE(SUBSTITUTE(SUBSTITUTE(SUBSTITUTE(SUBSTITUTE($E160&amp;""," ",""),"-",""),"+",""),"(",""),")",""),1)="0",PaisCod&amp;MID(SUBSTITUTE(SUBSTITUTE(SUBSTITUTE(SUBSTITUTE(SUBSTITUTE($E160&amp;""," ",""),"-",""),"+",""),"(",""),")",""),2,20),SUBSTITUTE(SUBSTITUTE(SUBSTITUTE(SUBSTITUTE(SUBSTITUTE($E160&amp;""," ",""),"-",""),"+",""),"(",""),")","")))</f>
        <v/>
      </c>
      <c r="Z160">
        <f>IF(AND(N($R160)&gt;0,$V160&lt;&gt;"Cancelado"),$R160+ROW()/1000000,"")</f>
        <v/>
      </c>
      <c r="AA160">
        <f>IF(AND(OR($V160="Pendiente",$V160="Preparando",$V160="Enviado"),N($U160)&gt;0),$U160+ROW()/1000000,"")</f>
        <v/>
      </c>
      <c r="AB160">
        <f>IF(AND($D160="",$G160=""),"",IF($V160="Cancelado",0,$L160))</f>
        <v/>
      </c>
    </row>
    <row r="161" ht="19" customHeight="1">
      <c r="B161" s="85">
        <f>IF(AND($D161="",$G161=""),"",ROW()-7)</f>
        <v/>
      </c>
      <c r="C161" s="75" t="n"/>
      <c r="D161" s="76" t="n"/>
      <c r="E161" s="77" t="n"/>
      <c r="F161" s="86">
        <f>IF($Y161="","",HYPERLINK("https://wa.me/"&amp;$Y161&amp;"?text="&amp;SUBSTITUTE("Hola "&amp;$D161&amp;", te escribo por tu pedido de "&amp;$G161&amp;"."," ","%20"),"Abrir chat"))</f>
        <v/>
      </c>
      <c r="G161" s="79" t="n"/>
      <c r="H161" s="80" t="n"/>
      <c r="I161" s="81" t="n"/>
      <c r="J161" s="81" t="n"/>
      <c r="K161" s="81" t="n"/>
      <c r="L161" s="82">
        <f>IF(AND($D161="",$G161=""),"",IF(N($H161)=0,1,$H161)*N($I161)-N($J161)+N($K161))</f>
        <v/>
      </c>
      <c r="M161" s="81" t="n"/>
      <c r="N161" s="81" t="n"/>
      <c r="O161" s="87">
        <f>IF(OR(AND($D161="",$G161=""),$M161="",$V161="Cancelado"),"",$L161-N($M161)-N($N161))</f>
        <v/>
      </c>
      <c r="P161" s="79" t="n"/>
      <c r="Q161" s="81" t="n"/>
      <c r="R161" s="82">
        <f>IF(AND($D161="",$G161=""),"",IF($V161="Cancelado",0,MAX(0,$L161-N($Q161))))</f>
        <v/>
      </c>
      <c r="S161" s="63">
        <f>IF(AND($D161="",$G161=""),"",IF($V161="Cancelado","Cancelado",IF($L161&lt;=0,"",IF(N($Q161)&gt;=$L161,"✔ Pagado",IF(N($Q161)&gt;0,"⚠ Pago parcial","✖ Sin pagar")))))</f>
        <v/>
      </c>
      <c r="T161" s="79" t="n"/>
      <c r="U161" s="75" t="n"/>
      <c r="V161" s="84" t="n"/>
      <c r="W161" s="64">
        <f>IF(AND($D161="",$G161=""),"",IF($C161="","⚠ Falta la fecha del pedido",IF($V161="","⚠ Elegí el estado de entrega",IF($V161="Cancelado","Cancelado",IF($V161="Entregado",IF($R161&gt;0,"⚠ Entregado: falta cobrar","✔ Cerrado"),IF(AND(N($U161)&gt;0,$U161&lt;TODAY()),"✖ Entrega atrasada ("&amp;(TODAY()-$U161)&amp;" d)","En curso"))))))</f>
        <v/>
      </c>
      <c r="X161" s="79" t="n"/>
      <c r="Y161">
        <f>IF($E161&amp;""="","",IF(LEFT(SUBSTITUTE(SUBSTITUTE(SUBSTITUTE(SUBSTITUTE(SUBSTITUTE($E161&amp;""," ",""),"-",""),"+",""),"(",""),")",""),1)="0",PaisCod&amp;MID(SUBSTITUTE(SUBSTITUTE(SUBSTITUTE(SUBSTITUTE(SUBSTITUTE($E161&amp;""," ",""),"-",""),"+",""),"(",""),")",""),2,20),SUBSTITUTE(SUBSTITUTE(SUBSTITUTE(SUBSTITUTE(SUBSTITUTE($E161&amp;""," ",""),"-",""),"+",""),"(",""),")","")))</f>
        <v/>
      </c>
      <c r="Z161">
        <f>IF(AND(N($R161)&gt;0,$V161&lt;&gt;"Cancelado"),$R161+ROW()/1000000,"")</f>
        <v/>
      </c>
      <c r="AA161">
        <f>IF(AND(OR($V161="Pendiente",$V161="Preparando",$V161="Enviado"),N($U161)&gt;0),$U161+ROW()/1000000,"")</f>
        <v/>
      </c>
      <c r="AB161">
        <f>IF(AND($D161="",$G161=""),"",IF($V161="Cancelado",0,$L161))</f>
        <v/>
      </c>
    </row>
    <row r="162" ht="19" customHeight="1">
      <c r="B162" s="74">
        <f>IF(AND($D162="",$G162=""),"",ROW()-7)</f>
        <v/>
      </c>
      <c r="C162" s="75" t="n"/>
      <c r="D162" s="76" t="n"/>
      <c r="E162" s="77" t="n"/>
      <c r="F162" s="78">
        <f>IF($Y162="","",HYPERLINK("https://wa.me/"&amp;$Y162&amp;"?text="&amp;SUBSTITUTE("Hola "&amp;$D162&amp;", te escribo por tu pedido de "&amp;$G162&amp;"."," ","%20"),"Abrir chat"))</f>
        <v/>
      </c>
      <c r="G162" s="79" t="n"/>
      <c r="H162" s="80" t="n"/>
      <c r="I162" s="81" t="n"/>
      <c r="J162" s="81" t="n"/>
      <c r="K162" s="81" t="n"/>
      <c r="L162" s="82">
        <f>IF(AND($D162="",$G162=""),"",IF(N($H162)=0,1,$H162)*N($I162)-N($J162)+N($K162))</f>
        <v/>
      </c>
      <c r="M162" s="81" t="n"/>
      <c r="N162" s="81" t="n"/>
      <c r="O162" s="83">
        <f>IF(OR(AND($D162="",$G162=""),$M162="",$V162="Cancelado"),"",$L162-N($M162)-N($N162))</f>
        <v/>
      </c>
      <c r="P162" s="79" t="n"/>
      <c r="Q162" s="81" t="n"/>
      <c r="R162" s="82">
        <f>IF(AND($D162="",$G162=""),"",IF($V162="Cancelado",0,MAX(0,$L162-N($Q162))))</f>
        <v/>
      </c>
      <c r="S162" s="60">
        <f>IF(AND($D162="",$G162=""),"",IF($V162="Cancelado","Cancelado",IF($L162&lt;=0,"",IF(N($Q162)&gt;=$L162,"✔ Pagado",IF(N($Q162)&gt;0,"⚠ Pago parcial","✖ Sin pagar")))))</f>
        <v/>
      </c>
      <c r="T162" s="79" t="n"/>
      <c r="U162" s="75" t="n"/>
      <c r="V162" s="84" t="n"/>
      <c r="W162" s="61">
        <f>IF(AND($D162="",$G162=""),"",IF($C162="","⚠ Falta la fecha del pedido",IF($V162="","⚠ Elegí el estado de entrega",IF($V162="Cancelado","Cancelado",IF($V162="Entregado",IF($R162&gt;0,"⚠ Entregado: falta cobrar","✔ Cerrado"),IF(AND(N($U162)&gt;0,$U162&lt;TODAY()),"✖ Entrega atrasada ("&amp;(TODAY()-$U162)&amp;" d)","En curso"))))))</f>
        <v/>
      </c>
      <c r="X162" s="79" t="n"/>
      <c r="Y162">
        <f>IF($E162&amp;""="","",IF(LEFT(SUBSTITUTE(SUBSTITUTE(SUBSTITUTE(SUBSTITUTE(SUBSTITUTE($E162&amp;""," ",""),"-",""),"+",""),"(",""),")",""),1)="0",PaisCod&amp;MID(SUBSTITUTE(SUBSTITUTE(SUBSTITUTE(SUBSTITUTE(SUBSTITUTE($E162&amp;""," ",""),"-",""),"+",""),"(",""),")",""),2,20),SUBSTITUTE(SUBSTITUTE(SUBSTITUTE(SUBSTITUTE(SUBSTITUTE($E162&amp;""," ",""),"-",""),"+",""),"(",""),")","")))</f>
        <v/>
      </c>
      <c r="Z162">
        <f>IF(AND(N($R162)&gt;0,$V162&lt;&gt;"Cancelado"),$R162+ROW()/1000000,"")</f>
        <v/>
      </c>
      <c r="AA162">
        <f>IF(AND(OR($V162="Pendiente",$V162="Preparando",$V162="Enviado"),N($U162)&gt;0),$U162+ROW()/1000000,"")</f>
        <v/>
      </c>
      <c r="AB162">
        <f>IF(AND($D162="",$G162=""),"",IF($V162="Cancelado",0,$L162))</f>
        <v/>
      </c>
    </row>
    <row r="163" ht="19" customHeight="1">
      <c r="B163" s="85">
        <f>IF(AND($D163="",$G163=""),"",ROW()-7)</f>
        <v/>
      </c>
      <c r="C163" s="75" t="n"/>
      <c r="D163" s="76" t="n"/>
      <c r="E163" s="77" t="n"/>
      <c r="F163" s="86">
        <f>IF($Y163="","",HYPERLINK("https://wa.me/"&amp;$Y163&amp;"?text="&amp;SUBSTITUTE("Hola "&amp;$D163&amp;", te escribo por tu pedido de "&amp;$G163&amp;"."," ","%20"),"Abrir chat"))</f>
        <v/>
      </c>
      <c r="G163" s="79" t="n"/>
      <c r="H163" s="80" t="n"/>
      <c r="I163" s="81" t="n"/>
      <c r="J163" s="81" t="n"/>
      <c r="K163" s="81" t="n"/>
      <c r="L163" s="82">
        <f>IF(AND($D163="",$G163=""),"",IF(N($H163)=0,1,$H163)*N($I163)-N($J163)+N($K163))</f>
        <v/>
      </c>
      <c r="M163" s="81" t="n"/>
      <c r="N163" s="81" t="n"/>
      <c r="O163" s="87">
        <f>IF(OR(AND($D163="",$G163=""),$M163="",$V163="Cancelado"),"",$L163-N($M163)-N($N163))</f>
        <v/>
      </c>
      <c r="P163" s="79" t="n"/>
      <c r="Q163" s="81" t="n"/>
      <c r="R163" s="82">
        <f>IF(AND($D163="",$G163=""),"",IF($V163="Cancelado",0,MAX(0,$L163-N($Q163))))</f>
        <v/>
      </c>
      <c r="S163" s="63">
        <f>IF(AND($D163="",$G163=""),"",IF($V163="Cancelado","Cancelado",IF($L163&lt;=0,"",IF(N($Q163)&gt;=$L163,"✔ Pagado",IF(N($Q163)&gt;0,"⚠ Pago parcial","✖ Sin pagar")))))</f>
        <v/>
      </c>
      <c r="T163" s="79" t="n"/>
      <c r="U163" s="75" t="n"/>
      <c r="V163" s="84" t="n"/>
      <c r="W163" s="64">
        <f>IF(AND($D163="",$G163=""),"",IF($C163="","⚠ Falta la fecha del pedido",IF($V163="","⚠ Elegí el estado de entrega",IF($V163="Cancelado","Cancelado",IF($V163="Entregado",IF($R163&gt;0,"⚠ Entregado: falta cobrar","✔ Cerrado"),IF(AND(N($U163)&gt;0,$U163&lt;TODAY()),"✖ Entrega atrasada ("&amp;(TODAY()-$U163)&amp;" d)","En curso"))))))</f>
        <v/>
      </c>
      <c r="X163" s="79" t="n"/>
      <c r="Y163">
        <f>IF($E163&amp;""="","",IF(LEFT(SUBSTITUTE(SUBSTITUTE(SUBSTITUTE(SUBSTITUTE(SUBSTITUTE($E163&amp;""," ",""),"-",""),"+",""),"(",""),")",""),1)="0",PaisCod&amp;MID(SUBSTITUTE(SUBSTITUTE(SUBSTITUTE(SUBSTITUTE(SUBSTITUTE($E163&amp;""," ",""),"-",""),"+",""),"(",""),")",""),2,20),SUBSTITUTE(SUBSTITUTE(SUBSTITUTE(SUBSTITUTE(SUBSTITUTE($E163&amp;""," ",""),"-",""),"+",""),"(",""),")","")))</f>
        <v/>
      </c>
      <c r="Z163">
        <f>IF(AND(N($R163)&gt;0,$V163&lt;&gt;"Cancelado"),$R163+ROW()/1000000,"")</f>
        <v/>
      </c>
      <c r="AA163">
        <f>IF(AND(OR($V163="Pendiente",$V163="Preparando",$V163="Enviado"),N($U163)&gt;0),$U163+ROW()/1000000,"")</f>
        <v/>
      </c>
      <c r="AB163">
        <f>IF(AND($D163="",$G163=""),"",IF($V163="Cancelado",0,$L163))</f>
        <v/>
      </c>
    </row>
    <row r="164" ht="19" customHeight="1">
      <c r="B164" s="74">
        <f>IF(AND($D164="",$G164=""),"",ROW()-7)</f>
        <v/>
      </c>
      <c r="C164" s="75" t="n"/>
      <c r="D164" s="76" t="n"/>
      <c r="E164" s="77" t="n"/>
      <c r="F164" s="78">
        <f>IF($Y164="","",HYPERLINK("https://wa.me/"&amp;$Y164&amp;"?text="&amp;SUBSTITUTE("Hola "&amp;$D164&amp;", te escribo por tu pedido de "&amp;$G164&amp;"."," ","%20"),"Abrir chat"))</f>
        <v/>
      </c>
      <c r="G164" s="79" t="n"/>
      <c r="H164" s="80" t="n"/>
      <c r="I164" s="81" t="n"/>
      <c r="J164" s="81" t="n"/>
      <c r="K164" s="81" t="n"/>
      <c r="L164" s="82">
        <f>IF(AND($D164="",$G164=""),"",IF(N($H164)=0,1,$H164)*N($I164)-N($J164)+N($K164))</f>
        <v/>
      </c>
      <c r="M164" s="81" t="n"/>
      <c r="N164" s="81" t="n"/>
      <c r="O164" s="83">
        <f>IF(OR(AND($D164="",$G164=""),$M164="",$V164="Cancelado"),"",$L164-N($M164)-N($N164))</f>
        <v/>
      </c>
      <c r="P164" s="79" t="n"/>
      <c r="Q164" s="81" t="n"/>
      <c r="R164" s="82">
        <f>IF(AND($D164="",$G164=""),"",IF($V164="Cancelado",0,MAX(0,$L164-N($Q164))))</f>
        <v/>
      </c>
      <c r="S164" s="60">
        <f>IF(AND($D164="",$G164=""),"",IF($V164="Cancelado","Cancelado",IF($L164&lt;=0,"",IF(N($Q164)&gt;=$L164,"✔ Pagado",IF(N($Q164)&gt;0,"⚠ Pago parcial","✖ Sin pagar")))))</f>
        <v/>
      </c>
      <c r="T164" s="79" t="n"/>
      <c r="U164" s="75" t="n"/>
      <c r="V164" s="84" t="n"/>
      <c r="W164" s="61">
        <f>IF(AND($D164="",$G164=""),"",IF($C164="","⚠ Falta la fecha del pedido",IF($V164="","⚠ Elegí el estado de entrega",IF($V164="Cancelado","Cancelado",IF($V164="Entregado",IF($R164&gt;0,"⚠ Entregado: falta cobrar","✔ Cerrado"),IF(AND(N($U164)&gt;0,$U164&lt;TODAY()),"✖ Entrega atrasada ("&amp;(TODAY()-$U164)&amp;" d)","En curso"))))))</f>
        <v/>
      </c>
      <c r="X164" s="79" t="n"/>
      <c r="Y164">
        <f>IF($E164&amp;""="","",IF(LEFT(SUBSTITUTE(SUBSTITUTE(SUBSTITUTE(SUBSTITUTE(SUBSTITUTE($E164&amp;""," ",""),"-",""),"+",""),"(",""),")",""),1)="0",PaisCod&amp;MID(SUBSTITUTE(SUBSTITUTE(SUBSTITUTE(SUBSTITUTE(SUBSTITUTE($E164&amp;""," ",""),"-",""),"+",""),"(",""),")",""),2,20),SUBSTITUTE(SUBSTITUTE(SUBSTITUTE(SUBSTITUTE(SUBSTITUTE($E164&amp;""," ",""),"-",""),"+",""),"(",""),")","")))</f>
        <v/>
      </c>
      <c r="Z164">
        <f>IF(AND(N($R164)&gt;0,$V164&lt;&gt;"Cancelado"),$R164+ROW()/1000000,"")</f>
        <v/>
      </c>
      <c r="AA164">
        <f>IF(AND(OR($V164="Pendiente",$V164="Preparando",$V164="Enviado"),N($U164)&gt;0),$U164+ROW()/1000000,"")</f>
        <v/>
      </c>
      <c r="AB164">
        <f>IF(AND($D164="",$G164=""),"",IF($V164="Cancelado",0,$L164))</f>
        <v/>
      </c>
    </row>
    <row r="165" ht="19" customHeight="1">
      <c r="B165" s="85">
        <f>IF(AND($D165="",$G165=""),"",ROW()-7)</f>
        <v/>
      </c>
      <c r="C165" s="75" t="n"/>
      <c r="D165" s="76" t="n"/>
      <c r="E165" s="77" t="n"/>
      <c r="F165" s="86">
        <f>IF($Y165="","",HYPERLINK("https://wa.me/"&amp;$Y165&amp;"?text="&amp;SUBSTITUTE("Hola "&amp;$D165&amp;", te escribo por tu pedido de "&amp;$G165&amp;"."," ","%20"),"Abrir chat"))</f>
        <v/>
      </c>
      <c r="G165" s="79" t="n"/>
      <c r="H165" s="80" t="n"/>
      <c r="I165" s="81" t="n"/>
      <c r="J165" s="81" t="n"/>
      <c r="K165" s="81" t="n"/>
      <c r="L165" s="82">
        <f>IF(AND($D165="",$G165=""),"",IF(N($H165)=0,1,$H165)*N($I165)-N($J165)+N($K165))</f>
        <v/>
      </c>
      <c r="M165" s="81" t="n"/>
      <c r="N165" s="81" t="n"/>
      <c r="O165" s="87">
        <f>IF(OR(AND($D165="",$G165=""),$M165="",$V165="Cancelado"),"",$L165-N($M165)-N($N165))</f>
        <v/>
      </c>
      <c r="P165" s="79" t="n"/>
      <c r="Q165" s="81" t="n"/>
      <c r="R165" s="82">
        <f>IF(AND($D165="",$G165=""),"",IF($V165="Cancelado",0,MAX(0,$L165-N($Q165))))</f>
        <v/>
      </c>
      <c r="S165" s="63">
        <f>IF(AND($D165="",$G165=""),"",IF($V165="Cancelado","Cancelado",IF($L165&lt;=0,"",IF(N($Q165)&gt;=$L165,"✔ Pagado",IF(N($Q165)&gt;0,"⚠ Pago parcial","✖ Sin pagar")))))</f>
        <v/>
      </c>
      <c r="T165" s="79" t="n"/>
      <c r="U165" s="75" t="n"/>
      <c r="V165" s="84" t="n"/>
      <c r="W165" s="64">
        <f>IF(AND($D165="",$G165=""),"",IF($C165="","⚠ Falta la fecha del pedido",IF($V165="","⚠ Elegí el estado de entrega",IF($V165="Cancelado","Cancelado",IF($V165="Entregado",IF($R165&gt;0,"⚠ Entregado: falta cobrar","✔ Cerrado"),IF(AND(N($U165)&gt;0,$U165&lt;TODAY()),"✖ Entrega atrasada ("&amp;(TODAY()-$U165)&amp;" d)","En curso"))))))</f>
        <v/>
      </c>
      <c r="X165" s="79" t="n"/>
      <c r="Y165">
        <f>IF($E165&amp;""="","",IF(LEFT(SUBSTITUTE(SUBSTITUTE(SUBSTITUTE(SUBSTITUTE(SUBSTITUTE($E165&amp;""," ",""),"-",""),"+",""),"(",""),")",""),1)="0",PaisCod&amp;MID(SUBSTITUTE(SUBSTITUTE(SUBSTITUTE(SUBSTITUTE(SUBSTITUTE($E165&amp;""," ",""),"-",""),"+",""),"(",""),")",""),2,20),SUBSTITUTE(SUBSTITUTE(SUBSTITUTE(SUBSTITUTE(SUBSTITUTE($E165&amp;""," ",""),"-",""),"+",""),"(",""),")","")))</f>
        <v/>
      </c>
      <c r="Z165">
        <f>IF(AND(N($R165)&gt;0,$V165&lt;&gt;"Cancelado"),$R165+ROW()/1000000,"")</f>
        <v/>
      </c>
      <c r="AA165">
        <f>IF(AND(OR($V165="Pendiente",$V165="Preparando",$V165="Enviado"),N($U165)&gt;0),$U165+ROW()/1000000,"")</f>
        <v/>
      </c>
      <c r="AB165">
        <f>IF(AND($D165="",$G165=""),"",IF($V165="Cancelado",0,$L165))</f>
        <v/>
      </c>
    </row>
    <row r="166" ht="19" customHeight="1">
      <c r="B166" s="74">
        <f>IF(AND($D166="",$G166=""),"",ROW()-7)</f>
        <v/>
      </c>
      <c r="C166" s="75" t="n"/>
      <c r="D166" s="76" t="n"/>
      <c r="E166" s="77" t="n"/>
      <c r="F166" s="78">
        <f>IF($Y166="","",HYPERLINK("https://wa.me/"&amp;$Y166&amp;"?text="&amp;SUBSTITUTE("Hola "&amp;$D166&amp;", te escribo por tu pedido de "&amp;$G166&amp;"."," ","%20"),"Abrir chat"))</f>
        <v/>
      </c>
      <c r="G166" s="79" t="n"/>
      <c r="H166" s="80" t="n"/>
      <c r="I166" s="81" t="n"/>
      <c r="J166" s="81" t="n"/>
      <c r="K166" s="81" t="n"/>
      <c r="L166" s="82">
        <f>IF(AND($D166="",$G166=""),"",IF(N($H166)=0,1,$H166)*N($I166)-N($J166)+N($K166))</f>
        <v/>
      </c>
      <c r="M166" s="81" t="n"/>
      <c r="N166" s="81" t="n"/>
      <c r="O166" s="83">
        <f>IF(OR(AND($D166="",$G166=""),$M166="",$V166="Cancelado"),"",$L166-N($M166)-N($N166))</f>
        <v/>
      </c>
      <c r="P166" s="79" t="n"/>
      <c r="Q166" s="81" t="n"/>
      <c r="R166" s="82">
        <f>IF(AND($D166="",$G166=""),"",IF($V166="Cancelado",0,MAX(0,$L166-N($Q166))))</f>
        <v/>
      </c>
      <c r="S166" s="60">
        <f>IF(AND($D166="",$G166=""),"",IF($V166="Cancelado","Cancelado",IF($L166&lt;=0,"",IF(N($Q166)&gt;=$L166,"✔ Pagado",IF(N($Q166)&gt;0,"⚠ Pago parcial","✖ Sin pagar")))))</f>
        <v/>
      </c>
      <c r="T166" s="79" t="n"/>
      <c r="U166" s="75" t="n"/>
      <c r="V166" s="84" t="n"/>
      <c r="W166" s="61">
        <f>IF(AND($D166="",$G166=""),"",IF($C166="","⚠ Falta la fecha del pedido",IF($V166="","⚠ Elegí el estado de entrega",IF($V166="Cancelado","Cancelado",IF($V166="Entregado",IF($R166&gt;0,"⚠ Entregado: falta cobrar","✔ Cerrado"),IF(AND(N($U166)&gt;0,$U166&lt;TODAY()),"✖ Entrega atrasada ("&amp;(TODAY()-$U166)&amp;" d)","En curso"))))))</f>
        <v/>
      </c>
      <c r="X166" s="79" t="n"/>
      <c r="Y166">
        <f>IF($E166&amp;""="","",IF(LEFT(SUBSTITUTE(SUBSTITUTE(SUBSTITUTE(SUBSTITUTE(SUBSTITUTE($E166&amp;""," ",""),"-",""),"+",""),"(",""),")",""),1)="0",PaisCod&amp;MID(SUBSTITUTE(SUBSTITUTE(SUBSTITUTE(SUBSTITUTE(SUBSTITUTE($E166&amp;""," ",""),"-",""),"+",""),"(",""),")",""),2,20),SUBSTITUTE(SUBSTITUTE(SUBSTITUTE(SUBSTITUTE(SUBSTITUTE($E166&amp;""," ",""),"-",""),"+",""),"(",""),")","")))</f>
        <v/>
      </c>
      <c r="Z166">
        <f>IF(AND(N($R166)&gt;0,$V166&lt;&gt;"Cancelado"),$R166+ROW()/1000000,"")</f>
        <v/>
      </c>
      <c r="AA166">
        <f>IF(AND(OR($V166="Pendiente",$V166="Preparando",$V166="Enviado"),N($U166)&gt;0),$U166+ROW()/1000000,"")</f>
        <v/>
      </c>
      <c r="AB166">
        <f>IF(AND($D166="",$G166=""),"",IF($V166="Cancelado",0,$L166))</f>
        <v/>
      </c>
    </row>
    <row r="167" ht="19" customHeight="1">
      <c r="B167" s="85">
        <f>IF(AND($D167="",$G167=""),"",ROW()-7)</f>
        <v/>
      </c>
      <c r="C167" s="75" t="n"/>
      <c r="D167" s="76" t="n"/>
      <c r="E167" s="77" t="n"/>
      <c r="F167" s="86">
        <f>IF($Y167="","",HYPERLINK("https://wa.me/"&amp;$Y167&amp;"?text="&amp;SUBSTITUTE("Hola "&amp;$D167&amp;", te escribo por tu pedido de "&amp;$G167&amp;"."," ","%20"),"Abrir chat"))</f>
        <v/>
      </c>
      <c r="G167" s="79" t="n"/>
      <c r="H167" s="80" t="n"/>
      <c r="I167" s="81" t="n"/>
      <c r="J167" s="81" t="n"/>
      <c r="K167" s="81" t="n"/>
      <c r="L167" s="82">
        <f>IF(AND($D167="",$G167=""),"",IF(N($H167)=0,1,$H167)*N($I167)-N($J167)+N($K167))</f>
        <v/>
      </c>
      <c r="M167" s="81" t="n"/>
      <c r="N167" s="81" t="n"/>
      <c r="O167" s="87">
        <f>IF(OR(AND($D167="",$G167=""),$M167="",$V167="Cancelado"),"",$L167-N($M167)-N($N167))</f>
        <v/>
      </c>
      <c r="P167" s="79" t="n"/>
      <c r="Q167" s="81" t="n"/>
      <c r="R167" s="82">
        <f>IF(AND($D167="",$G167=""),"",IF($V167="Cancelado",0,MAX(0,$L167-N($Q167))))</f>
        <v/>
      </c>
      <c r="S167" s="63">
        <f>IF(AND($D167="",$G167=""),"",IF($V167="Cancelado","Cancelado",IF($L167&lt;=0,"",IF(N($Q167)&gt;=$L167,"✔ Pagado",IF(N($Q167)&gt;0,"⚠ Pago parcial","✖ Sin pagar")))))</f>
        <v/>
      </c>
      <c r="T167" s="79" t="n"/>
      <c r="U167" s="75" t="n"/>
      <c r="V167" s="84" t="n"/>
      <c r="W167" s="64">
        <f>IF(AND($D167="",$G167=""),"",IF($C167="","⚠ Falta la fecha del pedido",IF($V167="","⚠ Elegí el estado de entrega",IF($V167="Cancelado","Cancelado",IF($V167="Entregado",IF($R167&gt;0,"⚠ Entregado: falta cobrar","✔ Cerrado"),IF(AND(N($U167)&gt;0,$U167&lt;TODAY()),"✖ Entrega atrasada ("&amp;(TODAY()-$U167)&amp;" d)","En curso"))))))</f>
        <v/>
      </c>
      <c r="X167" s="79" t="n"/>
      <c r="Y167">
        <f>IF($E167&amp;""="","",IF(LEFT(SUBSTITUTE(SUBSTITUTE(SUBSTITUTE(SUBSTITUTE(SUBSTITUTE($E167&amp;""," ",""),"-",""),"+",""),"(",""),")",""),1)="0",PaisCod&amp;MID(SUBSTITUTE(SUBSTITUTE(SUBSTITUTE(SUBSTITUTE(SUBSTITUTE($E167&amp;""," ",""),"-",""),"+",""),"(",""),")",""),2,20),SUBSTITUTE(SUBSTITUTE(SUBSTITUTE(SUBSTITUTE(SUBSTITUTE($E167&amp;""," ",""),"-",""),"+",""),"(",""),")","")))</f>
        <v/>
      </c>
      <c r="Z167">
        <f>IF(AND(N($R167)&gt;0,$V167&lt;&gt;"Cancelado"),$R167+ROW()/1000000,"")</f>
        <v/>
      </c>
      <c r="AA167">
        <f>IF(AND(OR($V167="Pendiente",$V167="Preparando",$V167="Enviado"),N($U167)&gt;0),$U167+ROW()/1000000,"")</f>
        <v/>
      </c>
      <c r="AB167">
        <f>IF(AND($D167="",$G167=""),"",IF($V167="Cancelado",0,$L167))</f>
        <v/>
      </c>
    </row>
    <row r="168" ht="19" customHeight="1">
      <c r="B168" s="74">
        <f>IF(AND($D168="",$G168=""),"",ROW()-7)</f>
        <v/>
      </c>
      <c r="C168" s="75" t="n"/>
      <c r="D168" s="76" t="n"/>
      <c r="E168" s="77" t="n"/>
      <c r="F168" s="78">
        <f>IF($Y168="","",HYPERLINK("https://wa.me/"&amp;$Y168&amp;"?text="&amp;SUBSTITUTE("Hola "&amp;$D168&amp;", te escribo por tu pedido de "&amp;$G168&amp;"."," ","%20"),"Abrir chat"))</f>
        <v/>
      </c>
      <c r="G168" s="79" t="n"/>
      <c r="H168" s="80" t="n"/>
      <c r="I168" s="81" t="n"/>
      <c r="J168" s="81" t="n"/>
      <c r="K168" s="81" t="n"/>
      <c r="L168" s="82">
        <f>IF(AND($D168="",$G168=""),"",IF(N($H168)=0,1,$H168)*N($I168)-N($J168)+N($K168))</f>
        <v/>
      </c>
      <c r="M168" s="81" t="n"/>
      <c r="N168" s="81" t="n"/>
      <c r="O168" s="83">
        <f>IF(OR(AND($D168="",$G168=""),$M168="",$V168="Cancelado"),"",$L168-N($M168)-N($N168))</f>
        <v/>
      </c>
      <c r="P168" s="79" t="n"/>
      <c r="Q168" s="81" t="n"/>
      <c r="R168" s="82">
        <f>IF(AND($D168="",$G168=""),"",IF($V168="Cancelado",0,MAX(0,$L168-N($Q168))))</f>
        <v/>
      </c>
      <c r="S168" s="60">
        <f>IF(AND($D168="",$G168=""),"",IF($V168="Cancelado","Cancelado",IF($L168&lt;=0,"",IF(N($Q168)&gt;=$L168,"✔ Pagado",IF(N($Q168)&gt;0,"⚠ Pago parcial","✖ Sin pagar")))))</f>
        <v/>
      </c>
      <c r="T168" s="79" t="n"/>
      <c r="U168" s="75" t="n"/>
      <c r="V168" s="84" t="n"/>
      <c r="W168" s="61">
        <f>IF(AND($D168="",$G168=""),"",IF($C168="","⚠ Falta la fecha del pedido",IF($V168="","⚠ Elegí el estado de entrega",IF($V168="Cancelado","Cancelado",IF($V168="Entregado",IF($R168&gt;0,"⚠ Entregado: falta cobrar","✔ Cerrado"),IF(AND(N($U168)&gt;0,$U168&lt;TODAY()),"✖ Entrega atrasada ("&amp;(TODAY()-$U168)&amp;" d)","En curso"))))))</f>
        <v/>
      </c>
      <c r="X168" s="79" t="n"/>
      <c r="Y168">
        <f>IF($E168&amp;""="","",IF(LEFT(SUBSTITUTE(SUBSTITUTE(SUBSTITUTE(SUBSTITUTE(SUBSTITUTE($E168&amp;""," ",""),"-",""),"+",""),"(",""),")",""),1)="0",PaisCod&amp;MID(SUBSTITUTE(SUBSTITUTE(SUBSTITUTE(SUBSTITUTE(SUBSTITUTE($E168&amp;""," ",""),"-",""),"+",""),"(",""),")",""),2,20),SUBSTITUTE(SUBSTITUTE(SUBSTITUTE(SUBSTITUTE(SUBSTITUTE($E168&amp;""," ",""),"-",""),"+",""),"(",""),")","")))</f>
        <v/>
      </c>
      <c r="Z168">
        <f>IF(AND(N($R168)&gt;0,$V168&lt;&gt;"Cancelado"),$R168+ROW()/1000000,"")</f>
        <v/>
      </c>
      <c r="AA168">
        <f>IF(AND(OR($V168="Pendiente",$V168="Preparando",$V168="Enviado"),N($U168)&gt;0),$U168+ROW()/1000000,"")</f>
        <v/>
      </c>
      <c r="AB168">
        <f>IF(AND($D168="",$G168=""),"",IF($V168="Cancelado",0,$L168))</f>
        <v/>
      </c>
    </row>
    <row r="169" ht="19" customHeight="1">
      <c r="B169" s="85">
        <f>IF(AND($D169="",$G169=""),"",ROW()-7)</f>
        <v/>
      </c>
      <c r="C169" s="75" t="n"/>
      <c r="D169" s="76" t="n"/>
      <c r="E169" s="77" t="n"/>
      <c r="F169" s="86">
        <f>IF($Y169="","",HYPERLINK("https://wa.me/"&amp;$Y169&amp;"?text="&amp;SUBSTITUTE("Hola "&amp;$D169&amp;", te escribo por tu pedido de "&amp;$G169&amp;"."," ","%20"),"Abrir chat"))</f>
        <v/>
      </c>
      <c r="G169" s="79" t="n"/>
      <c r="H169" s="80" t="n"/>
      <c r="I169" s="81" t="n"/>
      <c r="J169" s="81" t="n"/>
      <c r="K169" s="81" t="n"/>
      <c r="L169" s="82">
        <f>IF(AND($D169="",$G169=""),"",IF(N($H169)=0,1,$H169)*N($I169)-N($J169)+N($K169))</f>
        <v/>
      </c>
      <c r="M169" s="81" t="n"/>
      <c r="N169" s="81" t="n"/>
      <c r="O169" s="87">
        <f>IF(OR(AND($D169="",$G169=""),$M169="",$V169="Cancelado"),"",$L169-N($M169)-N($N169))</f>
        <v/>
      </c>
      <c r="P169" s="79" t="n"/>
      <c r="Q169" s="81" t="n"/>
      <c r="R169" s="82">
        <f>IF(AND($D169="",$G169=""),"",IF($V169="Cancelado",0,MAX(0,$L169-N($Q169))))</f>
        <v/>
      </c>
      <c r="S169" s="63">
        <f>IF(AND($D169="",$G169=""),"",IF($V169="Cancelado","Cancelado",IF($L169&lt;=0,"",IF(N($Q169)&gt;=$L169,"✔ Pagado",IF(N($Q169)&gt;0,"⚠ Pago parcial","✖ Sin pagar")))))</f>
        <v/>
      </c>
      <c r="T169" s="79" t="n"/>
      <c r="U169" s="75" t="n"/>
      <c r="V169" s="84" t="n"/>
      <c r="W169" s="64">
        <f>IF(AND($D169="",$G169=""),"",IF($C169="","⚠ Falta la fecha del pedido",IF($V169="","⚠ Elegí el estado de entrega",IF($V169="Cancelado","Cancelado",IF($V169="Entregado",IF($R169&gt;0,"⚠ Entregado: falta cobrar","✔ Cerrado"),IF(AND(N($U169)&gt;0,$U169&lt;TODAY()),"✖ Entrega atrasada ("&amp;(TODAY()-$U169)&amp;" d)","En curso"))))))</f>
        <v/>
      </c>
      <c r="X169" s="79" t="n"/>
      <c r="Y169">
        <f>IF($E169&amp;""="","",IF(LEFT(SUBSTITUTE(SUBSTITUTE(SUBSTITUTE(SUBSTITUTE(SUBSTITUTE($E169&amp;""," ",""),"-",""),"+",""),"(",""),")",""),1)="0",PaisCod&amp;MID(SUBSTITUTE(SUBSTITUTE(SUBSTITUTE(SUBSTITUTE(SUBSTITUTE($E169&amp;""," ",""),"-",""),"+",""),"(",""),")",""),2,20),SUBSTITUTE(SUBSTITUTE(SUBSTITUTE(SUBSTITUTE(SUBSTITUTE($E169&amp;""," ",""),"-",""),"+",""),"(",""),")","")))</f>
        <v/>
      </c>
      <c r="Z169">
        <f>IF(AND(N($R169)&gt;0,$V169&lt;&gt;"Cancelado"),$R169+ROW()/1000000,"")</f>
        <v/>
      </c>
      <c r="AA169">
        <f>IF(AND(OR($V169="Pendiente",$V169="Preparando",$V169="Enviado"),N($U169)&gt;0),$U169+ROW()/1000000,"")</f>
        <v/>
      </c>
      <c r="AB169">
        <f>IF(AND($D169="",$G169=""),"",IF($V169="Cancelado",0,$L169))</f>
        <v/>
      </c>
    </row>
    <row r="170" ht="19" customHeight="1">
      <c r="B170" s="74">
        <f>IF(AND($D170="",$G170=""),"",ROW()-7)</f>
        <v/>
      </c>
      <c r="C170" s="75" t="n"/>
      <c r="D170" s="76" t="n"/>
      <c r="E170" s="77" t="n"/>
      <c r="F170" s="78">
        <f>IF($Y170="","",HYPERLINK("https://wa.me/"&amp;$Y170&amp;"?text="&amp;SUBSTITUTE("Hola "&amp;$D170&amp;", te escribo por tu pedido de "&amp;$G170&amp;"."," ","%20"),"Abrir chat"))</f>
        <v/>
      </c>
      <c r="G170" s="79" t="n"/>
      <c r="H170" s="80" t="n"/>
      <c r="I170" s="81" t="n"/>
      <c r="J170" s="81" t="n"/>
      <c r="K170" s="81" t="n"/>
      <c r="L170" s="82">
        <f>IF(AND($D170="",$G170=""),"",IF(N($H170)=0,1,$H170)*N($I170)-N($J170)+N($K170))</f>
        <v/>
      </c>
      <c r="M170" s="81" t="n"/>
      <c r="N170" s="81" t="n"/>
      <c r="O170" s="83">
        <f>IF(OR(AND($D170="",$G170=""),$M170="",$V170="Cancelado"),"",$L170-N($M170)-N($N170))</f>
        <v/>
      </c>
      <c r="P170" s="79" t="n"/>
      <c r="Q170" s="81" t="n"/>
      <c r="R170" s="82">
        <f>IF(AND($D170="",$G170=""),"",IF($V170="Cancelado",0,MAX(0,$L170-N($Q170))))</f>
        <v/>
      </c>
      <c r="S170" s="60">
        <f>IF(AND($D170="",$G170=""),"",IF($V170="Cancelado","Cancelado",IF($L170&lt;=0,"",IF(N($Q170)&gt;=$L170,"✔ Pagado",IF(N($Q170)&gt;0,"⚠ Pago parcial","✖ Sin pagar")))))</f>
        <v/>
      </c>
      <c r="T170" s="79" t="n"/>
      <c r="U170" s="75" t="n"/>
      <c r="V170" s="84" t="n"/>
      <c r="W170" s="61">
        <f>IF(AND($D170="",$G170=""),"",IF($C170="","⚠ Falta la fecha del pedido",IF($V170="","⚠ Elegí el estado de entrega",IF($V170="Cancelado","Cancelado",IF($V170="Entregado",IF($R170&gt;0,"⚠ Entregado: falta cobrar","✔ Cerrado"),IF(AND(N($U170)&gt;0,$U170&lt;TODAY()),"✖ Entrega atrasada ("&amp;(TODAY()-$U170)&amp;" d)","En curso"))))))</f>
        <v/>
      </c>
      <c r="X170" s="79" t="n"/>
      <c r="Y170">
        <f>IF($E170&amp;""="","",IF(LEFT(SUBSTITUTE(SUBSTITUTE(SUBSTITUTE(SUBSTITUTE(SUBSTITUTE($E170&amp;""," ",""),"-",""),"+",""),"(",""),")",""),1)="0",PaisCod&amp;MID(SUBSTITUTE(SUBSTITUTE(SUBSTITUTE(SUBSTITUTE(SUBSTITUTE($E170&amp;""," ",""),"-",""),"+",""),"(",""),")",""),2,20),SUBSTITUTE(SUBSTITUTE(SUBSTITUTE(SUBSTITUTE(SUBSTITUTE($E170&amp;""," ",""),"-",""),"+",""),"(",""),")","")))</f>
        <v/>
      </c>
      <c r="Z170">
        <f>IF(AND(N($R170)&gt;0,$V170&lt;&gt;"Cancelado"),$R170+ROW()/1000000,"")</f>
        <v/>
      </c>
      <c r="AA170">
        <f>IF(AND(OR($V170="Pendiente",$V170="Preparando",$V170="Enviado"),N($U170)&gt;0),$U170+ROW()/1000000,"")</f>
        <v/>
      </c>
      <c r="AB170">
        <f>IF(AND($D170="",$G170=""),"",IF($V170="Cancelado",0,$L170))</f>
        <v/>
      </c>
    </row>
    <row r="171" ht="19" customHeight="1">
      <c r="B171" s="85">
        <f>IF(AND($D171="",$G171=""),"",ROW()-7)</f>
        <v/>
      </c>
      <c r="C171" s="75" t="n"/>
      <c r="D171" s="76" t="n"/>
      <c r="E171" s="77" t="n"/>
      <c r="F171" s="86">
        <f>IF($Y171="","",HYPERLINK("https://wa.me/"&amp;$Y171&amp;"?text="&amp;SUBSTITUTE("Hola "&amp;$D171&amp;", te escribo por tu pedido de "&amp;$G171&amp;"."," ","%20"),"Abrir chat"))</f>
        <v/>
      </c>
      <c r="G171" s="79" t="n"/>
      <c r="H171" s="80" t="n"/>
      <c r="I171" s="81" t="n"/>
      <c r="J171" s="81" t="n"/>
      <c r="K171" s="81" t="n"/>
      <c r="L171" s="82">
        <f>IF(AND($D171="",$G171=""),"",IF(N($H171)=0,1,$H171)*N($I171)-N($J171)+N($K171))</f>
        <v/>
      </c>
      <c r="M171" s="81" t="n"/>
      <c r="N171" s="81" t="n"/>
      <c r="O171" s="87">
        <f>IF(OR(AND($D171="",$G171=""),$M171="",$V171="Cancelado"),"",$L171-N($M171)-N($N171))</f>
        <v/>
      </c>
      <c r="P171" s="79" t="n"/>
      <c r="Q171" s="81" t="n"/>
      <c r="R171" s="82">
        <f>IF(AND($D171="",$G171=""),"",IF($V171="Cancelado",0,MAX(0,$L171-N($Q171))))</f>
        <v/>
      </c>
      <c r="S171" s="63">
        <f>IF(AND($D171="",$G171=""),"",IF($V171="Cancelado","Cancelado",IF($L171&lt;=0,"",IF(N($Q171)&gt;=$L171,"✔ Pagado",IF(N($Q171)&gt;0,"⚠ Pago parcial","✖ Sin pagar")))))</f>
        <v/>
      </c>
      <c r="T171" s="79" t="n"/>
      <c r="U171" s="75" t="n"/>
      <c r="V171" s="84" t="n"/>
      <c r="W171" s="64">
        <f>IF(AND($D171="",$G171=""),"",IF($C171="","⚠ Falta la fecha del pedido",IF($V171="","⚠ Elegí el estado de entrega",IF($V171="Cancelado","Cancelado",IF($V171="Entregado",IF($R171&gt;0,"⚠ Entregado: falta cobrar","✔ Cerrado"),IF(AND(N($U171)&gt;0,$U171&lt;TODAY()),"✖ Entrega atrasada ("&amp;(TODAY()-$U171)&amp;" d)","En curso"))))))</f>
        <v/>
      </c>
      <c r="X171" s="79" t="n"/>
      <c r="Y171">
        <f>IF($E171&amp;""="","",IF(LEFT(SUBSTITUTE(SUBSTITUTE(SUBSTITUTE(SUBSTITUTE(SUBSTITUTE($E171&amp;""," ",""),"-",""),"+",""),"(",""),")",""),1)="0",PaisCod&amp;MID(SUBSTITUTE(SUBSTITUTE(SUBSTITUTE(SUBSTITUTE(SUBSTITUTE($E171&amp;""," ",""),"-",""),"+",""),"(",""),")",""),2,20),SUBSTITUTE(SUBSTITUTE(SUBSTITUTE(SUBSTITUTE(SUBSTITUTE($E171&amp;""," ",""),"-",""),"+",""),"(",""),")","")))</f>
        <v/>
      </c>
      <c r="Z171">
        <f>IF(AND(N($R171)&gt;0,$V171&lt;&gt;"Cancelado"),$R171+ROW()/1000000,"")</f>
        <v/>
      </c>
      <c r="AA171">
        <f>IF(AND(OR($V171="Pendiente",$V171="Preparando",$V171="Enviado"),N($U171)&gt;0),$U171+ROW()/1000000,"")</f>
        <v/>
      </c>
      <c r="AB171">
        <f>IF(AND($D171="",$G171=""),"",IF($V171="Cancelado",0,$L171))</f>
        <v/>
      </c>
    </row>
    <row r="172" ht="19" customHeight="1">
      <c r="B172" s="74">
        <f>IF(AND($D172="",$G172=""),"",ROW()-7)</f>
        <v/>
      </c>
      <c r="C172" s="75" t="n"/>
      <c r="D172" s="76" t="n"/>
      <c r="E172" s="77" t="n"/>
      <c r="F172" s="78">
        <f>IF($Y172="","",HYPERLINK("https://wa.me/"&amp;$Y172&amp;"?text="&amp;SUBSTITUTE("Hola "&amp;$D172&amp;", te escribo por tu pedido de "&amp;$G172&amp;"."," ","%20"),"Abrir chat"))</f>
        <v/>
      </c>
      <c r="G172" s="79" t="n"/>
      <c r="H172" s="80" t="n"/>
      <c r="I172" s="81" t="n"/>
      <c r="J172" s="81" t="n"/>
      <c r="K172" s="81" t="n"/>
      <c r="L172" s="82">
        <f>IF(AND($D172="",$G172=""),"",IF(N($H172)=0,1,$H172)*N($I172)-N($J172)+N($K172))</f>
        <v/>
      </c>
      <c r="M172" s="81" t="n"/>
      <c r="N172" s="81" t="n"/>
      <c r="O172" s="83">
        <f>IF(OR(AND($D172="",$G172=""),$M172="",$V172="Cancelado"),"",$L172-N($M172)-N($N172))</f>
        <v/>
      </c>
      <c r="P172" s="79" t="n"/>
      <c r="Q172" s="81" t="n"/>
      <c r="R172" s="82">
        <f>IF(AND($D172="",$G172=""),"",IF($V172="Cancelado",0,MAX(0,$L172-N($Q172))))</f>
        <v/>
      </c>
      <c r="S172" s="60">
        <f>IF(AND($D172="",$G172=""),"",IF($V172="Cancelado","Cancelado",IF($L172&lt;=0,"",IF(N($Q172)&gt;=$L172,"✔ Pagado",IF(N($Q172)&gt;0,"⚠ Pago parcial","✖ Sin pagar")))))</f>
        <v/>
      </c>
      <c r="T172" s="79" t="n"/>
      <c r="U172" s="75" t="n"/>
      <c r="V172" s="84" t="n"/>
      <c r="W172" s="61">
        <f>IF(AND($D172="",$G172=""),"",IF($C172="","⚠ Falta la fecha del pedido",IF($V172="","⚠ Elegí el estado de entrega",IF($V172="Cancelado","Cancelado",IF($V172="Entregado",IF($R172&gt;0,"⚠ Entregado: falta cobrar","✔ Cerrado"),IF(AND(N($U172)&gt;0,$U172&lt;TODAY()),"✖ Entrega atrasada ("&amp;(TODAY()-$U172)&amp;" d)","En curso"))))))</f>
        <v/>
      </c>
      <c r="X172" s="79" t="n"/>
      <c r="Y172">
        <f>IF($E172&amp;""="","",IF(LEFT(SUBSTITUTE(SUBSTITUTE(SUBSTITUTE(SUBSTITUTE(SUBSTITUTE($E172&amp;""," ",""),"-",""),"+",""),"(",""),")",""),1)="0",PaisCod&amp;MID(SUBSTITUTE(SUBSTITUTE(SUBSTITUTE(SUBSTITUTE(SUBSTITUTE($E172&amp;""," ",""),"-",""),"+",""),"(",""),")",""),2,20),SUBSTITUTE(SUBSTITUTE(SUBSTITUTE(SUBSTITUTE(SUBSTITUTE($E172&amp;""," ",""),"-",""),"+",""),"(",""),")","")))</f>
        <v/>
      </c>
      <c r="Z172">
        <f>IF(AND(N($R172)&gt;0,$V172&lt;&gt;"Cancelado"),$R172+ROW()/1000000,"")</f>
        <v/>
      </c>
      <c r="AA172">
        <f>IF(AND(OR($V172="Pendiente",$V172="Preparando",$V172="Enviado"),N($U172)&gt;0),$U172+ROW()/1000000,"")</f>
        <v/>
      </c>
      <c r="AB172">
        <f>IF(AND($D172="",$G172=""),"",IF($V172="Cancelado",0,$L172))</f>
        <v/>
      </c>
    </row>
    <row r="173" ht="19" customHeight="1">
      <c r="B173" s="85">
        <f>IF(AND($D173="",$G173=""),"",ROW()-7)</f>
        <v/>
      </c>
      <c r="C173" s="75" t="n"/>
      <c r="D173" s="76" t="n"/>
      <c r="E173" s="77" t="n"/>
      <c r="F173" s="86">
        <f>IF($Y173="","",HYPERLINK("https://wa.me/"&amp;$Y173&amp;"?text="&amp;SUBSTITUTE("Hola "&amp;$D173&amp;", te escribo por tu pedido de "&amp;$G173&amp;"."," ","%20"),"Abrir chat"))</f>
        <v/>
      </c>
      <c r="G173" s="79" t="n"/>
      <c r="H173" s="80" t="n"/>
      <c r="I173" s="81" t="n"/>
      <c r="J173" s="81" t="n"/>
      <c r="K173" s="81" t="n"/>
      <c r="L173" s="82">
        <f>IF(AND($D173="",$G173=""),"",IF(N($H173)=0,1,$H173)*N($I173)-N($J173)+N($K173))</f>
        <v/>
      </c>
      <c r="M173" s="81" t="n"/>
      <c r="N173" s="81" t="n"/>
      <c r="O173" s="87">
        <f>IF(OR(AND($D173="",$G173=""),$M173="",$V173="Cancelado"),"",$L173-N($M173)-N($N173))</f>
        <v/>
      </c>
      <c r="P173" s="79" t="n"/>
      <c r="Q173" s="81" t="n"/>
      <c r="R173" s="82">
        <f>IF(AND($D173="",$G173=""),"",IF($V173="Cancelado",0,MAX(0,$L173-N($Q173))))</f>
        <v/>
      </c>
      <c r="S173" s="63">
        <f>IF(AND($D173="",$G173=""),"",IF($V173="Cancelado","Cancelado",IF($L173&lt;=0,"",IF(N($Q173)&gt;=$L173,"✔ Pagado",IF(N($Q173)&gt;0,"⚠ Pago parcial","✖ Sin pagar")))))</f>
        <v/>
      </c>
      <c r="T173" s="79" t="n"/>
      <c r="U173" s="75" t="n"/>
      <c r="V173" s="84" t="n"/>
      <c r="W173" s="64">
        <f>IF(AND($D173="",$G173=""),"",IF($C173="","⚠ Falta la fecha del pedido",IF($V173="","⚠ Elegí el estado de entrega",IF($V173="Cancelado","Cancelado",IF($V173="Entregado",IF($R173&gt;0,"⚠ Entregado: falta cobrar","✔ Cerrado"),IF(AND(N($U173)&gt;0,$U173&lt;TODAY()),"✖ Entrega atrasada ("&amp;(TODAY()-$U173)&amp;" d)","En curso"))))))</f>
        <v/>
      </c>
      <c r="X173" s="79" t="n"/>
      <c r="Y173">
        <f>IF($E173&amp;""="","",IF(LEFT(SUBSTITUTE(SUBSTITUTE(SUBSTITUTE(SUBSTITUTE(SUBSTITUTE($E173&amp;""," ",""),"-",""),"+",""),"(",""),")",""),1)="0",PaisCod&amp;MID(SUBSTITUTE(SUBSTITUTE(SUBSTITUTE(SUBSTITUTE(SUBSTITUTE($E173&amp;""," ",""),"-",""),"+",""),"(",""),")",""),2,20),SUBSTITUTE(SUBSTITUTE(SUBSTITUTE(SUBSTITUTE(SUBSTITUTE($E173&amp;""," ",""),"-",""),"+",""),"(",""),")","")))</f>
        <v/>
      </c>
      <c r="Z173">
        <f>IF(AND(N($R173)&gt;0,$V173&lt;&gt;"Cancelado"),$R173+ROW()/1000000,"")</f>
        <v/>
      </c>
      <c r="AA173">
        <f>IF(AND(OR($V173="Pendiente",$V173="Preparando",$V173="Enviado"),N($U173)&gt;0),$U173+ROW()/1000000,"")</f>
        <v/>
      </c>
      <c r="AB173">
        <f>IF(AND($D173="",$G173=""),"",IF($V173="Cancelado",0,$L173))</f>
        <v/>
      </c>
    </row>
    <row r="174" ht="19" customHeight="1">
      <c r="B174" s="74">
        <f>IF(AND($D174="",$G174=""),"",ROW()-7)</f>
        <v/>
      </c>
      <c r="C174" s="75" t="n"/>
      <c r="D174" s="76" t="n"/>
      <c r="E174" s="77" t="n"/>
      <c r="F174" s="78">
        <f>IF($Y174="","",HYPERLINK("https://wa.me/"&amp;$Y174&amp;"?text="&amp;SUBSTITUTE("Hola "&amp;$D174&amp;", te escribo por tu pedido de "&amp;$G174&amp;"."," ","%20"),"Abrir chat"))</f>
        <v/>
      </c>
      <c r="G174" s="79" t="n"/>
      <c r="H174" s="80" t="n"/>
      <c r="I174" s="81" t="n"/>
      <c r="J174" s="81" t="n"/>
      <c r="K174" s="81" t="n"/>
      <c r="L174" s="82">
        <f>IF(AND($D174="",$G174=""),"",IF(N($H174)=0,1,$H174)*N($I174)-N($J174)+N($K174))</f>
        <v/>
      </c>
      <c r="M174" s="81" t="n"/>
      <c r="N174" s="81" t="n"/>
      <c r="O174" s="83">
        <f>IF(OR(AND($D174="",$G174=""),$M174="",$V174="Cancelado"),"",$L174-N($M174)-N($N174))</f>
        <v/>
      </c>
      <c r="P174" s="79" t="n"/>
      <c r="Q174" s="81" t="n"/>
      <c r="R174" s="82">
        <f>IF(AND($D174="",$G174=""),"",IF($V174="Cancelado",0,MAX(0,$L174-N($Q174))))</f>
        <v/>
      </c>
      <c r="S174" s="60">
        <f>IF(AND($D174="",$G174=""),"",IF($V174="Cancelado","Cancelado",IF($L174&lt;=0,"",IF(N($Q174)&gt;=$L174,"✔ Pagado",IF(N($Q174)&gt;0,"⚠ Pago parcial","✖ Sin pagar")))))</f>
        <v/>
      </c>
      <c r="T174" s="79" t="n"/>
      <c r="U174" s="75" t="n"/>
      <c r="V174" s="84" t="n"/>
      <c r="W174" s="61">
        <f>IF(AND($D174="",$G174=""),"",IF($C174="","⚠ Falta la fecha del pedido",IF($V174="","⚠ Elegí el estado de entrega",IF($V174="Cancelado","Cancelado",IF($V174="Entregado",IF($R174&gt;0,"⚠ Entregado: falta cobrar","✔ Cerrado"),IF(AND(N($U174)&gt;0,$U174&lt;TODAY()),"✖ Entrega atrasada ("&amp;(TODAY()-$U174)&amp;" d)","En curso"))))))</f>
        <v/>
      </c>
      <c r="X174" s="79" t="n"/>
      <c r="Y174">
        <f>IF($E174&amp;""="","",IF(LEFT(SUBSTITUTE(SUBSTITUTE(SUBSTITUTE(SUBSTITUTE(SUBSTITUTE($E174&amp;""," ",""),"-",""),"+",""),"(",""),")",""),1)="0",PaisCod&amp;MID(SUBSTITUTE(SUBSTITUTE(SUBSTITUTE(SUBSTITUTE(SUBSTITUTE($E174&amp;""," ",""),"-",""),"+",""),"(",""),")",""),2,20),SUBSTITUTE(SUBSTITUTE(SUBSTITUTE(SUBSTITUTE(SUBSTITUTE($E174&amp;""," ",""),"-",""),"+",""),"(",""),")","")))</f>
        <v/>
      </c>
      <c r="Z174">
        <f>IF(AND(N($R174)&gt;0,$V174&lt;&gt;"Cancelado"),$R174+ROW()/1000000,"")</f>
        <v/>
      </c>
      <c r="AA174">
        <f>IF(AND(OR($V174="Pendiente",$V174="Preparando",$V174="Enviado"),N($U174)&gt;0),$U174+ROW()/1000000,"")</f>
        <v/>
      </c>
      <c r="AB174">
        <f>IF(AND($D174="",$G174=""),"",IF($V174="Cancelado",0,$L174))</f>
        <v/>
      </c>
    </row>
    <row r="175" ht="19" customHeight="1">
      <c r="B175" s="85">
        <f>IF(AND($D175="",$G175=""),"",ROW()-7)</f>
        <v/>
      </c>
      <c r="C175" s="75" t="n"/>
      <c r="D175" s="76" t="n"/>
      <c r="E175" s="77" t="n"/>
      <c r="F175" s="86">
        <f>IF($Y175="","",HYPERLINK("https://wa.me/"&amp;$Y175&amp;"?text="&amp;SUBSTITUTE("Hola "&amp;$D175&amp;", te escribo por tu pedido de "&amp;$G175&amp;"."," ","%20"),"Abrir chat"))</f>
        <v/>
      </c>
      <c r="G175" s="79" t="n"/>
      <c r="H175" s="80" t="n"/>
      <c r="I175" s="81" t="n"/>
      <c r="J175" s="81" t="n"/>
      <c r="K175" s="81" t="n"/>
      <c r="L175" s="82">
        <f>IF(AND($D175="",$G175=""),"",IF(N($H175)=0,1,$H175)*N($I175)-N($J175)+N($K175))</f>
        <v/>
      </c>
      <c r="M175" s="81" t="n"/>
      <c r="N175" s="81" t="n"/>
      <c r="O175" s="87">
        <f>IF(OR(AND($D175="",$G175=""),$M175="",$V175="Cancelado"),"",$L175-N($M175)-N($N175))</f>
        <v/>
      </c>
      <c r="P175" s="79" t="n"/>
      <c r="Q175" s="81" t="n"/>
      <c r="R175" s="82">
        <f>IF(AND($D175="",$G175=""),"",IF($V175="Cancelado",0,MAX(0,$L175-N($Q175))))</f>
        <v/>
      </c>
      <c r="S175" s="63">
        <f>IF(AND($D175="",$G175=""),"",IF($V175="Cancelado","Cancelado",IF($L175&lt;=0,"",IF(N($Q175)&gt;=$L175,"✔ Pagado",IF(N($Q175)&gt;0,"⚠ Pago parcial","✖ Sin pagar")))))</f>
        <v/>
      </c>
      <c r="T175" s="79" t="n"/>
      <c r="U175" s="75" t="n"/>
      <c r="V175" s="84" t="n"/>
      <c r="W175" s="64">
        <f>IF(AND($D175="",$G175=""),"",IF($C175="","⚠ Falta la fecha del pedido",IF($V175="","⚠ Elegí el estado de entrega",IF($V175="Cancelado","Cancelado",IF($V175="Entregado",IF($R175&gt;0,"⚠ Entregado: falta cobrar","✔ Cerrado"),IF(AND(N($U175)&gt;0,$U175&lt;TODAY()),"✖ Entrega atrasada ("&amp;(TODAY()-$U175)&amp;" d)","En curso"))))))</f>
        <v/>
      </c>
      <c r="X175" s="79" t="n"/>
      <c r="Y175">
        <f>IF($E175&amp;""="","",IF(LEFT(SUBSTITUTE(SUBSTITUTE(SUBSTITUTE(SUBSTITUTE(SUBSTITUTE($E175&amp;""," ",""),"-",""),"+",""),"(",""),")",""),1)="0",PaisCod&amp;MID(SUBSTITUTE(SUBSTITUTE(SUBSTITUTE(SUBSTITUTE(SUBSTITUTE($E175&amp;""," ",""),"-",""),"+",""),"(",""),")",""),2,20),SUBSTITUTE(SUBSTITUTE(SUBSTITUTE(SUBSTITUTE(SUBSTITUTE($E175&amp;""," ",""),"-",""),"+",""),"(",""),")","")))</f>
        <v/>
      </c>
      <c r="Z175">
        <f>IF(AND(N($R175)&gt;0,$V175&lt;&gt;"Cancelado"),$R175+ROW()/1000000,"")</f>
        <v/>
      </c>
      <c r="AA175">
        <f>IF(AND(OR($V175="Pendiente",$V175="Preparando",$V175="Enviado"),N($U175)&gt;0),$U175+ROW()/1000000,"")</f>
        <v/>
      </c>
      <c r="AB175">
        <f>IF(AND($D175="",$G175=""),"",IF($V175="Cancelado",0,$L175))</f>
        <v/>
      </c>
    </row>
    <row r="176" ht="19" customHeight="1">
      <c r="B176" s="74">
        <f>IF(AND($D176="",$G176=""),"",ROW()-7)</f>
        <v/>
      </c>
      <c r="C176" s="75" t="n"/>
      <c r="D176" s="76" t="n"/>
      <c r="E176" s="77" t="n"/>
      <c r="F176" s="78">
        <f>IF($Y176="","",HYPERLINK("https://wa.me/"&amp;$Y176&amp;"?text="&amp;SUBSTITUTE("Hola "&amp;$D176&amp;", te escribo por tu pedido de "&amp;$G176&amp;"."," ","%20"),"Abrir chat"))</f>
        <v/>
      </c>
      <c r="G176" s="79" t="n"/>
      <c r="H176" s="80" t="n"/>
      <c r="I176" s="81" t="n"/>
      <c r="J176" s="81" t="n"/>
      <c r="K176" s="81" t="n"/>
      <c r="L176" s="82">
        <f>IF(AND($D176="",$G176=""),"",IF(N($H176)=0,1,$H176)*N($I176)-N($J176)+N($K176))</f>
        <v/>
      </c>
      <c r="M176" s="81" t="n"/>
      <c r="N176" s="81" t="n"/>
      <c r="O176" s="83">
        <f>IF(OR(AND($D176="",$G176=""),$M176="",$V176="Cancelado"),"",$L176-N($M176)-N($N176))</f>
        <v/>
      </c>
      <c r="P176" s="79" t="n"/>
      <c r="Q176" s="81" t="n"/>
      <c r="R176" s="82">
        <f>IF(AND($D176="",$G176=""),"",IF($V176="Cancelado",0,MAX(0,$L176-N($Q176))))</f>
        <v/>
      </c>
      <c r="S176" s="60">
        <f>IF(AND($D176="",$G176=""),"",IF($V176="Cancelado","Cancelado",IF($L176&lt;=0,"",IF(N($Q176)&gt;=$L176,"✔ Pagado",IF(N($Q176)&gt;0,"⚠ Pago parcial","✖ Sin pagar")))))</f>
        <v/>
      </c>
      <c r="T176" s="79" t="n"/>
      <c r="U176" s="75" t="n"/>
      <c r="V176" s="84" t="n"/>
      <c r="W176" s="61">
        <f>IF(AND($D176="",$G176=""),"",IF($C176="","⚠ Falta la fecha del pedido",IF($V176="","⚠ Elegí el estado de entrega",IF($V176="Cancelado","Cancelado",IF($V176="Entregado",IF($R176&gt;0,"⚠ Entregado: falta cobrar","✔ Cerrado"),IF(AND(N($U176)&gt;0,$U176&lt;TODAY()),"✖ Entrega atrasada ("&amp;(TODAY()-$U176)&amp;" d)","En curso"))))))</f>
        <v/>
      </c>
      <c r="X176" s="79" t="n"/>
      <c r="Y176">
        <f>IF($E176&amp;""="","",IF(LEFT(SUBSTITUTE(SUBSTITUTE(SUBSTITUTE(SUBSTITUTE(SUBSTITUTE($E176&amp;""," ",""),"-",""),"+",""),"(",""),")",""),1)="0",PaisCod&amp;MID(SUBSTITUTE(SUBSTITUTE(SUBSTITUTE(SUBSTITUTE(SUBSTITUTE($E176&amp;""," ",""),"-",""),"+",""),"(",""),")",""),2,20),SUBSTITUTE(SUBSTITUTE(SUBSTITUTE(SUBSTITUTE(SUBSTITUTE($E176&amp;""," ",""),"-",""),"+",""),"(",""),")","")))</f>
        <v/>
      </c>
      <c r="Z176">
        <f>IF(AND(N($R176)&gt;0,$V176&lt;&gt;"Cancelado"),$R176+ROW()/1000000,"")</f>
        <v/>
      </c>
      <c r="AA176">
        <f>IF(AND(OR($V176="Pendiente",$V176="Preparando",$V176="Enviado"),N($U176)&gt;0),$U176+ROW()/1000000,"")</f>
        <v/>
      </c>
      <c r="AB176">
        <f>IF(AND($D176="",$G176=""),"",IF($V176="Cancelado",0,$L176))</f>
        <v/>
      </c>
    </row>
    <row r="177" ht="19" customHeight="1">
      <c r="B177" s="85">
        <f>IF(AND($D177="",$G177=""),"",ROW()-7)</f>
        <v/>
      </c>
      <c r="C177" s="75" t="n"/>
      <c r="D177" s="76" t="n"/>
      <c r="E177" s="77" t="n"/>
      <c r="F177" s="86">
        <f>IF($Y177="","",HYPERLINK("https://wa.me/"&amp;$Y177&amp;"?text="&amp;SUBSTITUTE("Hola "&amp;$D177&amp;", te escribo por tu pedido de "&amp;$G177&amp;"."," ","%20"),"Abrir chat"))</f>
        <v/>
      </c>
      <c r="G177" s="79" t="n"/>
      <c r="H177" s="80" t="n"/>
      <c r="I177" s="81" t="n"/>
      <c r="J177" s="81" t="n"/>
      <c r="K177" s="81" t="n"/>
      <c r="L177" s="82">
        <f>IF(AND($D177="",$G177=""),"",IF(N($H177)=0,1,$H177)*N($I177)-N($J177)+N($K177))</f>
        <v/>
      </c>
      <c r="M177" s="81" t="n"/>
      <c r="N177" s="81" t="n"/>
      <c r="O177" s="87">
        <f>IF(OR(AND($D177="",$G177=""),$M177="",$V177="Cancelado"),"",$L177-N($M177)-N($N177))</f>
        <v/>
      </c>
      <c r="P177" s="79" t="n"/>
      <c r="Q177" s="81" t="n"/>
      <c r="R177" s="82">
        <f>IF(AND($D177="",$G177=""),"",IF($V177="Cancelado",0,MAX(0,$L177-N($Q177))))</f>
        <v/>
      </c>
      <c r="S177" s="63">
        <f>IF(AND($D177="",$G177=""),"",IF($V177="Cancelado","Cancelado",IF($L177&lt;=0,"",IF(N($Q177)&gt;=$L177,"✔ Pagado",IF(N($Q177)&gt;0,"⚠ Pago parcial","✖ Sin pagar")))))</f>
        <v/>
      </c>
      <c r="T177" s="79" t="n"/>
      <c r="U177" s="75" t="n"/>
      <c r="V177" s="84" t="n"/>
      <c r="W177" s="64">
        <f>IF(AND($D177="",$G177=""),"",IF($C177="","⚠ Falta la fecha del pedido",IF($V177="","⚠ Elegí el estado de entrega",IF($V177="Cancelado","Cancelado",IF($V177="Entregado",IF($R177&gt;0,"⚠ Entregado: falta cobrar","✔ Cerrado"),IF(AND(N($U177)&gt;0,$U177&lt;TODAY()),"✖ Entrega atrasada ("&amp;(TODAY()-$U177)&amp;" d)","En curso"))))))</f>
        <v/>
      </c>
      <c r="X177" s="79" t="n"/>
      <c r="Y177">
        <f>IF($E177&amp;""="","",IF(LEFT(SUBSTITUTE(SUBSTITUTE(SUBSTITUTE(SUBSTITUTE(SUBSTITUTE($E177&amp;""," ",""),"-",""),"+",""),"(",""),")",""),1)="0",PaisCod&amp;MID(SUBSTITUTE(SUBSTITUTE(SUBSTITUTE(SUBSTITUTE(SUBSTITUTE($E177&amp;""," ",""),"-",""),"+",""),"(",""),")",""),2,20),SUBSTITUTE(SUBSTITUTE(SUBSTITUTE(SUBSTITUTE(SUBSTITUTE($E177&amp;""," ",""),"-",""),"+",""),"(",""),")","")))</f>
        <v/>
      </c>
      <c r="Z177">
        <f>IF(AND(N($R177)&gt;0,$V177&lt;&gt;"Cancelado"),$R177+ROW()/1000000,"")</f>
        <v/>
      </c>
      <c r="AA177">
        <f>IF(AND(OR($V177="Pendiente",$V177="Preparando",$V177="Enviado"),N($U177)&gt;0),$U177+ROW()/1000000,"")</f>
        <v/>
      </c>
      <c r="AB177">
        <f>IF(AND($D177="",$G177=""),"",IF($V177="Cancelado",0,$L177))</f>
        <v/>
      </c>
    </row>
    <row r="178" ht="19" customHeight="1">
      <c r="B178" s="74">
        <f>IF(AND($D178="",$G178=""),"",ROW()-7)</f>
        <v/>
      </c>
      <c r="C178" s="75" t="n"/>
      <c r="D178" s="76" t="n"/>
      <c r="E178" s="77" t="n"/>
      <c r="F178" s="78">
        <f>IF($Y178="","",HYPERLINK("https://wa.me/"&amp;$Y178&amp;"?text="&amp;SUBSTITUTE("Hola "&amp;$D178&amp;", te escribo por tu pedido de "&amp;$G178&amp;"."," ","%20"),"Abrir chat"))</f>
        <v/>
      </c>
      <c r="G178" s="79" t="n"/>
      <c r="H178" s="80" t="n"/>
      <c r="I178" s="81" t="n"/>
      <c r="J178" s="81" t="n"/>
      <c r="K178" s="81" t="n"/>
      <c r="L178" s="82">
        <f>IF(AND($D178="",$G178=""),"",IF(N($H178)=0,1,$H178)*N($I178)-N($J178)+N($K178))</f>
        <v/>
      </c>
      <c r="M178" s="81" t="n"/>
      <c r="N178" s="81" t="n"/>
      <c r="O178" s="83">
        <f>IF(OR(AND($D178="",$G178=""),$M178="",$V178="Cancelado"),"",$L178-N($M178)-N($N178))</f>
        <v/>
      </c>
      <c r="P178" s="79" t="n"/>
      <c r="Q178" s="81" t="n"/>
      <c r="R178" s="82">
        <f>IF(AND($D178="",$G178=""),"",IF($V178="Cancelado",0,MAX(0,$L178-N($Q178))))</f>
        <v/>
      </c>
      <c r="S178" s="60">
        <f>IF(AND($D178="",$G178=""),"",IF($V178="Cancelado","Cancelado",IF($L178&lt;=0,"",IF(N($Q178)&gt;=$L178,"✔ Pagado",IF(N($Q178)&gt;0,"⚠ Pago parcial","✖ Sin pagar")))))</f>
        <v/>
      </c>
      <c r="T178" s="79" t="n"/>
      <c r="U178" s="75" t="n"/>
      <c r="V178" s="84" t="n"/>
      <c r="W178" s="61">
        <f>IF(AND($D178="",$G178=""),"",IF($C178="","⚠ Falta la fecha del pedido",IF($V178="","⚠ Elegí el estado de entrega",IF($V178="Cancelado","Cancelado",IF($V178="Entregado",IF($R178&gt;0,"⚠ Entregado: falta cobrar","✔ Cerrado"),IF(AND(N($U178)&gt;0,$U178&lt;TODAY()),"✖ Entrega atrasada ("&amp;(TODAY()-$U178)&amp;" d)","En curso"))))))</f>
        <v/>
      </c>
      <c r="X178" s="79" t="n"/>
      <c r="Y178">
        <f>IF($E178&amp;""="","",IF(LEFT(SUBSTITUTE(SUBSTITUTE(SUBSTITUTE(SUBSTITUTE(SUBSTITUTE($E178&amp;""," ",""),"-",""),"+",""),"(",""),")",""),1)="0",PaisCod&amp;MID(SUBSTITUTE(SUBSTITUTE(SUBSTITUTE(SUBSTITUTE(SUBSTITUTE($E178&amp;""," ",""),"-",""),"+",""),"(",""),")",""),2,20),SUBSTITUTE(SUBSTITUTE(SUBSTITUTE(SUBSTITUTE(SUBSTITUTE($E178&amp;""," ",""),"-",""),"+",""),"(",""),")","")))</f>
        <v/>
      </c>
      <c r="Z178">
        <f>IF(AND(N($R178)&gt;0,$V178&lt;&gt;"Cancelado"),$R178+ROW()/1000000,"")</f>
        <v/>
      </c>
      <c r="AA178">
        <f>IF(AND(OR($V178="Pendiente",$V178="Preparando",$V178="Enviado"),N($U178)&gt;0),$U178+ROW()/1000000,"")</f>
        <v/>
      </c>
      <c r="AB178">
        <f>IF(AND($D178="",$G178=""),"",IF($V178="Cancelado",0,$L178))</f>
        <v/>
      </c>
    </row>
    <row r="179" ht="19" customHeight="1">
      <c r="B179" s="85">
        <f>IF(AND($D179="",$G179=""),"",ROW()-7)</f>
        <v/>
      </c>
      <c r="C179" s="75" t="n"/>
      <c r="D179" s="76" t="n"/>
      <c r="E179" s="77" t="n"/>
      <c r="F179" s="86">
        <f>IF($Y179="","",HYPERLINK("https://wa.me/"&amp;$Y179&amp;"?text="&amp;SUBSTITUTE("Hola "&amp;$D179&amp;", te escribo por tu pedido de "&amp;$G179&amp;"."," ","%20"),"Abrir chat"))</f>
        <v/>
      </c>
      <c r="G179" s="79" t="n"/>
      <c r="H179" s="80" t="n"/>
      <c r="I179" s="81" t="n"/>
      <c r="J179" s="81" t="n"/>
      <c r="K179" s="81" t="n"/>
      <c r="L179" s="82">
        <f>IF(AND($D179="",$G179=""),"",IF(N($H179)=0,1,$H179)*N($I179)-N($J179)+N($K179))</f>
        <v/>
      </c>
      <c r="M179" s="81" t="n"/>
      <c r="N179" s="81" t="n"/>
      <c r="O179" s="87">
        <f>IF(OR(AND($D179="",$G179=""),$M179="",$V179="Cancelado"),"",$L179-N($M179)-N($N179))</f>
        <v/>
      </c>
      <c r="P179" s="79" t="n"/>
      <c r="Q179" s="81" t="n"/>
      <c r="R179" s="82">
        <f>IF(AND($D179="",$G179=""),"",IF($V179="Cancelado",0,MAX(0,$L179-N($Q179))))</f>
        <v/>
      </c>
      <c r="S179" s="63">
        <f>IF(AND($D179="",$G179=""),"",IF($V179="Cancelado","Cancelado",IF($L179&lt;=0,"",IF(N($Q179)&gt;=$L179,"✔ Pagado",IF(N($Q179)&gt;0,"⚠ Pago parcial","✖ Sin pagar")))))</f>
        <v/>
      </c>
      <c r="T179" s="79" t="n"/>
      <c r="U179" s="75" t="n"/>
      <c r="V179" s="84" t="n"/>
      <c r="W179" s="64">
        <f>IF(AND($D179="",$G179=""),"",IF($C179="","⚠ Falta la fecha del pedido",IF($V179="","⚠ Elegí el estado de entrega",IF($V179="Cancelado","Cancelado",IF($V179="Entregado",IF($R179&gt;0,"⚠ Entregado: falta cobrar","✔ Cerrado"),IF(AND(N($U179)&gt;0,$U179&lt;TODAY()),"✖ Entrega atrasada ("&amp;(TODAY()-$U179)&amp;" d)","En curso"))))))</f>
        <v/>
      </c>
      <c r="X179" s="79" t="n"/>
      <c r="Y179">
        <f>IF($E179&amp;""="","",IF(LEFT(SUBSTITUTE(SUBSTITUTE(SUBSTITUTE(SUBSTITUTE(SUBSTITUTE($E179&amp;""," ",""),"-",""),"+",""),"(",""),")",""),1)="0",PaisCod&amp;MID(SUBSTITUTE(SUBSTITUTE(SUBSTITUTE(SUBSTITUTE(SUBSTITUTE($E179&amp;""," ",""),"-",""),"+",""),"(",""),")",""),2,20),SUBSTITUTE(SUBSTITUTE(SUBSTITUTE(SUBSTITUTE(SUBSTITUTE($E179&amp;""," ",""),"-",""),"+",""),"(",""),")","")))</f>
        <v/>
      </c>
      <c r="Z179">
        <f>IF(AND(N($R179)&gt;0,$V179&lt;&gt;"Cancelado"),$R179+ROW()/1000000,"")</f>
        <v/>
      </c>
      <c r="AA179">
        <f>IF(AND(OR($V179="Pendiente",$V179="Preparando",$V179="Enviado"),N($U179)&gt;0),$U179+ROW()/1000000,"")</f>
        <v/>
      </c>
      <c r="AB179">
        <f>IF(AND($D179="",$G179=""),"",IF($V179="Cancelado",0,$L179))</f>
        <v/>
      </c>
    </row>
    <row r="180" ht="19" customHeight="1">
      <c r="B180" s="74">
        <f>IF(AND($D180="",$G180=""),"",ROW()-7)</f>
        <v/>
      </c>
      <c r="C180" s="75" t="n"/>
      <c r="D180" s="76" t="n"/>
      <c r="E180" s="77" t="n"/>
      <c r="F180" s="78">
        <f>IF($Y180="","",HYPERLINK("https://wa.me/"&amp;$Y180&amp;"?text="&amp;SUBSTITUTE("Hola "&amp;$D180&amp;", te escribo por tu pedido de "&amp;$G180&amp;"."," ","%20"),"Abrir chat"))</f>
        <v/>
      </c>
      <c r="G180" s="79" t="n"/>
      <c r="H180" s="80" t="n"/>
      <c r="I180" s="81" t="n"/>
      <c r="J180" s="81" t="n"/>
      <c r="K180" s="81" t="n"/>
      <c r="L180" s="82">
        <f>IF(AND($D180="",$G180=""),"",IF(N($H180)=0,1,$H180)*N($I180)-N($J180)+N($K180))</f>
        <v/>
      </c>
      <c r="M180" s="81" t="n"/>
      <c r="N180" s="81" t="n"/>
      <c r="O180" s="83">
        <f>IF(OR(AND($D180="",$G180=""),$M180="",$V180="Cancelado"),"",$L180-N($M180)-N($N180))</f>
        <v/>
      </c>
      <c r="P180" s="79" t="n"/>
      <c r="Q180" s="81" t="n"/>
      <c r="R180" s="82">
        <f>IF(AND($D180="",$G180=""),"",IF($V180="Cancelado",0,MAX(0,$L180-N($Q180))))</f>
        <v/>
      </c>
      <c r="S180" s="60">
        <f>IF(AND($D180="",$G180=""),"",IF($V180="Cancelado","Cancelado",IF($L180&lt;=0,"",IF(N($Q180)&gt;=$L180,"✔ Pagado",IF(N($Q180)&gt;0,"⚠ Pago parcial","✖ Sin pagar")))))</f>
        <v/>
      </c>
      <c r="T180" s="79" t="n"/>
      <c r="U180" s="75" t="n"/>
      <c r="V180" s="84" t="n"/>
      <c r="W180" s="61">
        <f>IF(AND($D180="",$G180=""),"",IF($C180="","⚠ Falta la fecha del pedido",IF($V180="","⚠ Elegí el estado de entrega",IF($V180="Cancelado","Cancelado",IF($V180="Entregado",IF($R180&gt;0,"⚠ Entregado: falta cobrar","✔ Cerrado"),IF(AND(N($U180)&gt;0,$U180&lt;TODAY()),"✖ Entrega atrasada ("&amp;(TODAY()-$U180)&amp;" d)","En curso"))))))</f>
        <v/>
      </c>
      <c r="X180" s="79" t="n"/>
      <c r="Y180">
        <f>IF($E180&amp;""="","",IF(LEFT(SUBSTITUTE(SUBSTITUTE(SUBSTITUTE(SUBSTITUTE(SUBSTITUTE($E180&amp;""," ",""),"-",""),"+",""),"(",""),")",""),1)="0",PaisCod&amp;MID(SUBSTITUTE(SUBSTITUTE(SUBSTITUTE(SUBSTITUTE(SUBSTITUTE($E180&amp;""," ",""),"-",""),"+",""),"(",""),")",""),2,20),SUBSTITUTE(SUBSTITUTE(SUBSTITUTE(SUBSTITUTE(SUBSTITUTE($E180&amp;""," ",""),"-",""),"+",""),"(",""),")","")))</f>
        <v/>
      </c>
      <c r="Z180">
        <f>IF(AND(N($R180)&gt;0,$V180&lt;&gt;"Cancelado"),$R180+ROW()/1000000,"")</f>
        <v/>
      </c>
      <c r="AA180">
        <f>IF(AND(OR($V180="Pendiente",$V180="Preparando",$V180="Enviado"),N($U180)&gt;0),$U180+ROW()/1000000,"")</f>
        <v/>
      </c>
      <c r="AB180">
        <f>IF(AND($D180="",$G180=""),"",IF($V180="Cancelado",0,$L180))</f>
        <v/>
      </c>
    </row>
    <row r="181" ht="19" customHeight="1">
      <c r="B181" s="85">
        <f>IF(AND($D181="",$G181=""),"",ROW()-7)</f>
        <v/>
      </c>
      <c r="C181" s="75" t="n"/>
      <c r="D181" s="76" t="n"/>
      <c r="E181" s="77" t="n"/>
      <c r="F181" s="86">
        <f>IF($Y181="","",HYPERLINK("https://wa.me/"&amp;$Y181&amp;"?text="&amp;SUBSTITUTE("Hola "&amp;$D181&amp;", te escribo por tu pedido de "&amp;$G181&amp;"."," ","%20"),"Abrir chat"))</f>
        <v/>
      </c>
      <c r="G181" s="79" t="n"/>
      <c r="H181" s="80" t="n"/>
      <c r="I181" s="81" t="n"/>
      <c r="J181" s="81" t="n"/>
      <c r="K181" s="81" t="n"/>
      <c r="L181" s="82">
        <f>IF(AND($D181="",$G181=""),"",IF(N($H181)=0,1,$H181)*N($I181)-N($J181)+N($K181))</f>
        <v/>
      </c>
      <c r="M181" s="81" t="n"/>
      <c r="N181" s="81" t="n"/>
      <c r="O181" s="87">
        <f>IF(OR(AND($D181="",$G181=""),$M181="",$V181="Cancelado"),"",$L181-N($M181)-N($N181))</f>
        <v/>
      </c>
      <c r="P181" s="79" t="n"/>
      <c r="Q181" s="81" t="n"/>
      <c r="R181" s="82">
        <f>IF(AND($D181="",$G181=""),"",IF($V181="Cancelado",0,MAX(0,$L181-N($Q181))))</f>
        <v/>
      </c>
      <c r="S181" s="63">
        <f>IF(AND($D181="",$G181=""),"",IF($V181="Cancelado","Cancelado",IF($L181&lt;=0,"",IF(N($Q181)&gt;=$L181,"✔ Pagado",IF(N($Q181)&gt;0,"⚠ Pago parcial","✖ Sin pagar")))))</f>
        <v/>
      </c>
      <c r="T181" s="79" t="n"/>
      <c r="U181" s="75" t="n"/>
      <c r="V181" s="84" t="n"/>
      <c r="W181" s="64">
        <f>IF(AND($D181="",$G181=""),"",IF($C181="","⚠ Falta la fecha del pedido",IF($V181="","⚠ Elegí el estado de entrega",IF($V181="Cancelado","Cancelado",IF($V181="Entregado",IF($R181&gt;0,"⚠ Entregado: falta cobrar","✔ Cerrado"),IF(AND(N($U181)&gt;0,$U181&lt;TODAY()),"✖ Entrega atrasada ("&amp;(TODAY()-$U181)&amp;" d)","En curso"))))))</f>
        <v/>
      </c>
      <c r="X181" s="79" t="n"/>
      <c r="Y181">
        <f>IF($E181&amp;""="","",IF(LEFT(SUBSTITUTE(SUBSTITUTE(SUBSTITUTE(SUBSTITUTE(SUBSTITUTE($E181&amp;""," ",""),"-",""),"+",""),"(",""),")",""),1)="0",PaisCod&amp;MID(SUBSTITUTE(SUBSTITUTE(SUBSTITUTE(SUBSTITUTE(SUBSTITUTE($E181&amp;""," ",""),"-",""),"+",""),"(",""),")",""),2,20),SUBSTITUTE(SUBSTITUTE(SUBSTITUTE(SUBSTITUTE(SUBSTITUTE($E181&amp;""," ",""),"-",""),"+",""),"(",""),")","")))</f>
        <v/>
      </c>
      <c r="Z181">
        <f>IF(AND(N($R181)&gt;0,$V181&lt;&gt;"Cancelado"),$R181+ROW()/1000000,"")</f>
        <v/>
      </c>
      <c r="AA181">
        <f>IF(AND(OR($V181="Pendiente",$V181="Preparando",$V181="Enviado"),N($U181)&gt;0),$U181+ROW()/1000000,"")</f>
        <v/>
      </c>
      <c r="AB181">
        <f>IF(AND($D181="",$G181=""),"",IF($V181="Cancelado",0,$L181))</f>
        <v/>
      </c>
    </row>
    <row r="182" ht="19" customHeight="1">
      <c r="B182" s="74">
        <f>IF(AND($D182="",$G182=""),"",ROW()-7)</f>
        <v/>
      </c>
      <c r="C182" s="75" t="n"/>
      <c r="D182" s="76" t="n"/>
      <c r="E182" s="77" t="n"/>
      <c r="F182" s="78">
        <f>IF($Y182="","",HYPERLINK("https://wa.me/"&amp;$Y182&amp;"?text="&amp;SUBSTITUTE("Hola "&amp;$D182&amp;", te escribo por tu pedido de "&amp;$G182&amp;"."," ","%20"),"Abrir chat"))</f>
        <v/>
      </c>
      <c r="G182" s="79" t="n"/>
      <c r="H182" s="80" t="n"/>
      <c r="I182" s="81" t="n"/>
      <c r="J182" s="81" t="n"/>
      <c r="K182" s="81" t="n"/>
      <c r="L182" s="82">
        <f>IF(AND($D182="",$G182=""),"",IF(N($H182)=0,1,$H182)*N($I182)-N($J182)+N($K182))</f>
        <v/>
      </c>
      <c r="M182" s="81" t="n"/>
      <c r="N182" s="81" t="n"/>
      <c r="O182" s="83">
        <f>IF(OR(AND($D182="",$G182=""),$M182="",$V182="Cancelado"),"",$L182-N($M182)-N($N182))</f>
        <v/>
      </c>
      <c r="P182" s="79" t="n"/>
      <c r="Q182" s="81" t="n"/>
      <c r="R182" s="82">
        <f>IF(AND($D182="",$G182=""),"",IF($V182="Cancelado",0,MAX(0,$L182-N($Q182))))</f>
        <v/>
      </c>
      <c r="S182" s="60">
        <f>IF(AND($D182="",$G182=""),"",IF($V182="Cancelado","Cancelado",IF($L182&lt;=0,"",IF(N($Q182)&gt;=$L182,"✔ Pagado",IF(N($Q182)&gt;0,"⚠ Pago parcial","✖ Sin pagar")))))</f>
        <v/>
      </c>
      <c r="T182" s="79" t="n"/>
      <c r="U182" s="75" t="n"/>
      <c r="V182" s="84" t="n"/>
      <c r="W182" s="61">
        <f>IF(AND($D182="",$G182=""),"",IF($C182="","⚠ Falta la fecha del pedido",IF($V182="","⚠ Elegí el estado de entrega",IF($V182="Cancelado","Cancelado",IF($V182="Entregado",IF($R182&gt;0,"⚠ Entregado: falta cobrar","✔ Cerrado"),IF(AND(N($U182)&gt;0,$U182&lt;TODAY()),"✖ Entrega atrasada ("&amp;(TODAY()-$U182)&amp;" d)","En curso"))))))</f>
        <v/>
      </c>
      <c r="X182" s="79" t="n"/>
      <c r="Y182">
        <f>IF($E182&amp;""="","",IF(LEFT(SUBSTITUTE(SUBSTITUTE(SUBSTITUTE(SUBSTITUTE(SUBSTITUTE($E182&amp;""," ",""),"-",""),"+",""),"(",""),")",""),1)="0",PaisCod&amp;MID(SUBSTITUTE(SUBSTITUTE(SUBSTITUTE(SUBSTITUTE(SUBSTITUTE($E182&amp;""," ",""),"-",""),"+",""),"(",""),")",""),2,20),SUBSTITUTE(SUBSTITUTE(SUBSTITUTE(SUBSTITUTE(SUBSTITUTE($E182&amp;""," ",""),"-",""),"+",""),"(",""),")","")))</f>
        <v/>
      </c>
      <c r="Z182">
        <f>IF(AND(N($R182)&gt;0,$V182&lt;&gt;"Cancelado"),$R182+ROW()/1000000,"")</f>
        <v/>
      </c>
      <c r="AA182">
        <f>IF(AND(OR($V182="Pendiente",$V182="Preparando",$V182="Enviado"),N($U182)&gt;0),$U182+ROW()/1000000,"")</f>
        <v/>
      </c>
      <c r="AB182">
        <f>IF(AND($D182="",$G182=""),"",IF($V182="Cancelado",0,$L182))</f>
        <v/>
      </c>
    </row>
    <row r="183" ht="19" customHeight="1">
      <c r="B183" s="85">
        <f>IF(AND($D183="",$G183=""),"",ROW()-7)</f>
        <v/>
      </c>
      <c r="C183" s="75" t="n"/>
      <c r="D183" s="76" t="n"/>
      <c r="E183" s="77" t="n"/>
      <c r="F183" s="86">
        <f>IF($Y183="","",HYPERLINK("https://wa.me/"&amp;$Y183&amp;"?text="&amp;SUBSTITUTE("Hola "&amp;$D183&amp;", te escribo por tu pedido de "&amp;$G183&amp;"."," ","%20"),"Abrir chat"))</f>
        <v/>
      </c>
      <c r="G183" s="79" t="n"/>
      <c r="H183" s="80" t="n"/>
      <c r="I183" s="81" t="n"/>
      <c r="J183" s="81" t="n"/>
      <c r="K183" s="81" t="n"/>
      <c r="L183" s="82">
        <f>IF(AND($D183="",$G183=""),"",IF(N($H183)=0,1,$H183)*N($I183)-N($J183)+N($K183))</f>
        <v/>
      </c>
      <c r="M183" s="81" t="n"/>
      <c r="N183" s="81" t="n"/>
      <c r="O183" s="87">
        <f>IF(OR(AND($D183="",$G183=""),$M183="",$V183="Cancelado"),"",$L183-N($M183)-N($N183))</f>
        <v/>
      </c>
      <c r="P183" s="79" t="n"/>
      <c r="Q183" s="81" t="n"/>
      <c r="R183" s="82">
        <f>IF(AND($D183="",$G183=""),"",IF($V183="Cancelado",0,MAX(0,$L183-N($Q183))))</f>
        <v/>
      </c>
      <c r="S183" s="63">
        <f>IF(AND($D183="",$G183=""),"",IF($V183="Cancelado","Cancelado",IF($L183&lt;=0,"",IF(N($Q183)&gt;=$L183,"✔ Pagado",IF(N($Q183)&gt;0,"⚠ Pago parcial","✖ Sin pagar")))))</f>
        <v/>
      </c>
      <c r="T183" s="79" t="n"/>
      <c r="U183" s="75" t="n"/>
      <c r="V183" s="84" t="n"/>
      <c r="W183" s="64">
        <f>IF(AND($D183="",$G183=""),"",IF($C183="","⚠ Falta la fecha del pedido",IF($V183="","⚠ Elegí el estado de entrega",IF($V183="Cancelado","Cancelado",IF($V183="Entregado",IF($R183&gt;0,"⚠ Entregado: falta cobrar","✔ Cerrado"),IF(AND(N($U183)&gt;0,$U183&lt;TODAY()),"✖ Entrega atrasada ("&amp;(TODAY()-$U183)&amp;" d)","En curso"))))))</f>
        <v/>
      </c>
      <c r="X183" s="79" t="n"/>
      <c r="Y183">
        <f>IF($E183&amp;""="","",IF(LEFT(SUBSTITUTE(SUBSTITUTE(SUBSTITUTE(SUBSTITUTE(SUBSTITUTE($E183&amp;""," ",""),"-",""),"+",""),"(",""),")",""),1)="0",PaisCod&amp;MID(SUBSTITUTE(SUBSTITUTE(SUBSTITUTE(SUBSTITUTE(SUBSTITUTE($E183&amp;""," ",""),"-",""),"+",""),"(",""),")",""),2,20),SUBSTITUTE(SUBSTITUTE(SUBSTITUTE(SUBSTITUTE(SUBSTITUTE($E183&amp;""," ",""),"-",""),"+",""),"(",""),")","")))</f>
        <v/>
      </c>
      <c r="Z183">
        <f>IF(AND(N($R183)&gt;0,$V183&lt;&gt;"Cancelado"),$R183+ROW()/1000000,"")</f>
        <v/>
      </c>
      <c r="AA183">
        <f>IF(AND(OR($V183="Pendiente",$V183="Preparando",$V183="Enviado"),N($U183)&gt;0),$U183+ROW()/1000000,"")</f>
        <v/>
      </c>
      <c r="AB183">
        <f>IF(AND($D183="",$G183=""),"",IF($V183="Cancelado",0,$L183))</f>
        <v/>
      </c>
    </row>
    <row r="184" ht="19" customHeight="1">
      <c r="B184" s="74">
        <f>IF(AND($D184="",$G184=""),"",ROW()-7)</f>
        <v/>
      </c>
      <c r="C184" s="75" t="n"/>
      <c r="D184" s="76" t="n"/>
      <c r="E184" s="77" t="n"/>
      <c r="F184" s="78">
        <f>IF($Y184="","",HYPERLINK("https://wa.me/"&amp;$Y184&amp;"?text="&amp;SUBSTITUTE("Hola "&amp;$D184&amp;", te escribo por tu pedido de "&amp;$G184&amp;"."," ","%20"),"Abrir chat"))</f>
        <v/>
      </c>
      <c r="G184" s="79" t="n"/>
      <c r="H184" s="80" t="n"/>
      <c r="I184" s="81" t="n"/>
      <c r="J184" s="81" t="n"/>
      <c r="K184" s="81" t="n"/>
      <c r="L184" s="82">
        <f>IF(AND($D184="",$G184=""),"",IF(N($H184)=0,1,$H184)*N($I184)-N($J184)+N($K184))</f>
        <v/>
      </c>
      <c r="M184" s="81" t="n"/>
      <c r="N184" s="81" t="n"/>
      <c r="O184" s="83">
        <f>IF(OR(AND($D184="",$G184=""),$M184="",$V184="Cancelado"),"",$L184-N($M184)-N($N184))</f>
        <v/>
      </c>
      <c r="P184" s="79" t="n"/>
      <c r="Q184" s="81" t="n"/>
      <c r="R184" s="82">
        <f>IF(AND($D184="",$G184=""),"",IF($V184="Cancelado",0,MAX(0,$L184-N($Q184))))</f>
        <v/>
      </c>
      <c r="S184" s="60">
        <f>IF(AND($D184="",$G184=""),"",IF($V184="Cancelado","Cancelado",IF($L184&lt;=0,"",IF(N($Q184)&gt;=$L184,"✔ Pagado",IF(N($Q184)&gt;0,"⚠ Pago parcial","✖ Sin pagar")))))</f>
        <v/>
      </c>
      <c r="T184" s="79" t="n"/>
      <c r="U184" s="75" t="n"/>
      <c r="V184" s="84" t="n"/>
      <c r="W184" s="61">
        <f>IF(AND($D184="",$G184=""),"",IF($C184="","⚠ Falta la fecha del pedido",IF($V184="","⚠ Elegí el estado de entrega",IF($V184="Cancelado","Cancelado",IF($V184="Entregado",IF($R184&gt;0,"⚠ Entregado: falta cobrar","✔ Cerrado"),IF(AND(N($U184)&gt;0,$U184&lt;TODAY()),"✖ Entrega atrasada ("&amp;(TODAY()-$U184)&amp;" d)","En curso"))))))</f>
        <v/>
      </c>
      <c r="X184" s="79" t="n"/>
      <c r="Y184">
        <f>IF($E184&amp;""="","",IF(LEFT(SUBSTITUTE(SUBSTITUTE(SUBSTITUTE(SUBSTITUTE(SUBSTITUTE($E184&amp;""," ",""),"-",""),"+",""),"(",""),")",""),1)="0",PaisCod&amp;MID(SUBSTITUTE(SUBSTITUTE(SUBSTITUTE(SUBSTITUTE(SUBSTITUTE($E184&amp;""," ",""),"-",""),"+",""),"(",""),")",""),2,20),SUBSTITUTE(SUBSTITUTE(SUBSTITUTE(SUBSTITUTE(SUBSTITUTE($E184&amp;""," ",""),"-",""),"+",""),"(",""),")","")))</f>
        <v/>
      </c>
      <c r="Z184">
        <f>IF(AND(N($R184)&gt;0,$V184&lt;&gt;"Cancelado"),$R184+ROW()/1000000,"")</f>
        <v/>
      </c>
      <c r="AA184">
        <f>IF(AND(OR($V184="Pendiente",$V184="Preparando",$V184="Enviado"),N($U184)&gt;0),$U184+ROW()/1000000,"")</f>
        <v/>
      </c>
      <c r="AB184">
        <f>IF(AND($D184="",$G184=""),"",IF($V184="Cancelado",0,$L184))</f>
        <v/>
      </c>
    </row>
    <row r="185" ht="19" customHeight="1">
      <c r="B185" s="85">
        <f>IF(AND($D185="",$G185=""),"",ROW()-7)</f>
        <v/>
      </c>
      <c r="C185" s="75" t="n"/>
      <c r="D185" s="76" t="n"/>
      <c r="E185" s="77" t="n"/>
      <c r="F185" s="86">
        <f>IF($Y185="","",HYPERLINK("https://wa.me/"&amp;$Y185&amp;"?text="&amp;SUBSTITUTE("Hola "&amp;$D185&amp;", te escribo por tu pedido de "&amp;$G185&amp;"."," ","%20"),"Abrir chat"))</f>
        <v/>
      </c>
      <c r="G185" s="79" t="n"/>
      <c r="H185" s="80" t="n"/>
      <c r="I185" s="81" t="n"/>
      <c r="J185" s="81" t="n"/>
      <c r="K185" s="81" t="n"/>
      <c r="L185" s="82">
        <f>IF(AND($D185="",$G185=""),"",IF(N($H185)=0,1,$H185)*N($I185)-N($J185)+N($K185))</f>
        <v/>
      </c>
      <c r="M185" s="81" t="n"/>
      <c r="N185" s="81" t="n"/>
      <c r="O185" s="87">
        <f>IF(OR(AND($D185="",$G185=""),$M185="",$V185="Cancelado"),"",$L185-N($M185)-N($N185))</f>
        <v/>
      </c>
      <c r="P185" s="79" t="n"/>
      <c r="Q185" s="81" t="n"/>
      <c r="R185" s="82">
        <f>IF(AND($D185="",$G185=""),"",IF($V185="Cancelado",0,MAX(0,$L185-N($Q185))))</f>
        <v/>
      </c>
      <c r="S185" s="63">
        <f>IF(AND($D185="",$G185=""),"",IF($V185="Cancelado","Cancelado",IF($L185&lt;=0,"",IF(N($Q185)&gt;=$L185,"✔ Pagado",IF(N($Q185)&gt;0,"⚠ Pago parcial","✖ Sin pagar")))))</f>
        <v/>
      </c>
      <c r="T185" s="79" t="n"/>
      <c r="U185" s="75" t="n"/>
      <c r="V185" s="84" t="n"/>
      <c r="W185" s="64">
        <f>IF(AND($D185="",$G185=""),"",IF($C185="","⚠ Falta la fecha del pedido",IF($V185="","⚠ Elegí el estado de entrega",IF($V185="Cancelado","Cancelado",IF($V185="Entregado",IF($R185&gt;0,"⚠ Entregado: falta cobrar","✔ Cerrado"),IF(AND(N($U185)&gt;0,$U185&lt;TODAY()),"✖ Entrega atrasada ("&amp;(TODAY()-$U185)&amp;" d)","En curso"))))))</f>
        <v/>
      </c>
      <c r="X185" s="79" t="n"/>
      <c r="Y185">
        <f>IF($E185&amp;""="","",IF(LEFT(SUBSTITUTE(SUBSTITUTE(SUBSTITUTE(SUBSTITUTE(SUBSTITUTE($E185&amp;""," ",""),"-",""),"+",""),"(",""),")",""),1)="0",PaisCod&amp;MID(SUBSTITUTE(SUBSTITUTE(SUBSTITUTE(SUBSTITUTE(SUBSTITUTE($E185&amp;""," ",""),"-",""),"+",""),"(",""),")",""),2,20),SUBSTITUTE(SUBSTITUTE(SUBSTITUTE(SUBSTITUTE(SUBSTITUTE($E185&amp;""," ",""),"-",""),"+",""),"(",""),")","")))</f>
        <v/>
      </c>
      <c r="Z185">
        <f>IF(AND(N($R185)&gt;0,$V185&lt;&gt;"Cancelado"),$R185+ROW()/1000000,"")</f>
        <v/>
      </c>
      <c r="AA185">
        <f>IF(AND(OR($V185="Pendiente",$V185="Preparando",$V185="Enviado"),N($U185)&gt;0),$U185+ROW()/1000000,"")</f>
        <v/>
      </c>
      <c r="AB185">
        <f>IF(AND($D185="",$G185=""),"",IF($V185="Cancelado",0,$L185))</f>
        <v/>
      </c>
    </row>
    <row r="186" ht="19" customHeight="1">
      <c r="B186" s="74">
        <f>IF(AND($D186="",$G186=""),"",ROW()-7)</f>
        <v/>
      </c>
      <c r="C186" s="75" t="n"/>
      <c r="D186" s="76" t="n"/>
      <c r="E186" s="77" t="n"/>
      <c r="F186" s="78">
        <f>IF($Y186="","",HYPERLINK("https://wa.me/"&amp;$Y186&amp;"?text="&amp;SUBSTITUTE("Hola "&amp;$D186&amp;", te escribo por tu pedido de "&amp;$G186&amp;"."," ","%20"),"Abrir chat"))</f>
        <v/>
      </c>
      <c r="G186" s="79" t="n"/>
      <c r="H186" s="80" t="n"/>
      <c r="I186" s="81" t="n"/>
      <c r="J186" s="81" t="n"/>
      <c r="K186" s="81" t="n"/>
      <c r="L186" s="82">
        <f>IF(AND($D186="",$G186=""),"",IF(N($H186)=0,1,$H186)*N($I186)-N($J186)+N($K186))</f>
        <v/>
      </c>
      <c r="M186" s="81" t="n"/>
      <c r="N186" s="81" t="n"/>
      <c r="O186" s="83">
        <f>IF(OR(AND($D186="",$G186=""),$M186="",$V186="Cancelado"),"",$L186-N($M186)-N($N186))</f>
        <v/>
      </c>
      <c r="P186" s="79" t="n"/>
      <c r="Q186" s="81" t="n"/>
      <c r="R186" s="82">
        <f>IF(AND($D186="",$G186=""),"",IF($V186="Cancelado",0,MAX(0,$L186-N($Q186))))</f>
        <v/>
      </c>
      <c r="S186" s="60">
        <f>IF(AND($D186="",$G186=""),"",IF($V186="Cancelado","Cancelado",IF($L186&lt;=0,"",IF(N($Q186)&gt;=$L186,"✔ Pagado",IF(N($Q186)&gt;0,"⚠ Pago parcial","✖ Sin pagar")))))</f>
        <v/>
      </c>
      <c r="T186" s="79" t="n"/>
      <c r="U186" s="75" t="n"/>
      <c r="V186" s="84" t="n"/>
      <c r="W186" s="61">
        <f>IF(AND($D186="",$G186=""),"",IF($C186="","⚠ Falta la fecha del pedido",IF($V186="","⚠ Elegí el estado de entrega",IF($V186="Cancelado","Cancelado",IF($V186="Entregado",IF($R186&gt;0,"⚠ Entregado: falta cobrar","✔ Cerrado"),IF(AND(N($U186)&gt;0,$U186&lt;TODAY()),"✖ Entrega atrasada ("&amp;(TODAY()-$U186)&amp;" d)","En curso"))))))</f>
        <v/>
      </c>
      <c r="X186" s="79" t="n"/>
      <c r="Y186">
        <f>IF($E186&amp;""="","",IF(LEFT(SUBSTITUTE(SUBSTITUTE(SUBSTITUTE(SUBSTITUTE(SUBSTITUTE($E186&amp;""," ",""),"-",""),"+",""),"(",""),")",""),1)="0",PaisCod&amp;MID(SUBSTITUTE(SUBSTITUTE(SUBSTITUTE(SUBSTITUTE(SUBSTITUTE($E186&amp;""," ",""),"-",""),"+",""),"(",""),")",""),2,20),SUBSTITUTE(SUBSTITUTE(SUBSTITUTE(SUBSTITUTE(SUBSTITUTE($E186&amp;""," ",""),"-",""),"+",""),"(",""),")","")))</f>
        <v/>
      </c>
      <c r="Z186">
        <f>IF(AND(N($R186)&gt;0,$V186&lt;&gt;"Cancelado"),$R186+ROW()/1000000,"")</f>
        <v/>
      </c>
      <c r="AA186">
        <f>IF(AND(OR($V186="Pendiente",$V186="Preparando",$V186="Enviado"),N($U186)&gt;0),$U186+ROW()/1000000,"")</f>
        <v/>
      </c>
      <c r="AB186">
        <f>IF(AND($D186="",$G186=""),"",IF($V186="Cancelado",0,$L186))</f>
        <v/>
      </c>
    </row>
    <row r="187" ht="19" customHeight="1">
      <c r="B187" s="85">
        <f>IF(AND($D187="",$G187=""),"",ROW()-7)</f>
        <v/>
      </c>
      <c r="C187" s="75" t="n"/>
      <c r="D187" s="76" t="n"/>
      <c r="E187" s="77" t="n"/>
      <c r="F187" s="86">
        <f>IF($Y187="","",HYPERLINK("https://wa.me/"&amp;$Y187&amp;"?text="&amp;SUBSTITUTE("Hola "&amp;$D187&amp;", te escribo por tu pedido de "&amp;$G187&amp;"."," ","%20"),"Abrir chat"))</f>
        <v/>
      </c>
      <c r="G187" s="79" t="n"/>
      <c r="H187" s="80" t="n"/>
      <c r="I187" s="81" t="n"/>
      <c r="J187" s="81" t="n"/>
      <c r="K187" s="81" t="n"/>
      <c r="L187" s="82">
        <f>IF(AND($D187="",$G187=""),"",IF(N($H187)=0,1,$H187)*N($I187)-N($J187)+N($K187))</f>
        <v/>
      </c>
      <c r="M187" s="81" t="n"/>
      <c r="N187" s="81" t="n"/>
      <c r="O187" s="87">
        <f>IF(OR(AND($D187="",$G187=""),$M187="",$V187="Cancelado"),"",$L187-N($M187)-N($N187))</f>
        <v/>
      </c>
      <c r="P187" s="79" t="n"/>
      <c r="Q187" s="81" t="n"/>
      <c r="R187" s="82">
        <f>IF(AND($D187="",$G187=""),"",IF($V187="Cancelado",0,MAX(0,$L187-N($Q187))))</f>
        <v/>
      </c>
      <c r="S187" s="63">
        <f>IF(AND($D187="",$G187=""),"",IF($V187="Cancelado","Cancelado",IF($L187&lt;=0,"",IF(N($Q187)&gt;=$L187,"✔ Pagado",IF(N($Q187)&gt;0,"⚠ Pago parcial","✖ Sin pagar")))))</f>
        <v/>
      </c>
      <c r="T187" s="79" t="n"/>
      <c r="U187" s="75" t="n"/>
      <c r="V187" s="84" t="n"/>
      <c r="W187" s="64">
        <f>IF(AND($D187="",$G187=""),"",IF($C187="","⚠ Falta la fecha del pedido",IF($V187="","⚠ Elegí el estado de entrega",IF($V187="Cancelado","Cancelado",IF($V187="Entregado",IF($R187&gt;0,"⚠ Entregado: falta cobrar","✔ Cerrado"),IF(AND(N($U187)&gt;0,$U187&lt;TODAY()),"✖ Entrega atrasada ("&amp;(TODAY()-$U187)&amp;" d)","En curso"))))))</f>
        <v/>
      </c>
      <c r="X187" s="79" t="n"/>
      <c r="Y187">
        <f>IF($E187&amp;""="","",IF(LEFT(SUBSTITUTE(SUBSTITUTE(SUBSTITUTE(SUBSTITUTE(SUBSTITUTE($E187&amp;""," ",""),"-",""),"+",""),"(",""),")",""),1)="0",PaisCod&amp;MID(SUBSTITUTE(SUBSTITUTE(SUBSTITUTE(SUBSTITUTE(SUBSTITUTE($E187&amp;""," ",""),"-",""),"+",""),"(",""),")",""),2,20),SUBSTITUTE(SUBSTITUTE(SUBSTITUTE(SUBSTITUTE(SUBSTITUTE($E187&amp;""," ",""),"-",""),"+",""),"(",""),")","")))</f>
        <v/>
      </c>
      <c r="Z187">
        <f>IF(AND(N($R187)&gt;0,$V187&lt;&gt;"Cancelado"),$R187+ROW()/1000000,"")</f>
        <v/>
      </c>
      <c r="AA187">
        <f>IF(AND(OR($V187="Pendiente",$V187="Preparando",$V187="Enviado"),N($U187)&gt;0),$U187+ROW()/1000000,"")</f>
        <v/>
      </c>
      <c r="AB187">
        <f>IF(AND($D187="",$G187=""),"",IF($V187="Cancelado",0,$L187))</f>
        <v/>
      </c>
    </row>
    <row r="188" ht="19" customHeight="1">
      <c r="B188" s="74">
        <f>IF(AND($D188="",$G188=""),"",ROW()-7)</f>
        <v/>
      </c>
      <c r="C188" s="75" t="n"/>
      <c r="D188" s="76" t="n"/>
      <c r="E188" s="77" t="n"/>
      <c r="F188" s="78">
        <f>IF($Y188="","",HYPERLINK("https://wa.me/"&amp;$Y188&amp;"?text="&amp;SUBSTITUTE("Hola "&amp;$D188&amp;", te escribo por tu pedido de "&amp;$G188&amp;"."," ","%20"),"Abrir chat"))</f>
        <v/>
      </c>
      <c r="G188" s="79" t="n"/>
      <c r="H188" s="80" t="n"/>
      <c r="I188" s="81" t="n"/>
      <c r="J188" s="81" t="n"/>
      <c r="K188" s="81" t="n"/>
      <c r="L188" s="82">
        <f>IF(AND($D188="",$G188=""),"",IF(N($H188)=0,1,$H188)*N($I188)-N($J188)+N($K188))</f>
        <v/>
      </c>
      <c r="M188" s="81" t="n"/>
      <c r="N188" s="81" t="n"/>
      <c r="O188" s="83">
        <f>IF(OR(AND($D188="",$G188=""),$M188="",$V188="Cancelado"),"",$L188-N($M188)-N($N188))</f>
        <v/>
      </c>
      <c r="P188" s="79" t="n"/>
      <c r="Q188" s="81" t="n"/>
      <c r="R188" s="82">
        <f>IF(AND($D188="",$G188=""),"",IF($V188="Cancelado",0,MAX(0,$L188-N($Q188))))</f>
        <v/>
      </c>
      <c r="S188" s="60">
        <f>IF(AND($D188="",$G188=""),"",IF($V188="Cancelado","Cancelado",IF($L188&lt;=0,"",IF(N($Q188)&gt;=$L188,"✔ Pagado",IF(N($Q188)&gt;0,"⚠ Pago parcial","✖ Sin pagar")))))</f>
        <v/>
      </c>
      <c r="T188" s="79" t="n"/>
      <c r="U188" s="75" t="n"/>
      <c r="V188" s="84" t="n"/>
      <c r="W188" s="61">
        <f>IF(AND($D188="",$G188=""),"",IF($C188="","⚠ Falta la fecha del pedido",IF($V188="","⚠ Elegí el estado de entrega",IF($V188="Cancelado","Cancelado",IF($V188="Entregado",IF($R188&gt;0,"⚠ Entregado: falta cobrar","✔ Cerrado"),IF(AND(N($U188)&gt;0,$U188&lt;TODAY()),"✖ Entrega atrasada ("&amp;(TODAY()-$U188)&amp;" d)","En curso"))))))</f>
        <v/>
      </c>
      <c r="X188" s="79" t="n"/>
      <c r="Y188">
        <f>IF($E188&amp;""="","",IF(LEFT(SUBSTITUTE(SUBSTITUTE(SUBSTITUTE(SUBSTITUTE(SUBSTITUTE($E188&amp;""," ",""),"-",""),"+",""),"(",""),")",""),1)="0",PaisCod&amp;MID(SUBSTITUTE(SUBSTITUTE(SUBSTITUTE(SUBSTITUTE(SUBSTITUTE($E188&amp;""," ",""),"-",""),"+",""),"(",""),")",""),2,20),SUBSTITUTE(SUBSTITUTE(SUBSTITUTE(SUBSTITUTE(SUBSTITUTE($E188&amp;""," ",""),"-",""),"+",""),"(",""),")","")))</f>
        <v/>
      </c>
      <c r="Z188">
        <f>IF(AND(N($R188)&gt;0,$V188&lt;&gt;"Cancelado"),$R188+ROW()/1000000,"")</f>
        <v/>
      </c>
      <c r="AA188">
        <f>IF(AND(OR($V188="Pendiente",$V188="Preparando",$V188="Enviado"),N($U188)&gt;0),$U188+ROW()/1000000,"")</f>
        <v/>
      </c>
      <c r="AB188">
        <f>IF(AND($D188="",$G188=""),"",IF($V188="Cancelado",0,$L188))</f>
        <v/>
      </c>
    </row>
    <row r="189" ht="19" customHeight="1">
      <c r="B189" s="85">
        <f>IF(AND($D189="",$G189=""),"",ROW()-7)</f>
        <v/>
      </c>
      <c r="C189" s="75" t="n"/>
      <c r="D189" s="76" t="n"/>
      <c r="E189" s="77" t="n"/>
      <c r="F189" s="86">
        <f>IF($Y189="","",HYPERLINK("https://wa.me/"&amp;$Y189&amp;"?text="&amp;SUBSTITUTE("Hola "&amp;$D189&amp;", te escribo por tu pedido de "&amp;$G189&amp;"."," ","%20"),"Abrir chat"))</f>
        <v/>
      </c>
      <c r="G189" s="79" t="n"/>
      <c r="H189" s="80" t="n"/>
      <c r="I189" s="81" t="n"/>
      <c r="J189" s="81" t="n"/>
      <c r="K189" s="81" t="n"/>
      <c r="L189" s="82">
        <f>IF(AND($D189="",$G189=""),"",IF(N($H189)=0,1,$H189)*N($I189)-N($J189)+N($K189))</f>
        <v/>
      </c>
      <c r="M189" s="81" t="n"/>
      <c r="N189" s="81" t="n"/>
      <c r="O189" s="87">
        <f>IF(OR(AND($D189="",$G189=""),$M189="",$V189="Cancelado"),"",$L189-N($M189)-N($N189))</f>
        <v/>
      </c>
      <c r="P189" s="79" t="n"/>
      <c r="Q189" s="81" t="n"/>
      <c r="R189" s="82">
        <f>IF(AND($D189="",$G189=""),"",IF($V189="Cancelado",0,MAX(0,$L189-N($Q189))))</f>
        <v/>
      </c>
      <c r="S189" s="63">
        <f>IF(AND($D189="",$G189=""),"",IF($V189="Cancelado","Cancelado",IF($L189&lt;=0,"",IF(N($Q189)&gt;=$L189,"✔ Pagado",IF(N($Q189)&gt;0,"⚠ Pago parcial","✖ Sin pagar")))))</f>
        <v/>
      </c>
      <c r="T189" s="79" t="n"/>
      <c r="U189" s="75" t="n"/>
      <c r="V189" s="84" t="n"/>
      <c r="W189" s="64">
        <f>IF(AND($D189="",$G189=""),"",IF($C189="","⚠ Falta la fecha del pedido",IF($V189="","⚠ Elegí el estado de entrega",IF($V189="Cancelado","Cancelado",IF($V189="Entregado",IF($R189&gt;0,"⚠ Entregado: falta cobrar","✔ Cerrado"),IF(AND(N($U189)&gt;0,$U189&lt;TODAY()),"✖ Entrega atrasada ("&amp;(TODAY()-$U189)&amp;" d)","En curso"))))))</f>
        <v/>
      </c>
      <c r="X189" s="79" t="n"/>
      <c r="Y189">
        <f>IF($E189&amp;""="","",IF(LEFT(SUBSTITUTE(SUBSTITUTE(SUBSTITUTE(SUBSTITUTE(SUBSTITUTE($E189&amp;""," ",""),"-",""),"+",""),"(",""),")",""),1)="0",PaisCod&amp;MID(SUBSTITUTE(SUBSTITUTE(SUBSTITUTE(SUBSTITUTE(SUBSTITUTE($E189&amp;""," ",""),"-",""),"+",""),"(",""),")",""),2,20),SUBSTITUTE(SUBSTITUTE(SUBSTITUTE(SUBSTITUTE(SUBSTITUTE($E189&amp;""," ",""),"-",""),"+",""),"(",""),")","")))</f>
        <v/>
      </c>
      <c r="Z189">
        <f>IF(AND(N($R189)&gt;0,$V189&lt;&gt;"Cancelado"),$R189+ROW()/1000000,"")</f>
        <v/>
      </c>
      <c r="AA189">
        <f>IF(AND(OR($V189="Pendiente",$V189="Preparando",$V189="Enviado"),N($U189)&gt;0),$U189+ROW()/1000000,"")</f>
        <v/>
      </c>
      <c r="AB189">
        <f>IF(AND($D189="",$G189=""),"",IF($V189="Cancelado",0,$L189))</f>
        <v/>
      </c>
    </row>
    <row r="190" ht="19" customHeight="1">
      <c r="B190" s="74">
        <f>IF(AND($D190="",$G190=""),"",ROW()-7)</f>
        <v/>
      </c>
      <c r="C190" s="75" t="n"/>
      <c r="D190" s="76" t="n"/>
      <c r="E190" s="77" t="n"/>
      <c r="F190" s="78">
        <f>IF($Y190="","",HYPERLINK("https://wa.me/"&amp;$Y190&amp;"?text="&amp;SUBSTITUTE("Hola "&amp;$D190&amp;", te escribo por tu pedido de "&amp;$G190&amp;"."," ","%20"),"Abrir chat"))</f>
        <v/>
      </c>
      <c r="G190" s="79" t="n"/>
      <c r="H190" s="80" t="n"/>
      <c r="I190" s="81" t="n"/>
      <c r="J190" s="81" t="n"/>
      <c r="K190" s="81" t="n"/>
      <c r="L190" s="82">
        <f>IF(AND($D190="",$G190=""),"",IF(N($H190)=0,1,$H190)*N($I190)-N($J190)+N($K190))</f>
        <v/>
      </c>
      <c r="M190" s="81" t="n"/>
      <c r="N190" s="81" t="n"/>
      <c r="O190" s="83">
        <f>IF(OR(AND($D190="",$G190=""),$M190="",$V190="Cancelado"),"",$L190-N($M190)-N($N190))</f>
        <v/>
      </c>
      <c r="P190" s="79" t="n"/>
      <c r="Q190" s="81" t="n"/>
      <c r="R190" s="82">
        <f>IF(AND($D190="",$G190=""),"",IF($V190="Cancelado",0,MAX(0,$L190-N($Q190))))</f>
        <v/>
      </c>
      <c r="S190" s="60">
        <f>IF(AND($D190="",$G190=""),"",IF($V190="Cancelado","Cancelado",IF($L190&lt;=0,"",IF(N($Q190)&gt;=$L190,"✔ Pagado",IF(N($Q190)&gt;0,"⚠ Pago parcial","✖ Sin pagar")))))</f>
        <v/>
      </c>
      <c r="T190" s="79" t="n"/>
      <c r="U190" s="75" t="n"/>
      <c r="V190" s="84" t="n"/>
      <c r="W190" s="61">
        <f>IF(AND($D190="",$G190=""),"",IF($C190="","⚠ Falta la fecha del pedido",IF($V190="","⚠ Elegí el estado de entrega",IF($V190="Cancelado","Cancelado",IF($V190="Entregado",IF($R190&gt;0,"⚠ Entregado: falta cobrar","✔ Cerrado"),IF(AND(N($U190)&gt;0,$U190&lt;TODAY()),"✖ Entrega atrasada ("&amp;(TODAY()-$U190)&amp;" d)","En curso"))))))</f>
        <v/>
      </c>
      <c r="X190" s="79" t="n"/>
      <c r="Y190">
        <f>IF($E190&amp;""="","",IF(LEFT(SUBSTITUTE(SUBSTITUTE(SUBSTITUTE(SUBSTITUTE(SUBSTITUTE($E190&amp;""," ",""),"-",""),"+",""),"(",""),")",""),1)="0",PaisCod&amp;MID(SUBSTITUTE(SUBSTITUTE(SUBSTITUTE(SUBSTITUTE(SUBSTITUTE($E190&amp;""," ",""),"-",""),"+",""),"(",""),")",""),2,20),SUBSTITUTE(SUBSTITUTE(SUBSTITUTE(SUBSTITUTE(SUBSTITUTE($E190&amp;""," ",""),"-",""),"+",""),"(",""),")","")))</f>
        <v/>
      </c>
      <c r="Z190">
        <f>IF(AND(N($R190)&gt;0,$V190&lt;&gt;"Cancelado"),$R190+ROW()/1000000,"")</f>
        <v/>
      </c>
      <c r="AA190">
        <f>IF(AND(OR($V190="Pendiente",$V190="Preparando",$V190="Enviado"),N($U190)&gt;0),$U190+ROW()/1000000,"")</f>
        <v/>
      </c>
      <c r="AB190">
        <f>IF(AND($D190="",$G190=""),"",IF($V190="Cancelado",0,$L190))</f>
        <v/>
      </c>
    </row>
    <row r="191" ht="19" customHeight="1">
      <c r="B191" s="85">
        <f>IF(AND($D191="",$G191=""),"",ROW()-7)</f>
        <v/>
      </c>
      <c r="C191" s="75" t="n"/>
      <c r="D191" s="76" t="n"/>
      <c r="E191" s="77" t="n"/>
      <c r="F191" s="86">
        <f>IF($Y191="","",HYPERLINK("https://wa.me/"&amp;$Y191&amp;"?text="&amp;SUBSTITUTE("Hola "&amp;$D191&amp;", te escribo por tu pedido de "&amp;$G191&amp;"."," ","%20"),"Abrir chat"))</f>
        <v/>
      </c>
      <c r="G191" s="79" t="n"/>
      <c r="H191" s="80" t="n"/>
      <c r="I191" s="81" t="n"/>
      <c r="J191" s="81" t="n"/>
      <c r="K191" s="81" t="n"/>
      <c r="L191" s="82">
        <f>IF(AND($D191="",$G191=""),"",IF(N($H191)=0,1,$H191)*N($I191)-N($J191)+N($K191))</f>
        <v/>
      </c>
      <c r="M191" s="81" t="n"/>
      <c r="N191" s="81" t="n"/>
      <c r="O191" s="87">
        <f>IF(OR(AND($D191="",$G191=""),$M191="",$V191="Cancelado"),"",$L191-N($M191)-N($N191))</f>
        <v/>
      </c>
      <c r="P191" s="79" t="n"/>
      <c r="Q191" s="81" t="n"/>
      <c r="R191" s="82">
        <f>IF(AND($D191="",$G191=""),"",IF($V191="Cancelado",0,MAX(0,$L191-N($Q191))))</f>
        <v/>
      </c>
      <c r="S191" s="63">
        <f>IF(AND($D191="",$G191=""),"",IF($V191="Cancelado","Cancelado",IF($L191&lt;=0,"",IF(N($Q191)&gt;=$L191,"✔ Pagado",IF(N($Q191)&gt;0,"⚠ Pago parcial","✖ Sin pagar")))))</f>
        <v/>
      </c>
      <c r="T191" s="79" t="n"/>
      <c r="U191" s="75" t="n"/>
      <c r="V191" s="84" t="n"/>
      <c r="W191" s="64">
        <f>IF(AND($D191="",$G191=""),"",IF($C191="","⚠ Falta la fecha del pedido",IF($V191="","⚠ Elegí el estado de entrega",IF($V191="Cancelado","Cancelado",IF($V191="Entregado",IF($R191&gt;0,"⚠ Entregado: falta cobrar","✔ Cerrado"),IF(AND(N($U191)&gt;0,$U191&lt;TODAY()),"✖ Entrega atrasada ("&amp;(TODAY()-$U191)&amp;" d)","En curso"))))))</f>
        <v/>
      </c>
      <c r="X191" s="79" t="n"/>
      <c r="Y191">
        <f>IF($E191&amp;""="","",IF(LEFT(SUBSTITUTE(SUBSTITUTE(SUBSTITUTE(SUBSTITUTE(SUBSTITUTE($E191&amp;""," ",""),"-",""),"+",""),"(",""),")",""),1)="0",PaisCod&amp;MID(SUBSTITUTE(SUBSTITUTE(SUBSTITUTE(SUBSTITUTE(SUBSTITUTE($E191&amp;""," ",""),"-",""),"+",""),"(",""),")",""),2,20),SUBSTITUTE(SUBSTITUTE(SUBSTITUTE(SUBSTITUTE(SUBSTITUTE($E191&amp;""," ",""),"-",""),"+",""),"(",""),")","")))</f>
        <v/>
      </c>
      <c r="Z191">
        <f>IF(AND(N($R191)&gt;0,$V191&lt;&gt;"Cancelado"),$R191+ROW()/1000000,"")</f>
        <v/>
      </c>
      <c r="AA191">
        <f>IF(AND(OR($V191="Pendiente",$V191="Preparando",$V191="Enviado"),N($U191)&gt;0),$U191+ROW()/1000000,"")</f>
        <v/>
      </c>
      <c r="AB191">
        <f>IF(AND($D191="",$G191=""),"",IF($V191="Cancelado",0,$L191))</f>
        <v/>
      </c>
    </row>
    <row r="192" ht="19" customHeight="1">
      <c r="B192" s="74">
        <f>IF(AND($D192="",$G192=""),"",ROW()-7)</f>
        <v/>
      </c>
      <c r="C192" s="75" t="n"/>
      <c r="D192" s="76" t="n"/>
      <c r="E192" s="77" t="n"/>
      <c r="F192" s="78">
        <f>IF($Y192="","",HYPERLINK("https://wa.me/"&amp;$Y192&amp;"?text="&amp;SUBSTITUTE("Hola "&amp;$D192&amp;", te escribo por tu pedido de "&amp;$G192&amp;"."," ","%20"),"Abrir chat"))</f>
        <v/>
      </c>
      <c r="G192" s="79" t="n"/>
      <c r="H192" s="80" t="n"/>
      <c r="I192" s="81" t="n"/>
      <c r="J192" s="81" t="n"/>
      <c r="K192" s="81" t="n"/>
      <c r="L192" s="82">
        <f>IF(AND($D192="",$G192=""),"",IF(N($H192)=0,1,$H192)*N($I192)-N($J192)+N($K192))</f>
        <v/>
      </c>
      <c r="M192" s="81" t="n"/>
      <c r="N192" s="81" t="n"/>
      <c r="O192" s="83">
        <f>IF(OR(AND($D192="",$G192=""),$M192="",$V192="Cancelado"),"",$L192-N($M192)-N($N192))</f>
        <v/>
      </c>
      <c r="P192" s="79" t="n"/>
      <c r="Q192" s="81" t="n"/>
      <c r="R192" s="82">
        <f>IF(AND($D192="",$G192=""),"",IF($V192="Cancelado",0,MAX(0,$L192-N($Q192))))</f>
        <v/>
      </c>
      <c r="S192" s="60">
        <f>IF(AND($D192="",$G192=""),"",IF($V192="Cancelado","Cancelado",IF($L192&lt;=0,"",IF(N($Q192)&gt;=$L192,"✔ Pagado",IF(N($Q192)&gt;0,"⚠ Pago parcial","✖ Sin pagar")))))</f>
        <v/>
      </c>
      <c r="T192" s="79" t="n"/>
      <c r="U192" s="75" t="n"/>
      <c r="V192" s="84" t="n"/>
      <c r="W192" s="61">
        <f>IF(AND($D192="",$G192=""),"",IF($C192="","⚠ Falta la fecha del pedido",IF($V192="","⚠ Elegí el estado de entrega",IF($V192="Cancelado","Cancelado",IF($V192="Entregado",IF($R192&gt;0,"⚠ Entregado: falta cobrar","✔ Cerrado"),IF(AND(N($U192)&gt;0,$U192&lt;TODAY()),"✖ Entrega atrasada ("&amp;(TODAY()-$U192)&amp;" d)","En curso"))))))</f>
        <v/>
      </c>
      <c r="X192" s="79" t="n"/>
      <c r="Y192">
        <f>IF($E192&amp;""="","",IF(LEFT(SUBSTITUTE(SUBSTITUTE(SUBSTITUTE(SUBSTITUTE(SUBSTITUTE($E192&amp;""," ",""),"-",""),"+",""),"(",""),")",""),1)="0",PaisCod&amp;MID(SUBSTITUTE(SUBSTITUTE(SUBSTITUTE(SUBSTITUTE(SUBSTITUTE($E192&amp;""," ",""),"-",""),"+",""),"(",""),")",""),2,20),SUBSTITUTE(SUBSTITUTE(SUBSTITUTE(SUBSTITUTE(SUBSTITUTE($E192&amp;""," ",""),"-",""),"+",""),"(",""),")","")))</f>
        <v/>
      </c>
      <c r="Z192">
        <f>IF(AND(N($R192)&gt;0,$V192&lt;&gt;"Cancelado"),$R192+ROW()/1000000,"")</f>
        <v/>
      </c>
      <c r="AA192">
        <f>IF(AND(OR($V192="Pendiente",$V192="Preparando",$V192="Enviado"),N($U192)&gt;0),$U192+ROW()/1000000,"")</f>
        <v/>
      </c>
      <c r="AB192">
        <f>IF(AND($D192="",$G192=""),"",IF($V192="Cancelado",0,$L192))</f>
        <v/>
      </c>
    </row>
    <row r="193" ht="19" customHeight="1">
      <c r="B193" s="85">
        <f>IF(AND($D193="",$G193=""),"",ROW()-7)</f>
        <v/>
      </c>
      <c r="C193" s="75" t="n"/>
      <c r="D193" s="76" t="n"/>
      <c r="E193" s="77" t="n"/>
      <c r="F193" s="86">
        <f>IF($Y193="","",HYPERLINK("https://wa.me/"&amp;$Y193&amp;"?text="&amp;SUBSTITUTE("Hola "&amp;$D193&amp;", te escribo por tu pedido de "&amp;$G193&amp;"."," ","%20"),"Abrir chat"))</f>
        <v/>
      </c>
      <c r="G193" s="79" t="n"/>
      <c r="H193" s="80" t="n"/>
      <c r="I193" s="81" t="n"/>
      <c r="J193" s="81" t="n"/>
      <c r="K193" s="81" t="n"/>
      <c r="L193" s="82">
        <f>IF(AND($D193="",$G193=""),"",IF(N($H193)=0,1,$H193)*N($I193)-N($J193)+N($K193))</f>
        <v/>
      </c>
      <c r="M193" s="81" t="n"/>
      <c r="N193" s="81" t="n"/>
      <c r="O193" s="87">
        <f>IF(OR(AND($D193="",$G193=""),$M193="",$V193="Cancelado"),"",$L193-N($M193)-N($N193))</f>
        <v/>
      </c>
      <c r="P193" s="79" t="n"/>
      <c r="Q193" s="81" t="n"/>
      <c r="R193" s="82">
        <f>IF(AND($D193="",$G193=""),"",IF($V193="Cancelado",0,MAX(0,$L193-N($Q193))))</f>
        <v/>
      </c>
      <c r="S193" s="63">
        <f>IF(AND($D193="",$G193=""),"",IF($V193="Cancelado","Cancelado",IF($L193&lt;=0,"",IF(N($Q193)&gt;=$L193,"✔ Pagado",IF(N($Q193)&gt;0,"⚠ Pago parcial","✖ Sin pagar")))))</f>
        <v/>
      </c>
      <c r="T193" s="79" t="n"/>
      <c r="U193" s="75" t="n"/>
      <c r="V193" s="84" t="n"/>
      <c r="W193" s="64">
        <f>IF(AND($D193="",$G193=""),"",IF($C193="","⚠ Falta la fecha del pedido",IF($V193="","⚠ Elegí el estado de entrega",IF($V193="Cancelado","Cancelado",IF($V193="Entregado",IF($R193&gt;0,"⚠ Entregado: falta cobrar","✔ Cerrado"),IF(AND(N($U193)&gt;0,$U193&lt;TODAY()),"✖ Entrega atrasada ("&amp;(TODAY()-$U193)&amp;" d)","En curso"))))))</f>
        <v/>
      </c>
      <c r="X193" s="79" t="n"/>
      <c r="Y193">
        <f>IF($E193&amp;""="","",IF(LEFT(SUBSTITUTE(SUBSTITUTE(SUBSTITUTE(SUBSTITUTE(SUBSTITUTE($E193&amp;""," ",""),"-",""),"+",""),"(",""),")",""),1)="0",PaisCod&amp;MID(SUBSTITUTE(SUBSTITUTE(SUBSTITUTE(SUBSTITUTE(SUBSTITUTE($E193&amp;""," ",""),"-",""),"+",""),"(",""),")",""),2,20),SUBSTITUTE(SUBSTITUTE(SUBSTITUTE(SUBSTITUTE(SUBSTITUTE($E193&amp;""," ",""),"-",""),"+",""),"(",""),")","")))</f>
        <v/>
      </c>
      <c r="Z193">
        <f>IF(AND(N($R193)&gt;0,$V193&lt;&gt;"Cancelado"),$R193+ROW()/1000000,"")</f>
        <v/>
      </c>
      <c r="AA193">
        <f>IF(AND(OR($V193="Pendiente",$V193="Preparando",$V193="Enviado"),N($U193)&gt;0),$U193+ROW()/1000000,"")</f>
        <v/>
      </c>
      <c r="AB193">
        <f>IF(AND($D193="",$G193=""),"",IF($V193="Cancelado",0,$L193))</f>
        <v/>
      </c>
    </row>
    <row r="194" ht="19" customHeight="1">
      <c r="B194" s="74">
        <f>IF(AND($D194="",$G194=""),"",ROW()-7)</f>
        <v/>
      </c>
      <c r="C194" s="75" t="n"/>
      <c r="D194" s="76" t="n"/>
      <c r="E194" s="77" t="n"/>
      <c r="F194" s="78">
        <f>IF($Y194="","",HYPERLINK("https://wa.me/"&amp;$Y194&amp;"?text="&amp;SUBSTITUTE("Hola "&amp;$D194&amp;", te escribo por tu pedido de "&amp;$G194&amp;"."," ","%20"),"Abrir chat"))</f>
        <v/>
      </c>
      <c r="G194" s="79" t="n"/>
      <c r="H194" s="80" t="n"/>
      <c r="I194" s="81" t="n"/>
      <c r="J194" s="81" t="n"/>
      <c r="K194" s="81" t="n"/>
      <c r="L194" s="82">
        <f>IF(AND($D194="",$G194=""),"",IF(N($H194)=0,1,$H194)*N($I194)-N($J194)+N($K194))</f>
        <v/>
      </c>
      <c r="M194" s="81" t="n"/>
      <c r="N194" s="81" t="n"/>
      <c r="O194" s="83">
        <f>IF(OR(AND($D194="",$G194=""),$M194="",$V194="Cancelado"),"",$L194-N($M194)-N($N194))</f>
        <v/>
      </c>
      <c r="P194" s="79" t="n"/>
      <c r="Q194" s="81" t="n"/>
      <c r="R194" s="82">
        <f>IF(AND($D194="",$G194=""),"",IF($V194="Cancelado",0,MAX(0,$L194-N($Q194))))</f>
        <v/>
      </c>
      <c r="S194" s="60">
        <f>IF(AND($D194="",$G194=""),"",IF($V194="Cancelado","Cancelado",IF($L194&lt;=0,"",IF(N($Q194)&gt;=$L194,"✔ Pagado",IF(N($Q194)&gt;0,"⚠ Pago parcial","✖ Sin pagar")))))</f>
        <v/>
      </c>
      <c r="T194" s="79" t="n"/>
      <c r="U194" s="75" t="n"/>
      <c r="V194" s="84" t="n"/>
      <c r="W194" s="61">
        <f>IF(AND($D194="",$G194=""),"",IF($C194="","⚠ Falta la fecha del pedido",IF($V194="","⚠ Elegí el estado de entrega",IF($V194="Cancelado","Cancelado",IF($V194="Entregado",IF($R194&gt;0,"⚠ Entregado: falta cobrar","✔ Cerrado"),IF(AND(N($U194)&gt;0,$U194&lt;TODAY()),"✖ Entrega atrasada ("&amp;(TODAY()-$U194)&amp;" d)","En curso"))))))</f>
        <v/>
      </c>
      <c r="X194" s="79" t="n"/>
      <c r="Y194">
        <f>IF($E194&amp;""="","",IF(LEFT(SUBSTITUTE(SUBSTITUTE(SUBSTITUTE(SUBSTITUTE(SUBSTITUTE($E194&amp;""," ",""),"-",""),"+",""),"(",""),")",""),1)="0",PaisCod&amp;MID(SUBSTITUTE(SUBSTITUTE(SUBSTITUTE(SUBSTITUTE(SUBSTITUTE($E194&amp;""," ",""),"-",""),"+",""),"(",""),")",""),2,20),SUBSTITUTE(SUBSTITUTE(SUBSTITUTE(SUBSTITUTE(SUBSTITUTE($E194&amp;""," ",""),"-",""),"+",""),"(",""),")","")))</f>
        <v/>
      </c>
      <c r="Z194">
        <f>IF(AND(N($R194)&gt;0,$V194&lt;&gt;"Cancelado"),$R194+ROW()/1000000,"")</f>
        <v/>
      </c>
      <c r="AA194">
        <f>IF(AND(OR($V194="Pendiente",$V194="Preparando",$V194="Enviado"),N($U194)&gt;0),$U194+ROW()/1000000,"")</f>
        <v/>
      </c>
      <c r="AB194">
        <f>IF(AND($D194="",$G194=""),"",IF($V194="Cancelado",0,$L194))</f>
        <v/>
      </c>
    </row>
    <row r="195" ht="19" customHeight="1">
      <c r="B195" s="85">
        <f>IF(AND($D195="",$G195=""),"",ROW()-7)</f>
        <v/>
      </c>
      <c r="C195" s="75" t="n"/>
      <c r="D195" s="76" t="n"/>
      <c r="E195" s="77" t="n"/>
      <c r="F195" s="86">
        <f>IF($Y195="","",HYPERLINK("https://wa.me/"&amp;$Y195&amp;"?text="&amp;SUBSTITUTE("Hola "&amp;$D195&amp;", te escribo por tu pedido de "&amp;$G195&amp;"."," ","%20"),"Abrir chat"))</f>
        <v/>
      </c>
      <c r="G195" s="79" t="n"/>
      <c r="H195" s="80" t="n"/>
      <c r="I195" s="81" t="n"/>
      <c r="J195" s="81" t="n"/>
      <c r="K195" s="81" t="n"/>
      <c r="L195" s="82">
        <f>IF(AND($D195="",$G195=""),"",IF(N($H195)=0,1,$H195)*N($I195)-N($J195)+N($K195))</f>
        <v/>
      </c>
      <c r="M195" s="81" t="n"/>
      <c r="N195" s="81" t="n"/>
      <c r="O195" s="87">
        <f>IF(OR(AND($D195="",$G195=""),$M195="",$V195="Cancelado"),"",$L195-N($M195)-N($N195))</f>
        <v/>
      </c>
      <c r="P195" s="79" t="n"/>
      <c r="Q195" s="81" t="n"/>
      <c r="R195" s="82">
        <f>IF(AND($D195="",$G195=""),"",IF($V195="Cancelado",0,MAX(0,$L195-N($Q195))))</f>
        <v/>
      </c>
      <c r="S195" s="63">
        <f>IF(AND($D195="",$G195=""),"",IF($V195="Cancelado","Cancelado",IF($L195&lt;=0,"",IF(N($Q195)&gt;=$L195,"✔ Pagado",IF(N($Q195)&gt;0,"⚠ Pago parcial","✖ Sin pagar")))))</f>
        <v/>
      </c>
      <c r="T195" s="79" t="n"/>
      <c r="U195" s="75" t="n"/>
      <c r="V195" s="84" t="n"/>
      <c r="W195" s="64">
        <f>IF(AND($D195="",$G195=""),"",IF($C195="","⚠ Falta la fecha del pedido",IF($V195="","⚠ Elegí el estado de entrega",IF($V195="Cancelado","Cancelado",IF($V195="Entregado",IF($R195&gt;0,"⚠ Entregado: falta cobrar","✔ Cerrado"),IF(AND(N($U195)&gt;0,$U195&lt;TODAY()),"✖ Entrega atrasada ("&amp;(TODAY()-$U195)&amp;" d)","En curso"))))))</f>
        <v/>
      </c>
      <c r="X195" s="79" t="n"/>
      <c r="Y195">
        <f>IF($E195&amp;""="","",IF(LEFT(SUBSTITUTE(SUBSTITUTE(SUBSTITUTE(SUBSTITUTE(SUBSTITUTE($E195&amp;""," ",""),"-",""),"+",""),"(",""),")",""),1)="0",PaisCod&amp;MID(SUBSTITUTE(SUBSTITUTE(SUBSTITUTE(SUBSTITUTE(SUBSTITUTE($E195&amp;""," ",""),"-",""),"+",""),"(",""),")",""),2,20),SUBSTITUTE(SUBSTITUTE(SUBSTITUTE(SUBSTITUTE(SUBSTITUTE($E195&amp;""," ",""),"-",""),"+",""),"(",""),")","")))</f>
        <v/>
      </c>
      <c r="Z195">
        <f>IF(AND(N($R195)&gt;0,$V195&lt;&gt;"Cancelado"),$R195+ROW()/1000000,"")</f>
        <v/>
      </c>
      <c r="AA195">
        <f>IF(AND(OR($V195="Pendiente",$V195="Preparando",$V195="Enviado"),N($U195)&gt;0),$U195+ROW()/1000000,"")</f>
        <v/>
      </c>
      <c r="AB195">
        <f>IF(AND($D195="",$G195=""),"",IF($V195="Cancelado",0,$L195))</f>
        <v/>
      </c>
    </row>
    <row r="196" ht="19" customHeight="1">
      <c r="B196" s="74">
        <f>IF(AND($D196="",$G196=""),"",ROW()-7)</f>
        <v/>
      </c>
      <c r="C196" s="75" t="n"/>
      <c r="D196" s="76" t="n"/>
      <c r="E196" s="77" t="n"/>
      <c r="F196" s="78">
        <f>IF($Y196="","",HYPERLINK("https://wa.me/"&amp;$Y196&amp;"?text="&amp;SUBSTITUTE("Hola "&amp;$D196&amp;", te escribo por tu pedido de "&amp;$G196&amp;"."," ","%20"),"Abrir chat"))</f>
        <v/>
      </c>
      <c r="G196" s="79" t="n"/>
      <c r="H196" s="80" t="n"/>
      <c r="I196" s="81" t="n"/>
      <c r="J196" s="81" t="n"/>
      <c r="K196" s="81" t="n"/>
      <c r="L196" s="82">
        <f>IF(AND($D196="",$G196=""),"",IF(N($H196)=0,1,$H196)*N($I196)-N($J196)+N($K196))</f>
        <v/>
      </c>
      <c r="M196" s="81" t="n"/>
      <c r="N196" s="81" t="n"/>
      <c r="O196" s="83">
        <f>IF(OR(AND($D196="",$G196=""),$M196="",$V196="Cancelado"),"",$L196-N($M196)-N($N196))</f>
        <v/>
      </c>
      <c r="P196" s="79" t="n"/>
      <c r="Q196" s="81" t="n"/>
      <c r="R196" s="82">
        <f>IF(AND($D196="",$G196=""),"",IF($V196="Cancelado",0,MAX(0,$L196-N($Q196))))</f>
        <v/>
      </c>
      <c r="S196" s="60">
        <f>IF(AND($D196="",$G196=""),"",IF($V196="Cancelado","Cancelado",IF($L196&lt;=0,"",IF(N($Q196)&gt;=$L196,"✔ Pagado",IF(N($Q196)&gt;0,"⚠ Pago parcial","✖ Sin pagar")))))</f>
        <v/>
      </c>
      <c r="T196" s="79" t="n"/>
      <c r="U196" s="75" t="n"/>
      <c r="V196" s="84" t="n"/>
      <c r="W196" s="61">
        <f>IF(AND($D196="",$G196=""),"",IF($C196="","⚠ Falta la fecha del pedido",IF($V196="","⚠ Elegí el estado de entrega",IF($V196="Cancelado","Cancelado",IF($V196="Entregado",IF($R196&gt;0,"⚠ Entregado: falta cobrar","✔ Cerrado"),IF(AND(N($U196)&gt;0,$U196&lt;TODAY()),"✖ Entrega atrasada ("&amp;(TODAY()-$U196)&amp;" d)","En curso"))))))</f>
        <v/>
      </c>
      <c r="X196" s="79" t="n"/>
      <c r="Y196">
        <f>IF($E196&amp;""="","",IF(LEFT(SUBSTITUTE(SUBSTITUTE(SUBSTITUTE(SUBSTITUTE(SUBSTITUTE($E196&amp;""," ",""),"-",""),"+",""),"(",""),")",""),1)="0",PaisCod&amp;MID(SUBSTITUTE(SUBSTITUTE(SUBSTITUTE(SUBSTITUTE(SUBSTITUTE($E196&amp;""," ",""),"-",""),"+",""),"(",""),")",""),2,20),SUBSTITUTE(SUBSTITUTE(SUBSTITUTE(SUBSTITUTE(SUBSTITUTE($E196&amp;""," ",""),"-",""),"+",""),"(",""),")","")))</f>
        <v/>
      </c>
      <c r="Z196">
        <f>IF(AND(N($R196)&gt;0,$V196&lt;&gt;"Cancelado"),$R196+ROW()/1000000,"")</f>
        <v/>
      </c>
      <c r="AA196">
        <f>IF(AND(OR($V196="Pendiente",$V196="Preparando",$V196="Enviado"),N($U196)&gt;0),$U196+ROW()/1000000,"")</f>
        <v/>
      </c>
      <c r="AB196">
        <f>IF(AND($D196="",$G196=""),"",IF($V196="Cancelado",0,$L196))</f>
        <v/>
      </c>
    </row>
    <row r="197" ht="19" customHeight="1">
      <c r="B197" s="85">
        <f>IF(AND($D197="",$G197=""),"",ROW()-7)</f>
        <v/>
      </c>
      <c r="C197" s="75" t="n"/>
      <c r="D197" s="76" t="n"/>
      <c r="E197" s="77" t="n"/>
      <c r="F197" s="86">
        <f>IF($Y197="","",HYPERLINK("https://wa.me/"&amp;$Y197&amp;"?text="&amp;SUBSTITUTE("Hola "&amp;$D197&amp;", te escribo por tu pedido de "&amp;$G197&amp;"."," ","%20"),"Abrir chat"))</f>
        <v/>
      </c>
      <c r="G197" s="79" t="n"/>
      <c r="H197" s="80" t="n"/>
      <c r="I197" s="81" t="n"/>
      <c r="J197" s="81" t="n"/>
      <c r="K197" s="81" t="n"/>
      <c r="L197" s="82">
        <f>IF(AND($D197="",$G197=""),"",IF(N($H197)=0,1,$H197)*N($I197)-N($J197)+N($K197))</f>
        <v/>
      </c>
      <c r="M197" s="81" t="n"/>
      <c r="N197" s="81" t="n"/>
      <c r="O197" s="87">
        <f>IF(OR(AND($D197="",$G197=""),$M197="",$V197="Cancelado"),"",$L197-N($M197)-N($N197))</f>
        <v/>
      </c>
      <c r="P197" s="79" t="n"/>
      <c r="Q197" s="81" t="n"/>
      <c r="R197" s="82">
        <f>IF(AND($D197="",$G197=""),"",IF($V197="Cancelado",0,MAX(0,$L197-N($Q197))))</f>
        <v/>
      </c>
      <c r="S197" s="63">
        <f>IF(AND($D197="",$G197=""),"",IF($V197="Cancelado","Cancelado",IF($L197&lt;=0,"",IF(N($Q197)&gt;=$L197,"✔ Pagado",IF(N($Q197)&gt;0,"⚠ Pago parcial","✖ Sin pagar")))))</f>
        <v/>
      </c>
      <c r="T197" s="79" t="n"/>
      <c r="U197" s="75" t="n"/>
      <c r="V197" s="84" t="n"/>
      <c r="W197" s="64">
        <f>IF(AND($D197="",$G197=""),"",IF($C197="","⚠ Falta la fecha del pedido",IF($V197="","⚠ Elegí el estado de entrega",IF($V197="Cancelado","Cancelado",IF($V197="Entregado",IF($R197&gt;0,"⚠ Entregado: falta cobrar","✔ Cerrado"),IF(AND(N($U197)&gt;0,$U197&lt;TODAY()),"✖ Entrega atrasada ("&amp;(TODAY()-$U197)&amp;" d)","En curso"))))))</f>
        <v/>
      </c>
      <c r="X197" s="79" t="n"/>
      <c r="Y197">
        <f>IF($E197&amp;""="","",IF(LEFT(SUBSTITUTE(SUBSTITUTE(SUBSTITUTE(SUBSTITUTE(SUBSTITUTE($E197&amp;""," ",""),"-",""),"+",""),"(",""),")",""),1)="0",PaisCod&amp;MID(SUBSTITUTE(SUBSTITUTE(SUBSTITUTE(SUBSTITUTE(SUBSTITUTE($E197&amp;""," ",""),"-",""),"+",""),"(",""),")",""),2,20),SUBSTITUTE(SUBSTITUTE(SUBSTITUTE(SUBSTITUTE(SUBSTITUTE($E197&amp;""," ",""),"-",""),"+",""),"(",""),")","")))</f>
        <v/>
      </c>
      <c r="Z197">
        <f>IF(AND(N($R197)&gt;0,$V197&lt;&gt;"Cancelado"),$R197+ROW()/1000000,"")</f>
        <v/>
      </c>
      <c r="AA197">
        <f>IF(AND(OR($V197="Pendiente",$V197="Preparando",$V197="Enviado"),N($U197)&gt;0),$U197+ROW()/1000000,"")</f>
        <v/>
      </c>
      <c r="AB197">
        <f>IF(AND($D197="",$G197=""),"",IF($V197="Cancelado",0,$L197))</f>
        <v/>
      </c>
    </row>
    <row r="198" ht="19" customHeight="1">
      <c r="B198" s="74">
        <f>IF(AND($D198="",$G198=""),"",ROW()-7)</f>
        <v/>
      </c>
      <c r="C198" s="75" t="n"/>
      <c r="D198" s="76" t="n"/>
      <c r="E198" s="77" t="n"/>
      <c r="F198" s="78">
        <f>IF($Y198="","",HYPERLINK("https://wa.me/"&amp;$Y198&amp;"?text="&amp;SUBSTITUTE("Hola "&amp;$D198&amp;", te escribo por tu pedido de "&amp;$G198&amp;"."," ","%20"),"Abrir chat"))</f>
        <v/>
      </c>
      <c r="G198" s="79" t="n"/>
      <c r="H198" s="80" t="n"/>
      <c r="I198" s="81" t="n"/>
      <c r="J198" s="81" t="n"/>
      <c r="K198" s="81" t="n"/>
      <c r="L198" s="82">
        <f>IF(AND($D198="",$G198=""),"",IF(N($H198)=0,1,$H198)*N($I198)-N($J198)+N($K198))</f>
        <v/>
      </c>
      <c r="M198" s="81" t="n"/>
      <c r="N198" s="81" t="n"/>
      <c r="O198" s="83">
        <f>IF(OR(AND($D198="",$G198=""),$M198="",$V198="Cancelado"),"",$L198-N($M198)-N($N198))</f>
        <v/>
      </c>
      <c r="P198" s="79" t="n"/>
      <c r="Q198" s="81" t="n"/>
      <c r="R198" s="82">
        <f>IF(AND($D198="",$G198=""),"",IF($V198="Cancelado",0,MAX(0,$L198-N($Q198))))</f>
        <v/>
      </c>
      <c r="S198" s="60">
        <f>IF(AND($D198="",$G198=""),"",IF($V198="Cancelado","Cancelado",IF($L198&lt;=0,"",IF(N($Q198)&gt;=$L198,"✔ Pagado",IF(N($Q198)&gt;0,"⚠ Pago parcial","✖ Sin pagar")))))</f>
        <v/>
      </c>
      <c r="T198" s="79" t="n"/>
      <c r="U198" s="75" t="n"/>
      <c r="V198" s="84" t="n"/>
      <c r="W198" s="61">
        <f>IF(AND($D198="",$G198=""),"",IF($C198="","⚠ Falta la fecha del pedido",IF($V198="","⚠ Elegí el estado de entrega",IF($V198="Cancelado","Cancelado",IF($V198="Entregado",IF($R198&gt;0,"⚠ Entregado: falta cobrar","✔ Cerrado"),IF(AND(N($U198)&gt;0,$U198&lt;TODAY()),"✖ Entrega atrasada ("&amp;(TODAY()-$U198)&amp;" d)","En curso"))))))</f>
        <v/>
      </c>
      <c r="X198" s="79" t="n"/>
      <c r="Y198">
        <f>IF($E198&amp;""="","",IF(LEFT(SUBSTITUTE(SUBSTITUTE(SUBSTITUTE(SUBSTITUTE(SUBSTITUTE($E198&amp;""," ",""),"-",""),"+",""),"(",""),")",""),1)="0",PaisCod&amp;MID(SUBSTITUTE(SUBSTITUTE(SUBSTITUTE(SUBSTITUTE(SUBSTITUTE($E198&amp;""," ",""),"-",""),"+",""),"(",""),")",""),2,20),SUBSTITUTE(SUBSTITUTE(SUBSTITUTE(SUBSTITUTE(SUBSTITUTE($E198&amp;""," ",""),"-",""),"+",""),"(",""),")","")))</f>
        <v/>
      </c>
      <c r="Z198">
        <f>IF(AND(N($R198)&gt;0,$V198&lt;&gt;"Cancelado"),$R198+ROW()/1000000,"")</f>
        <v/>
      </c>
      <c r="AA198">
        <f>IF(AND(OR($V198="Pendiente",$V198="Preparando",$V198="Enviado"),N($U198)&gt;0),$U198+ROW()/1000000,"")</f>
        <v/>
      </c>
      <c r="AB198">
        <f>IF(AND($D198="",$G198=""),"",IF($V198="Cancelado",0,$L198))</f>
        <v/>
      </c>
    </row>
    <row r="199" ht="19" customHeight="1">
      <c r="B199" s="85">
        <f>IF(AND($D199="",$G199=""),"",ROW()-7)</f>
        <v/>
      </c>
      <c r="C199" s="75" t="n"/>
      <c r="D199" s="76" t="n"/>
      <c r="E199" s="77" t="n"/>
      <c r="F199" s="86">
        <f>IF($Y199="","",HYPERLINK("https://wa.me/"&amp;$Y199&amp;"?text="&amp;SUBSTITUTE("Hola "&amp;$D199&amp;", te escribo por tu pedido de "&amp;$G199&amp;"."," ","%20"),"Abrir chat"))</f>
        <v/>
      </c>
      <c r="G199" s="79" t="n"/>
      <c r="H199" s="80" t="n"/>
      <c r="I199" s="81" t="n"/>
      <c r="J199" s="81" t="n"/>
      <c r="K199" s="81" t="n"/>
      <c r="L199" s="82">
        <f>IF(AND($D199="",$G199=""),"",IF(N($H199)=0,1,$H199)*N($I199)-N($J199)+N($K199))</f>
        <v/>
      </c>
      <c r="M199" s="81" t="n"/>
      <c r="N199" s="81" t="n"/>
      <c r="O199" s="87">
        <f>IF(OR(AND($D199="",$G199=""),$M199="",$V199="Cancelado"),"",$L199-N($M199)-N($N199))</f>
        <v/>
      </c>
      <c r="P199" s="79" t="n"/>
      <c r="Q199" s="81" t="n"/>
      <c r="R199" s="82">
        <f>IF(AND($D199="",$G199=""),"",IF($V199="Cancelado",0,MAX(0,$L199-N($Q199))))</f>
        <v/>
      </c>
      <c r="S199" s="63">
        <f>IF(AND($D199="",$G199=""),"",IF($V199="Cancelado","Cancelado",IF($L199&lt;=0,"",IF(N($Q199)&gt;=$L199,"✔ Pagado",IF(N($Q199)&gt;0,"⚠ Pago parcial","✖ Sin pagar")))))</f>
        <v/>
      </c>
      <c r="T199" s="79" t="n"/>
      <c r="U199" s="75" t="n"/>
      <c r="V199" s="84" t="n"/>
      <c r="W199" s="64">
        <f>IF(AND($D199="",$G199=""),"",IF($C199="","⚠ Falta la fecha del pedido",IF($V199="","⚠ Elegí el estado de entrega",IF($V199="Cancelado","Cancelado",IF($V199="Entregado",IF($R199&gt;0,"⚠ Entregado: falta cobrar","✔ Cerrado"),IF(AND(N($U199)&gt;0,$U199&lt;TODAY()),"✖ Entrega atrasada ("&amp;(TODAY()-$U199)&amp;" d)","En curso"))))))</f>
        <v/>
      </c>
      <c r="X199" s="79" t="n"/>
      <c r="Y199">
        <f>IF($E199&amp;""="","",IF(LEFT(SUBSTITUTE(SUBSTITUTE(SUBSTITUTE(SUBSTITUTE(SUBSTITUTE($E199&amp;""," ",""),"-",""),"+",""),"(",""),")",""),1)="0",PaisCod&amp;MID(SUBSTITUTE(SUBSTITUTE(SUBSTITUTE(SUBSTITUTE(SUBSTITUTE($E199&amp;""," ",""),"-",""),"+",""),"(",""),")",""),2,20),SUBSTITUTE(SUBSTITUTE(SUBSTITUTE(SUBSTITUTE(SUBSTITUTE($E199&amp;""," ",""),"-",""),"+",""),"(",""),")","")))</f>
        <v/>
      </c>
      <c r="Z199">
        <f>IF(AND(N($R199)&gt;0,$V199&lt;&gt;"Cancelado"),$R199+ROW()/1000000,"")</f>
        <v/>
      </c>
      <c r="AA199">
        <f>IF(AND(OR($V199="Pendiente",$V199="Preparando",$V199="Enviado"),N($U199)&gt;0),$U199+ROW()/1000000,"")</f>
        <v/>
      </c>
      <c r="AB199">
        <f>IF(AND($D199="",$G199=""),"",IF($V199="Cancelado",0,$L199))</f>
        <v/>
      </c>
    </row>
    <row r="200" ht="19" customHeight="1">
      <c r="B200" s="74">
        <f>IF(AND($D200="",$G200=""),"",ROW()-7)</f>
        <v/>
      </c>
      <c r="C200" s="75" t="n"/>
      <c r="D200" s="76" t="n"/>
      <c r="E200" s="77" t="n"/>
      <c r="F200" s="78">
        <f>IF($Y200="","",HYPERLINK("https://wa.me/"&amp;$Y200&amp;"?text="&amp;SUBSTITUTE("Hola "&amp;$D200&amp;", te escribo por tu pedido de "&amp;$G200&amp;"."," ","%20"),"Abrir chat"))</f>
        <v/>
      </c>
      <c r="G200" s="79" t="n"/>
      <c r="H200" s="80" t="n"/>
      <c r="I200" s="81" t="n"/>
      <c r="J200" s="81" t="n"/>
      <c r="K200" s="81" t="n"/>
      <c r="L200" s="82">
        <f>IF(AND($D200="",$G200=""),"",IF(N($H200)=0,1,$H200)*N($I200)-N($J200)+N($K200))</f>
        <v/>
      </c>
      <c r="M200" s="81" t="n"/>
      <c r="N200" s="81" t="n"/>
      <c r="O200" s="83">
        <f>IF(OR(AND($D200="",$G200=""),$M200="",$V200="Cancelado"),"",$L200-N($M200)-N($N200))</f>
        <v/>
      </c>
      <c r="P200" s="79" t="n"/>
      <c r="Q200" s="81" t="n"/>
      <c r="R200" s="82">
        <f>IF(AND($D200="",$G200=""),"",IF($V200="Cancelado",0,MAX(0,$L200-N($Q200))))</f>
        <v/>
      </c>
      <c r="S200" s="60">
        <f>IF(AND($D200="",$G200=""),"",IF($V200="Cancelado","Cancelado",IF($L200&lt;=0,"",IF(N($Q200)&gt;=$L200,"✔ Pagado",IF(N($Q200)&gt;0,"⚠ Pago parcial","✖ Sin pagar")))))</f>
        <v/>
      </c>
      <c r="T200" s="79" t="n"/>
      <c r="U200" s="75" t="n"/>
      <c r="V200" s="84" t="n"/>
      <c r="W200" s="61">
        <f>IF(AND($D200="",$G200=""),"",IF($C200="","⚠ Falta la fecha del pedido",IF($V200="","⚠ Elegí el estado de entrega",IF($V200="Cancelado","Cancelado",IF($V200="Entregado",IF($R200&gt;0,"⚠ Entregado: falta cobrar","✔ Cerrado"),IF(AND(N($U200)&gt;0,$U200&lt;TODAY()),"✖ Entrega atrasada ("&amp;(TODAY()-$U200)&amp;" d)","En curso"))))))</f>
        <v/>
      </c>
      <c r="X200" s="79" t="n"/>
      <c r="Y200">
        <f>IF($E200&amp;""="","",IF(LEFT(SUBSTITUTE(SUBSTITUTE(SUBSTITUTE(SUBSTITUTE(SUBSTITUTE($E200&amp;""," ",""),"-",""),"+",""),"(",""),")",""),1)="0",PaisCod&amp;MID(SUBSTITUTE(SUBSTITUTE(SUBSTITUTE(SUBSTITUTE(SUBSTITUTE($E200&amp;""," ",""),"-",""),"+",""),"(",""),")",""),2,20),SUBSTITUTE(SUBSTITUTE(SUBSTITUTE(SUBSTITUTE(SUBSTITUTE($E200&amp;""," ",""),"-",""),"+",""),"(",""),")","")))</f>
        <v/>
      </c>
      <c r="Z200">
        <f>IF(AND(N($R200)&gt;0,$V200&lt;&gt;"Cancelado"),$R200+ROW()/1000000,"")</f>
        <v/>
      </c>
      <c r="AA200">
        <f>IF(AND(OR($V200="Pendiente",$V200="Preparando",$V200="Enviado"),N($U200)&gt;0),$U200+ROW()/1000000,"")</f>
        <v/>
      </c>
      <c r="AB200">
        <f>IF(AND($D200="",$G200=""),"",IF($V200="Cancelado",0,$L200))</f>
        <v/>
      </c>
    </row>
    <row r="201" ht="19" customHeight="1">
      <c r="B201" s="85">
        <f>IF(AND($D201="",$G201=""),"",ROW()-7)</f>
        <v/>
      </c>
      <c r="C201" s="75" t="n"/>
      <c r="D201" s="76" t="n"/>
      <c r="E201" s="77" t="n"/>
      <c r="F201" s="86">
        <f>IF($Y201="","",HYPERLINK("https://wa.me/"&amp;$Y201&amp;"?text="&amp;SUBSTITUTE("Hola "&amp;$D201&amp;", te escribo por tu pedido de "&amp;$G201&amp;"."," ","%20"),"Abrir chat"))</f>
        <v/>
      </c>
      <c r="G201" s="79" t="n"/>
      <c r="H201" s="80" t="n"/>
      <c r="I201" s="81" t="n"/>
      <c r="J201" s="81" t="n"/>
      <c r="K201" s="81" t="n"/>
      <c r="L201" s="82">
        <f>IF(AND($D201="",$G201=""),"",IF(N($H201)=0,1,$H201)*N($I201)-N($J201)+N($K201))</f>
        <v/>
      </c>
      <c r="M201" s="81" t="n"/>
      <c r="N201" s="81" t="n"/>
      <c r="O201" s="87">
        <f>IF(OR(AND($D201="",$G201=""),$M201="",$V201="Cancelado"),"",$L201-N($M201)-N($N201))</f>
        <v/>
      </c>
      <c r="P201" s="79" t="n"/>
      <c r="Q201" s="81" t="n"/>
      <c r="R201" s="82">
        <f>IF(AND($D201="",$G201=""),"",IF($V201="Cancelado",0,MAX(0,$L201-N($Q201))))</f>
        <v/>
      </c>
      <c r="S201" s="63">
        <f>IF(AND($D201="",$G201=""),"",IF($V201="Cancelado","Cancelado",IF($L201&lt;=0,"",IF(N($Q201)&gt;=$L201,"✔ Pagado",IF(N($Q201)&gt;0,"⚠ Pago parcial","✖ Sin pagar")))))</f>
        <v/>
      </c>
      <c r="T201" s="79" t="n"/>
      <c r="U201" s="75" t="n"/>
      <c r="V201" s="84" t="n"/>
      <c r="W201" s="64">
        <f>IF(AND($D201="",$G201=""),"",IF($C201="","⚠ Falta la fecha del pedido",IF($V201="","⚠ Elegí el estado de entrega",IF($V201="Cancelado","Cancelado",IF($V201="Entregado",IF($R201&gt;0,"⚠ Entregado: falta cobrar","✔ Cerrado"),IF(AND(N($U201)&gt;0,$U201&lt;TODAY()),"✖ Entrega atrasada ("&amp;(TODAY()-$U201)&amp;" d)","En curso"))))))</f>
        <v/>
      </c>
      <c r="X201" s="79" t="n"/>
      <c r="Y201">
        <f>IF($E201&amp;""="","",IF(LEFT(SUBSTITUTE(SUBSTITUTE(SUBSTITUTE(SUBSTITUTE(SUBSTITUTE($E201&amp;""," ",""),"-",""),"+",""),"(",""),")",""),1)="0",PaisCod&amp;MID(SUBSTITUTE(SUBSTITUTE(SUBSTITUTE(SUBSTITUTE(SUBSTITUTE($E201&amp;""," ",""),"-",""),"+",""),"(",""),")",""),2,20),SUBSTITUTE(SUBSTITUTE(SUBSTITUTE(SUBSTITUTE(SUBSTITUTE($E201&amp;""," ",""),"-",""),"+",""),"(",""),")","")))</f>
        <v/>
      </c>
      <c r="Z201">
        <f>IF(AND(N($R201)&gt;0,$V201&lt;&gt;"Cancelado"),$R201+ROW()/1000000,"")</f>
        <v/>
      </c>
      <c r="AA201">
        <f>IF(AND(OR($V201="Pendiente",$V201="Preparando",$V201="Enviado"),N($U201)&gt;0),$U201+ROW()/1000000,"")</f>
        <v/>
      </c>
      <c r="AB201">
        <f>IF(AND($D201="",$G201=""),"",IF($V201="Cancelado",0,$L201))</f>
        <v/>
      </c>
    </row>
    <row r="202" ht="19" customHeight="1">
      <c r="B202" s="74">
        <f>IF(AND($D202="",$G202=""),"",ROW()-7)</f>
        <v/>
      </c>
      <c r="C202" s="75" t="n"/>
      <c r="D202" s="76" t="n"/>
      <c r="E202" s="77" t="n"/>
      <c r="F202" s="78">
        <f>IF($Y202="","",HYPERLINK("https://wa.me/"&amp;$Y202&amp;"?text="&amp;SUBSTITUTE("Hola "&amp;$D202&amp;", te escribo por tu pedido de "&amp;$G202&amp;"."," ","%20"),"Abrir chat"))</f>
        <v/>
      </c>
      <c r="G202" s="79" t="n"/>
      <c r="H202" s="80" t="n"/>
      <c r="I202" s="81" t="n"/>
      <c r="J202" s="81" t="n"/>
      <c r="K202" s="81" t="n"/>
      <c r="L202" s="82">
        <f>IF(AND($D202="",$G202=""),"",IF(N($H202)=0,1,$H202)*N($I202)-N($J202)+N($K202))</f>
        <v/>
      </c>
      <c r="M202" s="81" t="n"/>
      <c r="N202" s="81" t="n"/>
      <c r="O202" s="83">
        <f>IF(OR(AND($D202="",$G202=""),$M202="",$V202="Cancelado"),"",$L202-N($M202)-N($N202))</f>
        <v/>
      </c>
      <c r="P202" s="79" t="n"/>
      <c r="Q202" s="81" t="n"/>
      <c r="R202" s="82">
        <f>IF(AND($D202="",$G202=""),"",IF($V202="Cancelado",0,MAX(0,$L202-N($Q202))))</f>
        <v/>
      </c>
      <c r="S202" s="60">
        <f>IF(AND($D202="",$G202=""),"",IF($V202="Cancelado","Cancelado",IF($L202&lt;=0,"",IF(N($Q202)&gt;=$L202,"✔ Pagado",IF(N($Q202)&gt;0,"⚠ Pago parcial","✖ Sin pagar")))))</f>
        <v/>
      </c>
      <c r="T202" s="79" t="n"/>
      <c r="U202" s="75" t="n"/>
      <c r="V202" s="84" t="n"/>
      <c r="W202" s="61">
        <f>IF(AND($D202="",$G202=""),"",IF($C202="","⚠ Falta la fecha del pedido",IF($V202="","⚠ Elegí el estado de entrega",IF($V202="Cancelado","Cancelado",IF($V202="Entregado",IF($R202&gt;0,"⚠ Entregado: falta cobrar","✔ Cerrado"),IF(AND(N($U202)&gt;0,$U202&lt;TODAY()),"✖ Entrega atrasada ("&amp;(TODAY()-$U202)&amp;" d)","En curso"))))))</f>
        <v/>
      </c>
      <c r="X202" s="79" t="n"/>
      <c r="Y202">
        <f>IF($E202&amp;""="","",IF(LEFT(SUBSTITUTE(SUBSTITUTE(SUBSTITUTE(SUBSTITUTE(SUBSTITUTE($E202&amp;""," ",""),"-",""),"+",""),"(",""),")",""),1)="0",PaisCod&amp;MID(SUBSTITUTE(SUBSTITUTE(SUBSTITUTE(SUBSTITUTE(SUBSTITUTE($E202&amp;""," ",""),"-",""),"+",""),"(",""),")",""),2,20),SUBSTITUTE(SUBSTITUTE(SUBSTITUTE(SUBSTITUTE(SUBSTITUTE($E202&amp;""," ",""),"-",""),"+",""),"(",""),")","")))</f>
        <v/>
      </c>
      <c r="Z202">
        <f>IF(AND(N($R202)&gt;0,$V202&lt;&gt;"Cancelado"),$R202+ROW()/1000000,"")</f>
        <v/>
      </c>
      <c r="AA202">
        <f>IF(AND(OR($V202="Pendiente",$V202="Preparando",$V202="Enviado"),N($U202)&gt;0),$U202+ROW()/1000000,"")</f>
        <v/>
      </c>
      <c r="AB202">
        <f>IF(AND($D202="",$G202=""),"",IF($V202="Cancelado",0,$L202))</f>
        <v/>
      </c>
    </row>
    <row r="203" ht="19" customHeight="1">
      <c r="B203" s="85">
        <f>IF(AND($D203="",$G203=""),"",ROW()-7)</f>
        <v/>
      </c>
      <c r="C203" s="75" t="n"/>
      <c r="D203" s="76" t="n"/>
      <c r="E203" s="77" t="n"/>
      <c r="F203" s="86">
        <f>IF($Y203="","",HYPERLINK("https://wa.me/"&amp;$Y203&amp;"?text="&amp;SUBSTITUTE("Hola "&amp;$D203&amp;", te escribo por tu pedido de "&amp;$G203&amp;"."," ","%20"),"Abrir chat"))</f>
        <v/>
      </c>
      <c r="G203" s="79" t="n"/>
      <c r="H203" s="80" t="n"/>
      <c r="I203" s="81" t="n"/>
      <c r="J203" s="81" t="n"/>
      <c r="K203" s="81" t="n"/>
      <c r="L203" s="82">
        <f>IF(AND($D203="",$G203=""),"",IF(N($H203)=0,1,$H203)*N($I203)-N($J203)+N($K203))</f>
        <v/>
      </c>
      <c r="M203" s="81" t="n"/>
      <c r="N203" s="81" t="n"/>
      <c r="O203" s="87">
        <f>IF(OR(AND($D203="",$G203=""),$M203="",$V203="Cancelado"),"",$L203-N($M203)-N($N203))</f>
        <v/>
      </c>
      <c r="P203" s="79" t="n"/>
      <c r="Q203" s="81" t="n"/>
      <c r="R203" s="82">
        <f>IF(AND($D203="",$G203=""),"",IF($V203="Cancelado",0,MAX(0,$L203-N($Q203))))</f>
        <v/>
      </c>
      <c r="S203" s="63">
        <f>IF(AND($D203="",$G203=""),"",IF($V203="Cancelado","Cancelado",IF($L203&lt;=0,"",IF(N($Q203)&gt;=$L203,"✔ Pagado",IF(N($Q203)&gt;0,"⚠ Pago parcial","✖ Sin pagar")))))</f>
        <v/>
      </c>
      <c r="T203" s="79" t="n"/>
      <c r="U203" s="75" t="n"/>
      <c r="V203" s="84" t="n"/>
      <c r="W203" s="64">
        <f>IF(AND($D203="",$G203=""),"",IF($C203="","⚠ Falta la fecha del pedido",IF($V203="","⚠ Elegí el estado de entrega",IF($V203="Cancelado","Cancelado",IF($V203="Entregado",IF($R203&gt;0,"⚠ Entregado: falta cobrar","✔ Cerrado"),IF(AND(N($U203)&gt;0,$U203&lt;TODAY()),"✖ Entrega atrasada ("&amp;(TODAY()-$U203)&amp;" d)","En curso"))))))</f>
        <v/>
      </c>
      <c r="X203" s="79" t="n"/>
      <c r="Y203">
        <f>IF($E203&amp;""="","",IF(LEFT(SUBSTITUTE(SUBSTITUTE(SUBSTITUTE(SUBSTITUTE(SUBSTITUTE($E203&amp;""," ",""),"-",""),"+",""),"(",""),")",""),1)="0",PaisCod&amp;MID(SUBSTITUTE(SUBSTITUTE(SUBSTITUTE(SUBSTITUTE(SUBSTITUTE($E203&amp;""," ",""),"-",""),"+",""),"(",""),")",""),2,20),SUBSTITUTE(SUBSTITUTE(SUBSTITUTE(SUBSTITUTE(SUBSTITUTE($E203&amp;""," ",""),"-",""),"+",""),"(",""),")","")))</f>
        <v/>
      </c>
      <c r="Z203">
        <f>IF(AND(N($R203)&gt;0,$V203&lt;&gt;"Cancelado"),$R203+ROW()/1000000,"")</f>
        <v/>
      </c>
      <c r="AA203">
        <f>IF(AND(OR($V203="Pendiente",$V203="Preparando",$V203="Enviado"),N($U203)&gt;0),$U203+ROW()/1000000,"")</f>
        <v/>
      </c>
      <c r="AB203">
        <f>IF(AND($D203="",$G203=""),"",IF($V203="Cancelado",0,$L203))</f>
        <v/>
      </c>
    </row>
    <row r="204" ht="19" customHeight="1">
      <c r="B204" s="74">
        <f>IF(AND($D204="",$G204=""),"",ROW()-7)</f>
        <v/>
      </c>
      <c r="C204" s="75" t="n"/>
      <c r="D204" s="76" t="n"/>
      <c r="E204" s="77" t="n"/>
      <c r="F204" s="78">
        <f>IF($Y204="","",HYPERLINK("https://wa.me/"&amp;$Y204&amp;"?text="&amp;SUBSTITUTE("Hola "&amp;$D204&amp;", te escribo por tu pedido de "&amp;$G204&amp;"."," ","%20"),"Abrir chat"))</f>
        <v/>
      </c>
      <c r="G204" s="79" t="n"/>
      <c r="H204" s="80" t="n"/>
      <c r="I204" s="81" t="n"/>
      <c r="J204" s="81" t="n"/>
      <c r="K204" s="81" t="n"/>
      <c r="L204" s="82">
        <f>IF(AND($D204="",$G204=""),"",IF(N($H204)=0,1,$H204)*N($I204)-N($J204)+N($K204))</f>
        <v/>
      </c>
      <c r="M204" s="81" t="n"/>
      <c r="N204" s="81" t="n"/>
      <c r="O204" s="83">
        <f>IF(OR(AND($D204="",$G204=""),$M204="",$V204="Cancelado"),"",$L204-N($M204)-N($N204))</f>
        <v/>
      </c>
      <c r="P204" s="79" t="n"/>
      <c r="Q204" s="81" t="n"/>
      <c r="R204" s="82">
        <f>IF(AND($D204="",$G204=""),"",IF($V204="Cancelado",0,MAX(0,$L204-N($Q204))))</f>
        <v/>
      </c>
      <c r="S204" s="60">
        <f>IF(AND($D204="",$G204=""),"",IF($V204="Cancelado","Cancelado",IF($L204&lt;=0,"",IF(N($Q204)&gt;=$L204,"✔ Pagado",IF(N($Q204)&gt;0,"⚠ Pago parcial","✖ Sin pagar")))))</f>
        <v/>
      </c>
      <c r="T204" s="79" t="n"/>
      <c r="U204" s="75" t="n"/>
      <c r="V204" s="84" t="n"/>
      <c r="W204" s="61">
        <f>IF(AND($D204="",$G204=""),"",IF($C204="","⚠ Falta la fecha del pedido",IF($V204="","⚠ Elegí el estado de entrega",IF($V204="Cancelado","Cancelado",IF($V204="Entregado",IF($R204&gt;0,"⚠ Entregado: falta cobrar","✔ Cerrado"),IF(AND(N($U204)&gt;0,$U204&lt;TODAY()),"✖ Entrega atrasada ("&amp;(TODAY()-$U204)&amp;" d)","En curso"))))))</f>
        <v/>
      </c>
      <c r="X204" s="79" t="n"/>
      <c r="Y204">
        <f>IF($E204&amp;""="","",IF(LEFT(SUBSTITUTE(SUBSTITUTE(SUBSTITUTE(SUBSTITUTE(SUBSTITUTE($E204&amp;""," ",""),"-",""),"+",""),"(",""),")",""),1)="0",PaisCod&amp;MID(SUBSTITUTE(SUBSTITUTE(SUBSTITUTE(SUBSTITUTE(SUBSTITUTE($E204&amp;""," ",""),"-",""),"+",""),"(",""),")",""),2,20),SUBSTITUTE(SUBSTITUTE(SUBSTITUTE(SUBSTITUTE(SUBSTITUTE($E204&amp;""," ",""),"-",""),"+",""),"(",""),")","")))</f>
        <v/>
      </c>
      <c r="Z204">
        <f>IF(AND(N($R204)&gt;0,$V204&lt;&gt;"Cancelado"),$R204+ROW()/1000000,"")</f>
        <v/>
      </c>
      <c r="AA204">
        <f>IF(AND(OR($V204="Pendiente",$V204="Preparando",$V204="Enviado"),N($U204)&gt;0),$U204+ROW()/1000000,"")</f>
        <v/>
      </c>
      <c r="AB204">
        <f>IF(AND($D204="",$G204=""),"",IF($V204="Cancelado",0,$L204))</f>
        <v/>
      </c>
    </row>
    <row r="205" ht="19" customHeight="1">
      <c r="B205" s="85">
        <f>IF(AND($D205="",$G205=""),"",ROW()-7)</f>
        <v/>
      </c>
      <c r="C205" s="75" t="n"/>
      <c r="D205" s="76" t="n"/>
      <c r="E205" s="77" t="n"/>
      <c r="F205" s="86">
        <f>IF($Y205="","",HYPERLINK("https://wa.me/"&amp;$Y205&amp;"?text="&amp;SUBSTITUTE("Hola "&amp;$D205&amp;", te escribo por tu pedido de "&amp;$G205&amp;"."," ","%20"),"Abrir chat"))</f>
        <v/>
      </c>
      <c r="G205" s="79" t="n"/>
      <c r="H205" s="80" t="n"/>
      <c r="I205" s="81" t="n"/>
      <c r="J205" s="81" t="n"/>
      <c r="K205" s="81" t="n"/>
      <c r="L205" s="82">
        <f>IF(AND($D205="",$G205=""),"",IF(N($H205)=0,1,$H205)*N($I205)-N($J205)+N($K205))</f>
        <v/>
      </c>
      <c r="M205" s="81" t="n"/>
      <c r="N205" s="81" t="n"/>
      <c r="O205" s="87">
        <f>IF(OR(AND($D205="",$G205=""),$M205="",$V205="Cancelado"),"",$L205-N($M205)-N($N205))</f>
        <v/>
      </c>
      <c r="P205" s="79" t="n"/>
      <c r="Q205" s="81" t="n"/>
      <c r="R205" s="82">
        <f>IF(AND($D205="",$G205=""),"",IF($V205="Cancelado",0,MAX(0,$L205-N($Q205))))</f>
        <v/>
      </c>
      <c r="S205" s="63">
        <f>IF(AND($D205="",$G205=""),"",IF($V205="Cancelado","Cancelado",IF($L205&lt;=0,"",IF(N($Q205)&gt;=$L205,"✔ Pagado",IF(N($Q205)&gt;0,"⚠ Pago parcial","✖ Sin pagar")))))</f>
        <v/>
      </c>
      <c r="T205" s="79" t="n"/>
      <c r="U205" s="75" t="n"/>
      <c r="V205" s="84" t="n"/>
      <c r="W205" s="64">
        <f>IF(AND($D205="",$G205=""),"",IF($C205="","⚠ Falta la fecha del pedido",IF($V205="","⚠ Elegí el estado de entrega",IF($V205="Cancelado","Cancelado",IF($V205="Entregado",IF($R205&gt;0,"⚠ Entregado: falta cobrar","✔ Cerrado"),IF(AND(N($U205)&gt;0,$U205&lt;TODAY()),"✖ Entrega atrasada ("&amp;(TODAY()-$U205)&amp;" d)","En curso"))))))</f>
        <v/>
      </c>
      <c r="X205" s="79" t="n"/>
      <c r="Y205">
        <f>IF($E205&amp;""="","",IF(LEFT(SUBSTITUTE(SUBSTITUTE(SUBSTITUTE(SUBSTITUTE(SUBSTITUTE($E205&amp;""," ",""),"-",""),"+",""),"(",""),")",""),1)="0",PaisCod&amp;MID(SUBSTITUTE(SUBSTITUTE(SUBSTITUTE(SUBSTITUTE(SUBSTITUTE($E205&amp;""," ",""),"-",""),"+",""),"(",""),")",""),2,20),SUBSTITUTE(SUBSTITUTE(SUBSTITUTE(SUBSTITUTE(SUBSTITUTE($E205&amp;""," ",""),"-",""),"+",""),"(",""),")","")))</f>
        <v/>
      </c>
      <c r="Z205">
        <f>IF(AND(N($R205)&gt;0,$V205&lt;&gt;"Cancelado"),$R205+ROW()/1000000,"")</f>
        <v/>
      </c>
      <c r="AA205">
        <f>IF(AND(OR($V205="Pendiente",$V205="Preparando",$V205="Enviado"),N($U205)&gt;0),$U205+ROW()/1000000,"")</f>
        <v/>
      </c>
      <c r="AB205">
        <f>IF(AND($D205="",$G205=""),"",IF($V205="Cancelado",0,$L205))</f>
        <v/>
      </c>
    </row>
    <row r="206" ht="19" customHeight="1">
      <c r="B206" s="74">
        <f>IF(AND($D206="",$G206=""),"",ROW()-7)</f>
        <v/>
      </c>
      <c r="C206" s="75" t="n"/>
      <c r="D206" s="76" t="n"/>
      <c r="E206" s="77" t="n"/>
      <c r="F206" s="78">
        <f>IF($Y206="","",HYPERLINK("https://wa.me/"&amp;$Y206&amp;"?text="&amp;SUBSTITUTE("Hola "&amp;$D206&amp;", te escribo por tu pedido de "&amp;$G206&amp;"."," ","%20"),"Abrir chat"))</f>
        <v/>
      </c>
      <c r="G206" s="79" t="n"/>
      <c r="H206" s="80" t="n"/>
      <c r="I206" s="81" t="n"/>
      <c r="J206" s="81" t="n"/>
      <c r="K206" s="81" t="n"/>
      <c r="L206" s="82">
        <f>IF(AND($D206="",$G206=""),"",IF(N($H206)=0,1,$H206)*N($I206)-N($J206)+N($K206))</f>
        <v/>
      </c>
      <c r="M206" s="81" t="n"/>
      <c r="N206" s="81" t="n"/>
      <c r="O206" s="83">
        <f>IF(OR(AND($D206="",$G206=""),$M206="",$V206="Cancelado"),"",$L206-N($M206)-N($N206))</f>
        <v/>
      </c>
      <c r="P206" s="79" t="n"/>
      <c r="Q206" s="81" t="n"/>
      <c r="R206" s="82">
        <f>IF(AND($D206="",$G206=""),"",IF($V206="Cancelado",0,MAX(0,$L206-N($Q206))))</f>
        <v/>
      </c>
      <c r="S206" s="60">
        <f>IF(AND($D206="",$G206=""),"",IF($V206="Cancelado","Cancelado",IF($L206&lt;=0,"",IF(N($Q206)&gt;=$L206,"✔ Pagado",IF(N($Q206)&gt;0,"⚠ Pago parcial","✖ Sin pagar")))))</f>
        <v/>
      </c>
      <c r="T206" s="79" t="n"/>
      <c r="U206" s="75" t="n"/>
      <c r="V206" s="84" t="n"/>
      <c r="W206" s="61">
        <f>IF(AND($D206="",$G206=""),"",IF($C206="","⚠ Falta la fecha del pedido",IF($V206="","⚠ Elegí el estado de entrega",IF($V206="Cancelado","Cancelado",IF($V206="Entregado",IF($R206&gt;0,"⚠ Entregado: falta cobrar","✔ Cerrado"),IF(AND(N($U206)&gt;0,$U206&lt;TODAY()),"✖ Entrega atrasada ("&amp;(TODAY()-$U206)&amp;" d)","En curso"))))))</f>
        <v/>
      </c>
      <c r="X206" s="79" t="n"/>
      <c r="Y206">
        <f>IF($E206&amp;""="","",IF(LEFT(SUBSTITUTE(SUBSTITUTE(SUBSTITUTE(SUBSTITUTE(SUBSTITUTE($E206&amp;""," ",""),"-",""),"+",""),"(",""),")",""),1)="0",PaisCod&amp;MID(SUBSTITUTE(SUBSTITUTE(SUBSTITUTE(SUBSTITUTE(SUBSTITUTE($E206&amp;""," ",""),"-",""),"+",""),"(",""),")",""),2,20),SUBSTITUTE(SUBSTITUTE(SUBSTITUTE(SUBSTITUTE(SUBSTITUTE($E206&amp;""," ",""),"-",""),"+",""),"(",""),")","")))</f>
        <v/>
      </c>
      <c r="Z206">
        <f>IF(AND(N($R206)&gt;0,$V206&lt;&gt;"Cancelado"),$R206+ROW()/1000000,"")</f>
        <v/>
      </c>
      <c r="AA206">
        <f>IF(AND(OR($V206="Pendiente",$V206="Preparando",$V206="Enviado"),N($U206)&gt;0),$U206+ROW()/1000000,"")</f>
        <v/>
      </c>
      <c r="AB206">
        <f>IF(AND($D206="",$G206=""),"",IF($V206="Cancelado",0,$L206))</f>
        <v/>
      </c>
    </row>
    <row r="207" ht="19" customHeight="1">
      <c r="B207" s="85">
        <f>IF(AND($D207="",$G207=""),"",ROW()-7)</f>
        <v/>
      </c>
      <c r="C207" s="75" t="n"/>
      <c r="D207" s="76" t="n"/>
      <c r="E207" s="77" t="n"/>
      <c r="F207" s="86">
        <f>IF($Y207="","",HYPERLINK("https://wa.me/"&amp;$Y207&amp;"?text="&amp;SUBSTITUTE("Hola "&amp;$D207&amp;", te escribo por tu pedido de "&amp;$G207&amp;"."," ","%20"),"Abrir chat"))</f>
        <v/>
      </c>
      <c r="G207" s="79" t="n"/>
      <c r="H207" s="80" t="n"/>
      <c r="I207" s="81" t="n"/>
      <c r="J207" s="81" t="n"/>
      <c r="K207" s="81" t="n"/>
      <c r="L207" s="82">
        <f>IF(AND($D207="",$G207=""),"",IF(N($H207)=0,1,$H207)*N($I207)-N($J207)+N($K207))</f>
        <v/>
      </c>
      <c r="M207" s="81" t="n"/>
      <c r="N207" s="81" t="n"/>
      <c r="O207" s="87">
        <f>IF(OR(AND($D207="",$G207=""),$M207="",$V207="Cancelado"),"",$L207-N($M207)-N($N207))</f>
        <v/>
      </c>
      <c r="P207" s="79" t="n"/>
      <c r="Q207" s="81" t="n"/>
      <c r="R207" s="82">
        <f>IF(AND($D207="",$G207=""),"",IF($V207="Cancelado",0,MAX(0,$L207-N($Q207))))</f>
        <v/>
      </c>
      <c r="S207" s="63">
        <f>IF(AND($D207="",$G207=""),"",IF($V207="Cancelado","Cancelado",IF($L207&lt;=0,"",IF(N($Q207)&gt;=$L207,"✔ Pagado",IF(N($Q207)&gt;0,"⚠ Pago parcial","✖ Sin pagar")))))</f>
        <v/>
      </c>
      <c r="T207" s="79" t="n"/>
      <c r="U207" s="75" t="n"/>
      <c r="V207" s="84" t="n"/>
      <c r="W207" s="64">
        <f>IF(AND($D207="",$G207=""),"",IF($C207="","⚠ Falta la fecha del pedido",IF($V207="","⚠ Elegí el estado de entrega",IF($V207="Cancelado","Cancelado",IF($V207="Entregado",IF($R207&gt;0,"⚠ Entregado: falta cobrar","✔ Cerrado"),IF(AND(N($U207)&gt;0,$U207&lt;TODAY()),"✖ Entrega atrasada ("&amp;(TODAY()-$U207)&amp;" d)","En curso"))))))</f>
        <v/>
      </c>
      <c r="X207" s="79" t="n"/>
      <c r="Y207">
        <f>IF($E207&amp;""="","",IF(LEFT(SUBSTITUTE(SUBSTITUTE(SUBSTITUTE(SUBSTITUTE(SUBSTITUTE($E207&amp;""," ",""),"-",""),"+",""),"(",""),")",""),1)="0",PaisCod&amp;MID(SUBSTITUTE(SUBSTITUTE(SUBSTITUTE(SUBSTITUTE(SUBSTITUTE($E207&amp;""," ",""),"-",""),"+",""),"(",""),")",""),2,20),SUBSTITUTE(SUBSTITUTE(SUBSTITUTE(SUBSTITUTE(SUBSTITUTE($E207&amp;""," ",""),"-",""),"+",""),"(",""),")","")))</f>
        <v/>
      </c>
      <c r="Z207">
        <f>IF(AND(N($R207)&gt;0,$V207&lt;&gt;"Cancelado"),$R207+ROW()/1000000,"")</f>
        <v/>
      </c>
      <c r="AA207">
        <f>IF(AND(OR($V207="Pendiente",$V207="Preparando",$V207="Enviado"),N($U207)&gt;0),$U207+ROW()/1000000,"")</f>
        <v/>
      </c>
      <c r="AB207">
        <f>IF(AND($D207="",$G207=""),"",IF($V207="Cancelado",0,$L207))</f>
        <v/>
      </c>
    </row>
    <row r="209" ht="8" customHeight="1">
      <c r="B209" s="65" t="n"/>
    </row>
    <row r="210" ht="16" customHeight="1">
      <c r="B210" s="66" t="inlineStr">
        <is>
          <t>MIX SHOP DIGITAL  ·  Herramientas inteligentes que simplifican tu vida.</t>
        </is>
      </c>
    </row>
    <row r="211" ht="16" customHeight="1">
      <c r="B211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autoFilter ref="B7:X207"/>
  <mergeCells count="11">
    <mergeCell ref="B5:D5"/>
    <mergeCell ref="B211:X211"/>
    <mergeCell ref="B2:F2"/>
    <mergeCell ref="G1:X1"/>
    <mergeCell ref="G2:X2"/>
    <mergeCell ref="E5:F5"/>
    <mergeCell ref="B210:X210"/>
    <mergeCell ref="C4:X4"/>
    <mergeCell ref="B6:K6"/>
    <mergeCell ref="B1:F1"/>
    <mergeCell ref="B209:X209"/>
  </mergeCells>
  <conditionalFormatting sqref="S8:S207">
    <cfRule type="expression" priority="1" dxfId="1" stopIfTrue="1">
      <formula>LEFT($S8,1)="✖"</formula>
    </cfRule>
    <cfRule type="expression" priority="2" dxfId="2" stopIfTrue="1">
      <formula>LEFT($S8,1)="⚠"</formula>
    </cfRule>
    <cfRule type="expression" priority="3" dxfId="3">
      <formula>LEFT($S8,1)="✔"</formula>
    </cfRule>
  </conditionalFormatting>
  <conditionalFormatting sqref="W8:W207">
    <cfRule type="expression" priority="4" dxfId="1" stopIfTrue="1">
      <formula>LEFT($W8,1)="✖"</formula>
    </cfRule>
    <cfRule type="expression" priority="5" dxfId="2" stopIfTrue="1">
      <formula>LEFT($W8,1)="⚠"</formula>
    </cfRule>
    <cfRule type="expression" priority="6" dxfId="3">
      <formula>LEFT($W8,1)="✔"</formula>
    </cfRule>
  </conditionalFormatting>
  <conditionalFormatting sqref="V8:V207">
    <cfRule type="cellIs" priority="7" operator="equal" dxfId="2">
      <formula>"Pendiente"</formula>
    </cfRule>
    <cfRule type="cellIs" priority="8" operator="equal" dxfId="4">
      <formula>"Preparando"</formula>
    </cfRule>
    <cfRule type="cellIs" priority="9" operator="equal" dxfId="5">
      <formula>"Enviado"</formula>
    </cfRule>
    <cfRule type="cellIs" priority="10" operator="equal" dxfId="3">
      <formula>"Entregado"</formula>
    </cfRule>
    <cfRule type="cellIs" priority="11" operator="equal" dxfId="6">
      <formula>"Cancelado"</formula>
    </cfRule>
  </conditionalFormatting>
  <conditionalFormatting sqref="R8:R207">
    <cfRule type="cellIs" priority="12" operator="greaterThan" dxfId="0">
      <formula>0</formula>
    </cfRule>
  </conditionalFormatting>
  <dataValidations count="12">
    <dataValidation sqref="C8:C207" showDropDown="0" showInputMessage="1" showErrorMessage="1" allowBlank="1" errorTitle="Dato no válido" error="Escribí una fecha válida (dd/mm/aaaa)." promptTitle="Fecha del pedido" prompt="Escribí la fecha. Ej.: 15/10/2026" type="date" operator="greaterThanOrEqual">
      <formula1>36526</formula1>
    </dataValidation>
    <dataValidation sqref="U8:U207" showDropDown="0" showInputMessage="1" showErrorMessage="1" allowBlank="1" errorTitle="Dato no válido" error="Escribí una fecha válida (dd/mm/aaaa)." promptTitle="Entrega prometida" prompt="Fecha en que le prometiste la entrega." type="date" operator="greaterThanOrEqual">
      <formula1>36526</formula1>
    </dataValidation>
    <dataValidation sqref="H8:H207" showDropDown="0" showInputMessage="1" showErrorMessage="1" allowBlank="1" errorTitle="Dato no válido" error="Escribí un número entero desde 1." promptTitle="Cantidad" prompt="Cuántas unidades. Vacío = 1." type="whole" operator="between">
      <formula1>1</formula1>
      <formula2>9999</formula2>
    </dataValidation>
    <dataValidation sqref="I8:I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J8:J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K8:K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M8:M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N8:N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Q8:Q207" showDropDown="0" showInputMessage="1" showErrorMessage="1" allowBlank="1" errorTitle="Dato no válido" error="Ingresá un número válido. No se aceptan valores negativos ni texto." promptTitle="Monto" prompt="Solo números, sin puntos ni símbolos. Ej.: 150000" type="decimal" operator="greaterThanOrEqual">
      <formula1>0</formula1>
    </dataValidation>
    <dataValidation sqref="P8:P207" showDropDown="0" showInputMessage="1" showErrorMessage="1" allowBlank="1" errorTitle="Valor no válido" error="Elegí un valor de la lista desplegable." promptTitle="Forma de pago" prompt="Elegí cómo pagó. Podés editar la lista en AJUSTES." type="list" errorStyle="stop">
      <formula1>ListaPago</formula1>
    </dataValidation>
    <dataValidation sqref="T8:T207" showDropDown="0" showInputMessage="1" showErrorMessage="1" allowBlank="1" errorTitle="Valor no válido" error="Elegí un valor de la lista desplegable." promptTitle="Forma de entrega" prompt="Elegí cómo se entrega. Podés editar la lista en AJUSTES." type="list" errorStyle="stop">
      <formula1>ListaEntrega</formula1>
    </dataValidation>
    <dataValidation sqref="V8:V207" showDropDown="0" showInputMessage="1" showErrorMessage="1" allowBlank="1" errorTitle="Valor no válido" error="Elegí un valor de la lista desplegable." promptTitle="Estado de entrega" prompt="Elegí en qué etapa está el pedido." type="list" errorStyle="stop">
      <formula1>"Pendiente,Preparando,Enviado,Entregado,Cancelado"</formula1>
    </dataValidation>
  </dataValidations>
  <hyperlinks>
    <hyperlink ref="B5" location="'PANEL'!A1" display="←  Volver al PANEL"/>
    <hyperlink ref="E5" location="'AJUSTES'!A1" display="Ajustes"/>
    <hyperlink xmlns:r="http://schemas.openxmlformats.org/officeDocument/2006/relationships" ref="B211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68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5" t="inlineStr">
        <is>
          <t>1. TU NEGOCIO</t>
        </is>
      </c>
    </row>
    <row r="7" ht="30" customHeight="1">
      <c r="B7" s="88" t="inlineStr">
        <is>
          <t>Nombre del negocio</t>
        </is>
      </c>
      <c r="C7" s="89" t="inlineStr">
        <is>
          <t>Mi negocio</t>
        </is>
      </c>
      <c r="D7" s="90" t="inlineStr">
        <is>
          <t>Aparece en el PANEL.</t>
        </is>
      </c>
    </row>
    <row r="8" ht="30" customHeight="1">
      <c r="B8" s="88" t="inlineStr">
        <is>
          <t>Año a controlar</t>
        </is>
      </c>
      <c r="C8" s="91" t="n">
        <v>2026</v>
      </c>
      <c r="D8" s="90" t="inlineStr">
        <is>
          <t>El PANEL muestra los pedidos de este año.</t>
        </is>
      </c>
    </row>
    <row r="9" ht="30" customHeight="1">
      <c r="B9" s="88" t="inlineStr">
        <is>
          <t>Moneda</t>
        </is>
      </c>
      <c r="C9" s="89" t="inlineStr">
        <is>
          <t>Gs.</t>
        </is>
      </c>
      <c r="D9" s="90" t="inlineStr">
        <is>
          <t>Símbolo que se muestra en las hojas.</t>
        </is>
      </c>
    </row>
    <row r="10" ht="30" customHeight="1">
      <c r="B10" s="88" t="inlineStr">
        <is>
          <t>Código de país para WhatsApp</t>
        </is>
      </c>
      <c r="C10" s="91" t="n">
        <v>595</v>
      </c>
      <c r="D10" s="90" t="inlineStr">
        <is>
          <t>Se usa para armar el enlace «Abrir chat». Paraguay: 595. Escribí el teléfono del cliente tal cual (ej.: 0981 123 456).</t>
        </is>
      </c>
    </row>
    <row r="12">
      <c r="B12" s="45" t="inlineStr">
        <is>
          <t>2. LISTAS DESPLEGABLES (podés renombrarlas)</t>
        </is>
      </c>
    </row>
    <row r="13">
      <c r="B13" s="92" t="inlineStr">
        <is>
          <t>Formas de pago</t>
        </is>
      </c>
      <c r="C13" s="92" t="inlineStr">
        <is>
          <t>Formas de entrega</t>
        </is>
      </c>
      <c r="D13" s="90" t="inlineStr">
        <is>
          <t>Cambiá el nombre si querés, pero no dejes huecos entre medio.</t>
        </is>
      </c>
    </row>
    <row r="14">
      <c r="B14" s="89" t="inlineStr">
        <is>
          <t>Efectivo</t>
        </is>
      </c>
      <c r="C14" s="89" t="inlineStr">
        <is>
          <t>Delivery propio</t>
        </is>
      </c>
      <c r="D14" s="90" t="inlineStr">
        <is>
          <t>Hasta 6 formas de pago y 5 formas de entrega.</t>
        </is>
      </c>
    </row>
    <row r="15">
      <c r="B15" s="89" t="inlineStr">
        <is>
          <t>Transferencia</t>
        </is>
      </c>
      <c r="C15" s="89" t="inlineStr">
        <is>
          <t>Moto delivery</t>
        </is>
      </c>
      <c r="D15" s="90" t="inlineStr">
        <is>
          <t>Los estados de entrega (Pendiente, Preparando, Enviado, Entregado, Cancelado) son fijos.</t>
        </is>
      </c>
    </row>
    <row r="16">
      <c r="B16" s="89" t="inlineStr">
        <is>
          <t>Tarjeta</t>
        </is>
      </c>
      <c r="C16" s="89" t="inlineStr">
        <is>
          <t>Encomienda / flete</t>
        </is>
      </c>
    </row>
    <row r="17">
      <c r="B17" s="89" t="inlineStr">
        <is>
          <t>Billetera móvil</t>
        </is>
      </c>
      <c r="C17" s="89" t="inlineStr">
        <is>
          <t>Retiro en el local</t>
        </is>
      </c>
    </row>
    <row r="18">
      <c r="B18" s="89" t="inlineStr">
        <is>
          <t>Otro</t>
        </is>
      </c>
      <c r="C18" s="89" t="inlineStr">
        <is>
          <t>Otro</t>
        </is>
      </c>
    </row>
    <row r="19">
      <c r="B19" s="89" t="n"/>
    </row>
    <row r="22" ht="8" customHeight="1">
      <c r="B22" s="65" t="n"/>
    </row>
    <row r="23" ht="16" customHeight="1">
      <c r="B23" s="66" t="inlineStr">
        <is>
          <t>MIX SHOP DIGITAL  ·  Herramientas inteligentes que simplifican tu vida.</t>
        </is>
      </c>
    </row>
    <row r="24" ht="16" customHeight="1">
      <c r="B24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9">
    <mergeCell ref="D15:D16"/>
    <mergeCell ref="C2:D2"/>
    <mergeCell ref="C1:D1"/>
    <mergeCell ref="B23:D23"/>
    <mergeCell ref="B22:D22"/>
    <mergeCell ref="B12:D12"/>
    <mergeCell ref="B6:D6"/>
    <mergeCell ref="B24:D24"/>
    <mergeCell ref="C4:D4"/>
  </mergeCells>
  <dataValidations count="3">
    <dataValidation sqref="C9" showDropDown="0" showInputMessage="1" showErrorMessage="1" allowBlank="1" errorTitle="Valor no válido" error="Elegí un valor de la lista desplegable." promptTitle="Moneda" prompt="Elegí la moneda que usás." type="list" errorStyle="stop">
      <formula1>"Gs.,US$,R$,ARS $,€"</formula1>
    </dataValidation>
    <dataValidation sqref="C8" showDropDown="0" showInputMessage="1" showErrorMessage="1" allowBlank="1" errorTitle="Dato no válido" error="Escribí un año entre 2000 y 2100." promptTitle="Año" prompt="Escribí el año que querés controlar. Ej.: 2026" type="whole" operator="between">
      <formula1>2000</formula1>
      <formula2>2100</formula2>
    </dataValidation>
    <dataValidation sqref="C10" showDropDown="0" showInputMessage="1" showErrorMessage="1" allowBlank="1" errorTitle="Dato no válido" error="Escribí solo números. Paraguay: 595." promptTitle="Código de país" prompt="Solo el número. Paraguay: 595" type="whole" operator="between">
      <formula1>1</formula1>
      <formula2>999</formula2>
    </dataValidation>
  </dataValidations>
  <hyperlinks>
    <hyperlink ref="B4" location="'PANEL'!A1" display="← VOLVER"/>
    <hyperlink xmlns:r="http://schemas.openxmlformats.org/officeDocument/2006/relationships" ref="B24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16423C"/>
    <outlinePr summaryBelow="1" summaryRight="1"/>
    <pageSetUpPr fitToPage="1"/>
  </sheetPr>
  <dimension ref="B1:H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68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5" t="inlineStr">
        <is>
          <t>¿PARA QUÉ SIRVE?</t>
        </is>
      </c>
    </row>
    <row r="7" ht="33" customHeight="1">
      <c r="B7" s="93" t="inlineStr">
        <is>
          <t>Para anotar cada pedido que te llega (por WhatsApp, redes o en persona), saber cuánto te pagaron, cuánto te deben, qué tenés que entregar y cuándo, y cuánto ganás. Sin fórmulas y sin Internet.</t>
        </is>
      </c>
    </row>
    <row r="9">
      <c r="B9" s="45" t="inlineStr">
        <is>
          <t>EMPEZÁ EN 3 PASOS</t>
        </is>
      </c>
    </row>
    <row r="10" ht="18.5" customHeight="1">
      <c r="B10" s="93" t="inlineStr">
        <is>
          <t>1) En AJUSTES poné el nombre de tu negocio, el año y, si querés, cambiá las formas de pago y de entrega.</t>
        </is>
      </c>
    </row>
    <row r="11" ht="33" customHeight="1">
      <c r="B11" s="93" t="inlineStr">
        <is>
          <t>2) En PEDIDOS escribí una fila por pedido: fecha, cliente, teléfono, producto, cantidad, precio y estado de entrega. Más adelante completá lo que te pagaron y, si querés conocer tu ganancia, los costos.</t>
        </is>
      </c>
    </row>
    <row r="12" ht="18.5" customHeight="1">
      <c r="B12" s="93" t="inlineStr">
        <is>
          <t>3) Mirá el PANEL: tus ventas, lo que te deben, las entregas atrasadas y quién te tiene que pagar.</t>
        </is>
      </c>
    </row>
    <row r="14">
      <c r="B14" s="35" t="inlineStr">
        <is>
          <t>COLORES Y AVISOS</t>
        </is>
      </c>
    </row>
    <row r="15" ht="18.5" customHeight="1">
      <c r="B15" s="93" t="inlineStr">
        <is>
          <t>Amarillo claro: celdas que completás vos.   Gris o blanco: se calcula solo (bloqueado).</t>
        </is>
      </c>
    </row>
    <row r="16" ht="33" customHeight="1">
      <c r="B16" s="93" t="inlineStr">
        <is>
          <t>AVISO: «✔ Cerrado» = entregado y pagado.   «En curso» = todavía falta entregar.   «⚠ Entregado: falta cobrar» = hay saldo.   «✖ Entrega atrasada» = pasó la fecha prometida y no está entregado.</t>
        </is>
      </c>
    </row>
    <row r="18">
      <c r="B18" s="35" t="inlineStr">
        <is>
          <t>PREGUNTAS FRECUENTES</t>
        </is>
      </c>
    </row>
    <row r="19" ht="18.5" customHeight="1">
      <c r="B19" s="93" t="inlineStr">
        <is>
          <t>• Veo todo en cero: hacé clic en «Habilitar edición» en la barra amarilla de Excel.</t>
        </is>
      </c>
    </row>
    <row r="20" ht="33" customHeight="1">
      <c r="B20" s="93" t="inlineStr">
        <is>
          <t>• ¿Para qué sirve «Chat»? Si escribís el teléfono del cliente (ej.: 0981 123 456), aparece «Abrir chat»: un clic y se abre WhatsApp con un saludo ya escrito.</t>
        </is>
      </c>
    </row>
    <row r="21" ht="33" customHeight="1">
      <c r="B21" s="93" t="inlineStr">
        <is>
          <t>• ¿Cómo registro un pago parcial (seña)? Escribí lo que te pagaron en «Pagado hasta ahora». Cuando te paguen el resto, actualizá el monto.</t>
        </is>
      </c>
    </row>
    <row r="22" ht="33" customHeight="1">
      <c r="B22" s="93" t="inlineStr">
        <is>
          <t>• ¿Cómo cancelo un pedido? Elegí «Cancelado» en el estado de entrega: no suma en ventas ni en lo que te deben.</t>
        </is>
      </c>
    </row>
    <row r="23" ht="33" customHeight="1">
      <c r="B23" s="93" t="inlineStr">
        <is>
          <t>• ¿Por qué un pedido no aparece en el panel? Revisá que tenga fecha y que esté dentro del año y el período elegidos.</t>
        </is>
      </c>
    </row>
    <row r="24" ht="33" customHeight="1">
      <c r="B24" s="93" t="inlineStr">
        <is>
          <t>• ¿Cómo busco a un cliente o veo solo lo pendiente? Usá las flechas del filtro en la fila de títulos de PEDIDOS. La fila de arriba suma solo lo que queda visible.</t>
        </is>
      </c>
    </row>
    <row r="25" ht="18.5" customHeight="1">
      <c r="B25" s="93" t="inlineStr">
        <is>
          <t>• La ganancia solo suma los pedidos con «Costo del producto» cargado.</t>
        </is>
      </c>
    </row>
    <row r="26" ht="33" customHeight="1">
      <c r="B26" s="93" t="inlineStr">
        <is>
          <t>• Hay lugar para 200 pedidos. Cuando se llene, guardá una copia y empezá un archivo nuevo (por ejemplo, uno por año).</t>
        </is>
      </c>
    </row>
    <row r="27" ht="33" customHeight="1">
      <c r="B27" s="93" t="inlineStr">
        <is>
          <t>• Solo se editan las celdas amarillas: el resto está protegido para que no se rompan las fórmulas por accidente.</t>
        </is>
      </c>
    </row>
    <row r="29">
      <c r="B29" s="45" t="inlineStr">
        <is>
          <t>SOBRE LA PROTECCIÓN</t>
        </is>
      </c>
    </row>
    <row r="30" ht="18.5" customHeight="1">
      <c r="B30" s="93" t="inlineStr">
        <is>
          <t>La protección de Excel evita borrados accidentales, pero no es un sistema de seguridad criptográfico.</t>
        </is>
      </c>
    </row>
    <row r="32">
      <c r="B32" s="94" t="inlineStr">
        <is>
          <t>MIX SHOP DIGITAL</t>
        </is>
      </c>
    </row>
    <row r="33" ht="33" customHeight="1">
      <c r="B33" s="93" t="inlineStr">
        <is>
          <t>Esta planilla es una herramienta gratuita de Mix Shop Digital. Encontrá más herramientas gratuitas y programas para tu vida diaria y tu negocio en nuestro sitio.</t>
        </is>
      </c>
    </row>
    <row r="34">
      <c r="B34" s="95" t="inlineStr">
        <is>
          <t>→ mixshopdigital.com.py</t>
        </is>
      </c>
    </row>
    <row r="36" ht="8" customHeight="1">
      <c r="B36" s="65" t="n"/>
    </row>
    <row r="37" ht="16" customHeight="1">
      <c r="B37" s="66" t="inlineStr">
        <is>
          <t>MIX SHOP DIGITAL  ·  Herramientas inteligentes que simplifican tu vida.</t>
        </is>
      </c>
    </row>
    <row r="38" ht="16" customHeight="1">
      <c r="B38" s="67" t="inlineStr">
        <is>
          <t>Versión gratuita  ·  Más herramientas gratuitas para tu vida diaria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231"/>
  <mergeCells count="32">
    <mergeCell ref="B9:H9"/>
    <mergeCell ref="D1:H1"/>
    <mergeCell ref="B6:H6"/>
    <mergeCell ref="B24:H24"/>
    <mergeCell ref="B30:H30"/>
    <mergeCell ref="B15:H15"/>
    <mergeCell ref="B33:H33"/>
    <mergeCell ref="B20:H20"/>
    <mergeCell ref="B37:H37"/>
    <mergeCell ref="B36:H36"/>
    <mergeCell ref="B32:H32"/>
    <mergeCell ref="B2:C2"/>
    <mergeCell ref="B26:H26"/>
    <mergeCell ref="D2:H2"/>
    <mergeCell ref="B16:H16"/>
    <mergeCell ref="B7:H7"/>
    <mergeCell ref="B25:H25"/>
    <mergeCell ref="B1:C1"/>
    <mergeCell ref="B22:H22"/>
    <mergeCell ref="B18:H18"/>
    <mergeCell ref="B27:H27"/>
    <mergeCell ref="B21:H21"/>
    <mergeCell ref="B12:H12"/>
    <mergeCell ref="B11:H11"/>
    <mergeCell ref="B23:H23"/>
    <mergeCell ref="B14:H14"/>
    <mergeCell ref="B38:H38"/>
    <mergeCell ref="C4:H4"/>
    <mergeCell ref="B10:H10"/>
    <mergeCell ref="B29:H29"/>
    <mergeCell ref="B19:H19"/>
    <mergeCell ref="B34:H34"/>
  </mergeCells>
  <hyperlinks>
    <hyperlink ref="B4" location="'PANEL'!A1" display="← VOLVER"/>
    <hyperlink xmlns:r="http://schemas.openxmlformats.org/officeDocument/2006/relationships" ref="B34" r:id="rId1"/>
    <hyperlink xmlns:r="http://schemas.openxmlformats.org/officeDocument/2006/relationships" ref="B38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&amp;K16423CMIX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Control de Pedidos y Entregas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2026-10-30T15:09:52Z</dcterms:created>
  <dcterms:modified xmlns:dcterms="http://purl.org/dc/terms/" xmlns:xsi="http://www.w3.org/2001/XMLSchema-instance" xsi:type="dcterms:W3CDTF">2026-10-30T15:09:53Z</dcterms:modified>
</cp:coreProperties>
</file>