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950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PACIENTES" sheetId="2" state="visible" r:id="rId2"/>
    <sheet xmlns:r="http://schemas.openxmlformats.org/officeDocument/2006/relationships" name="CONSULTAS" sheetId="3" state="visible" r:id="rId3"/>
    <sheet xmlns:r="http://schemas.openxmlformats.org/officeDocument/2006/relationships" name="AJUSTES" sheetId="4" state="visible" r:id="rId4"/>
    <sheet xmlns:r="http://schemas.openxmlformats.org/officeDocument/2006/relationships" name="AYUDA" sheetId="5" state="visible" r:id="rId5"/>
  </sheets>
  <definedNames>
    <definedName name="NombreNegocio">'AJUSTES'!$C$7</definedName>
    <definedName name="AnioCtl">'AJUSTES'!$C$8</definedName>
    <definedName name="Moneda">'AJUSTES'!$C$9</definedName>
    <definedName name="DiasControl">'AJUSTES'!$C$10</definedName>
    <definedName name="ListaTrat">'AJUSTES'!$B$14:$B$23</definedName>
    <definedName name="ListaPac">'PACIENTES'!$B$7:$B$206</definedName>
    <definedName name="MesN">'PANEL'!$P$6</definedName>
    <definedName name="FIni">'PANEL'!$P$7</definedName>
    <definedName name="FFin">'PANEL'!$P$8</definedName>
    <definedName name="_xlnm.Print_Area" localSheetId="0">'PANEL'!$A$1:$M$64</definedName>
    <definedName name="_xlnm._FilterDatabase" localSheetId="1" hidden="1">'PACIENTES'!$B$6:$J$206</definedName>
    <definedName name="_xlnm.Print_Titles" localSheetId="1">'PACIENTES'!$6:$6</definedName>
    <definedName name="_xlnm.Print_Area" localSheetId="1">'PACIENTES'!$A$1:$J$210</definedName>
    <definedName name="_xlnm._FilterDatabase" localSheetId="2" hidden="1">'CONSULTAS'!$B$6:$F$506</definedName>
    <definedName name="_xlnm.Print_Titles" localSheetId="2">'CONSULTAS'!$6:$6</definedName>
    <definedName name="_xlnm.Print_Area" localSheetId="2">'CONSULTAS'!$A$1:$F$510</definedName>
    <definedName name="_xlnm.Print_Area" localSheetId="3">'AJUSTES'!$A$1:$D$29</definedName>
    <definedName name="_xlnm.Print_Area" localSheetId="4">'AYUDA'!$A$1:$H$35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#,##0;-#,##0;0"/>
    <numFmt numFmtId="166" formatCode="#,##0;[Red]-#,##0;&quot;-&quot;"/>
    <numFmt numFmtId="167" formatCode="0;-0;&quot;-&quot;"/>
    <numFmt numFmtId="168" formatCode="0%;-0%;&quot;-&quot;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D98A"/>
      <sz val="13"/>
    </font>
    <font>
      <name val="Arial"/>
      <i val="1"/>
      <color rgb="00FFFFFF"/>
      <sz val="9"/>
    </font>
    <font>
      <name val="Arial"/>
      <color rgb="00FFFFFF"/>
      <sz val="9"/>
    </font>
    <font>
      <name val="Arial"/>
      <color rgb="00000000"/>
      <sz val="10"/>
    </font>
    <font>
      <name val="Arial"/>
      <b val="1"/>
      <color rgb="001D7FB8"/>
      <sz val="9"/>
      <u val="single"/>
    </font>
    <font>
      <name val="Arial"/>
      <i val="1"/>
      <color rgb="005A6C78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0B3C5D"/>
      <sz val="9"/>
    </font>
    <font>
      <name val="Arial"/>
      <color rgb="005A6C78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B3C5D"/>
      <sz val="10"/>
    </font>
    <font>
      <name val="Arial"/>
      <b val="1"/>
      <color rgb="005A6C78"/>
      <sz val="8"/>
    </font>
    <font>
      <name val="Arial"/>
      <b val="1"/>
      <color rgb="001D7FB8"/>
      <sz val="20"/>
    </font>
    <font>
      <name val="Arial"/>
      <b val="1"/>
      <color rgb="001B7F72"/>
      <sz val="20"/>
    </font>
    <font>
      <name val="Arial"/>
      <b val="1"/>
      <color rgb="000B3C5D"/>
      <sz val="20"/>
    </font>
    <font>
      <name val="Arial"/>
      <b val="1"/>
      <color rgb="00E76F51"/>
      <sz val="20"/>
    </font>
    <font>
      <name val="Arial"/>
      <b val="1"/>
      <color rgb="00000000"/>
      <sz val="11"/>
    </font>
    <font>
      <name val="Arial"/>
      <b val="1"/>
      <color rgb="00000000"/>
      <sz val="9"/>
    </font>
    <font>
      <name val="Arial"/>
      <b val="1"/>
      <color rgb="000B3C5D"/>
      <sz val="11"/>
    </font>
    <font>
      <name val="Arial"/>
      <b val="1"/>
      <color rgb="001D7FB8"/>
      <sz val="11"/>
      <u val="single"/>
    </font>
  </fonts>
  <fills count="10">
    <fill>
      <patternFill/>
    </fill>
    <fill>
      <patternFill patternType="gray125"/>
    </fill>
    <fill>
      <patternFill patternType="solid">
        <fgColor rgb="000B3C5D"/>
        <bgColor rgb="000B3C5D"/>
      </patternFill>
    </fill>
    <fill>
      <patternFill patternType="solid">
        <fgColor rgb="001D7FB8"/>
        <bgColor rgb="001D7FB8"/>
      </patternFill>
    </fill>
    <fill>
      <patternFill patternType="solid">
        <fgColor rgb="003CCBB0"/>
        <bgColor rgb="003CCBB0"/>
      </patternFill>
    </fill>
    <fill>
      <patternFill patternType="solid">
        <fgColor rgb="00E3F3FB"/>
        <bgColor rgb="00E3F3FB"/>
      </patternFill>
    </fill>
    <fill>
      <patternFill patternType="solid">
        <fgColor rgb="00EEF3F6"/>
        <bgColor rgb="00EEF3F6"/>
      </patternFill>
    </fill>
    <fill>
      <patternFill patternType="solid">
        <fgColor rgb="00F0F8FC"/>
        <bgColor rgb="00F0F8FC"/>
      </patternFill>
    </fill>
    <fill>
      <patternFill patternType="solid">
        <fgColor rgb="00D6EBF6"/>
        <bgColor rgb="00D6EBF6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5D8E6"/>
      </left>
      <right style="thin">
        <color rgb="00C5D8E6"/>
      </right>
      <top style="thin">
        <color rgb="00C5D8E6"/>
      </top>
      <bottom style="thin">
        <color rgb="00C5D8E6"/>
      </bottom>
    </border>
    <border>
      <left style="thick">
        <color rgb="003CCBB0"/>
      </left>
    </border>
    <border>
      <left style="thick">
        <color rgb="001D7FB8"/>
      </left>
    </border>
    <border>
      <left style="thick">
        <color rgb="000B3C5D"/>
      </left>
    </border>
    <border>
      <left style="thick">
        <color rgb="00E76F51"/>
      </left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9" fillId="5" borderId="1" applyAlignment="1" applyProtection="1" pivotButton="0" quotePrefix="0" xfId="0">
      <alignment horizontal="center" vertical="center"/>
      <protection locked="0" hidden="0"/>
    </xf>
    <xf numFmtId="0" fontId="16" fillId="7" borderId="3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16" fillId="7" borderId="4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165" fontId="17" fillId="7" borderId="3" applyAlignment="1" pivotButton="0" quotePrefix="0" xfId="0">
      <alignment horizontal="center" vertical="center"/>
    </xf>
    <xf numFmtId="166" fontId="18" fillId="7" borderId="2" applyAlignment="1" pivotButton="0" quotePrefix="0" xfId="0">
      <alignment horizontal="center" vertical="center"/>
    </xf>
    <xf numFmtId="165" fontId="19" fillId="7" borderId="4" applyAlignment="1" pivotButton="0" quotePrefix="0" xfId="0">
      <alignment horizontal="center" vertical="center"/>
    </xf>
    <xf numFmtId="165" fontId="20" fillId="7" borderId="5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167" fontId="13" fillId="9" borderId="1" applyAlignment="1" pivotButton="0" quotePrefix="0" xfId="0">
      <alignment horizontal="center" vertical="center"/>
    </xf>
    <xf numFmtId="166" fontId="13" fillId="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167" fontId="13" fillId="7" borderId="1" applyAlignment="1" pivotButton="0" quotePrefix="0" xfId="0">
      <alignment horizontal="center" vertical="center"/>
    </xf>
    <xf numFmtId="166" fontId="13" fillId="7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/>
    </xf>
    <xf numFmtId="1" fontId="22" fillId="8" borderId="1" applyAlignment="1" pivotButton="0" quotePrefix="0" xfId="0">
      <alignment horizontal="center" vertical="center"/>
    </xf>
    <xf numFmtId="166" fontId="22" fillId="8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0" fontId="13" fillId="9" borderId="1" applyAlignment="1" pivotButton="0" quotePrefix="0" xfId="0">
      <alignment vertical="center"/>
    </xf>
    <xf numFmtId="168" fontId="13" fillId="9" borderId="1" applyAlignment="1" pivotButton="0" quotePrefix="0" xfId="0">
      <alignment horizontal="right" vertical="center"/>
    </xf>
    <xf numFmtId="0" fontId="14" fillId="3" borderId="1" applyAlignment="1" pivotButton="0" quotePrefix="0" xfId="0">
      <alignment vertical="center"/>
    </xf>
    <xf numFmtId="9" fontId="22" fillId="8" borderId="1" applyAlignment="1" pivotButton="0" quotePrefix="0" xfId="0">
      <alignment horizontal="right" vertical="center"/>
    </xf>
    <xf numFmtId="167" fontId="5" fillId="9" borderId="1" applyAlignment="1" pivotButton="0" quotePrefix="0" xfId="0">
      <alignment horizontal="center" vertical="center"/>
    </xf>
    <xf numFmtId="168" fontId="5" fillId="9" borderId="1" applyAlignment="1" pivotButton="0" quotePrefix="0" xfId="0">
      <alignment horizontal="right" vertical="center"/>
    </xf>
    <xf numFmtId="0" fontId="14" fillId="2" borderId="1" applyAlignment="1" pivotButton="0" quotePrefix="0" xfId="0">
      <alignment vertical="center"/>
    </xf>
    <xf numFmtId="1" fontId="9" fillId="8" borderId="1" applyAlignment="1" pivotButton="0" quotePrefix="0" xfId="0">
      <alignment horizontal="center" vertical="center"/>
    </xf>
    <xf numFmtId="9" fontId="9" fillId="8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3" fillId="5" borderId="1" applyAlignment="1" applyProtection="1" pivotButton="0" quotePrefix="0" xfId="0">
      <alignment horizontal="left" vertical="center"/>
      <protection locked="0" hidden="0"/>
    </xf>
    <xf numFmtId="0" fontId="13" fillId="5" borderId="1" applyAlignment="1" applyProtection="1" pivotButton="0" quotePrefix="0" xfId="0">
      <alignment horizontal="center" vertical="center"/>
      <protection locked="0" hidden="0"/>
    </xf>
    <xf numFmtId="164" fontId="13" fillId="5" borderId="1" applyAlignment="1" applyProtection="1" pivotButton="0" quotePrefix="0" xfId="0">
      <alignment horizontal="center" vertical="center"/>
      <protection locked="0" hidden="0"/>
    </xf>
    <xf numFmtId="1" fontId="13" fillId="6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3" fontId="13" fillId="5" borderId="1" applyAlignment="1" applyProtection="1" pivotButton="0" quotePrefix="0" xfId="0">
      <alignment horizontal="right" vertical="center"/>
      <protection locked="0" hidden="0"/>
    </xf>
    <xf numFmtId="0" fontId="9" fillId="0" borderId="0" applyAlignment="1" pivotButton="0" quotePrefix="0" xfId="0">
      <alignment horizontal="left" vertical="center"/>
    </xf>
    <xf numFmtId="0" fontId="5" fillId="5" borderId="1" applyAlignment="1" applyProtection="1" pivotButton="0" quotePrefix="0" xfId="0">
      <alignment horizontal="left" vertical="center"/>
      <protection locked="0" hidden="0"/>
    </xf>
    <xf numFmtId="0" fontId="7" fillId="0" borderId="0" applyAlignment="1" pivotButton="0" quotePrefix="0" xfId="0">
      <alignment horizontal="left" vertical="center" wrapText="1"/>
    </xf>
    <xf numFmtId="1" fontId="5" fillId="5" borderId="1" applyAlignment="1" applyProtection="1" pivotButton="0" quotePrefix="0" xfId="0">
      <alignment horizontal="right" vertical="center"/>
      <protection locked="0" hidden="0"/>
    </xf>
    <xf numFmtId="0" fontId="5" fillId="0" borderId="0" applyAlignment="1" pivotButton="0" quotePrefix="0" xfId="0">
      <alignment horizontal="left" vertical="top" wrapText="1"/>
    </xf>
    <xf numFmtId="0" fontId="23" fillId="4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b val="1"/>
        <color rgb="00B00020"/>
      </font>
      <fill>
        <patternFill patternType="solid">
          <fgColor rgb="00FBD5D5"/>
          <bgColor rgb="00FBD5D5"/>
        </patternFill>
      </fill>
    </dxf>
    <dxf>
      <font>
        <b val="1"/>
        <color rgb="009A4A00"/>
      </font>
      <fill>
        <patternFill patternType="solid">
          <fgColor rgb="00FFE3CF"/>
          <bgColor rgb="00FFE3CF"/>
        </patternFill>
      </fill>
    </dxf>
    <dxf>
      <font>
        <b val="1"/>
        <color rgb="0017653B"/>
      </font>
      <fill>
        <patternFill patternType="solid">
          <fgColor rgb="00D6F0E4"/>
          <bgColor rgb="00D6F0E4"/>
        </patternFill>
      </fill>
    </dxf>
    <dxf>
      <font>
        <b val="1"/>
        <color rgb="001D7FB8"/>
      </font>
    </dxf>
    <dxf>
      <font>
        <i val="1"/>
        <color rgb="008896A0"/>
      </font>
    </dxf>
    <dxf>
      <font>
        <b val="1"/>
        <color rgb="00B00020"/>
      </font>
    </dxf>
    <dxf>
      <font>
        <i val="1"/>
        <color rgb="009AAAB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'PANEL'!D15</f>
            </strRef>
          </tx>
          <spPr>
            <a:solidFill xmlns:a="http://schemas.openxmlformats.org/drawingml/2006/main">
              <a:srgbClr val="1D7FB8"/>
            </a:solidFill>
            <a:ln xmlns:a="http://schemas.openxmlformats.org/drawingml/2006/main">
              <a:prstDash val="solid"/>
            </a:ln>
          </spPr>
          <cat>
            <numRef>
              <f>'PANEL'!$B$16:$B$27</f>
            </numRef>
          </cat>
          <val>
            <numRef>
              <f>'PANEL'!$D$16:$D$27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Tratamientos más realizados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'PANEL'!D31</f>
            </strRef>
          </tx>
          <spPr>
            <a:solidFill xmlns:a="http://schemas.openxmlformats.org/drawingml/2006/main">
              <a:srgbClr val="3CCBB0"/>
            </a:solidFill>
            <a:ln xmlns:a="http://schemas.openxmlformats.org/drawingml/2006/main">
              <a:prstDash val="solid"/>
            </a:ln>
          </spPr>
          <cat>
            <numRef>
              <f>'PANEL'!$B$32:$B$41</f>
            </numRef>
          </cat>
          <val>
            <numRef>
              <f>'PANEL'!$D$32:$D$41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Cómo están tus pacientes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D7FB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CCBB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76F5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7C4CC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'PANEL'!$B$47:$B$50</f>
            </numRef>
          </cat>
          <val>
            <numRef>
              <f>'PANEL'!$D$47:$D$50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13</row>
      <rowOff>0</rowOff>
    </from>
    <ext cx="4752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28</row>
      <rowOff>0</rowOff>
    </from>
    <ext cx="4752000" cy="302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45</row>
      <rowOff>0</rowOff>
    </from>
    <ext cx="4752000" cy="23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ixshopdigital.com.py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mixshopdigital.com.py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mixshopdigital.com.py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hyperlink" Target="https://mixshopdigital.com.py" TargetMode="External" Id="rId2"/></Relationships>
</file>

<file path=xl/worksheets/sheet1.xml><?xml version="1.0" encoding="utf-8"?>
<worksheet xmlns="http://schemas.openxmlformats.org/spreadsheetml/2006/main">
  <sheetPr>
    <tabColor rgb="001D7FB8"/>
    <outlinePr summaryBelow="1" summaryRight="1"/>
    <pageSetUpPr fitToPage="1"/>
  </sheetPr>
  <dimension ref="B1:P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13" customWidth="1" min="16" max="16"/>
  </cols>
  <sheetData>
    <row r="1" ht="30" customHeight="1">
      <c r="B1" s="1" t="inlineStr">
        <is>
          <t>MIX SHOP DIGITAL</t>
        </is>
      </c>
      <c r="F1" s="2" t="inlineStr">
        <is>
          <t>FICHAS Y AGENDA DE PACIENTES</t>
        </is>
      </c>
    </row>
    <row r="2" ht="18" customHeight="1">
      <c r="B2" s="3" t="inlineStr">
        <is>
          <t>Herramientas inteligentes que simplifican tu vida.</t>
        </is>
      </c>
      <c r="F2" s="4" t="inlineStr">
        <is>
          <t>Tu consultorio, de un vistazo</t>
        </is>
      </c>
    </row>
    <row r="3" ht="4" customHeight="1">
      <c r="B3" s="5" t="n"/>
    </row>
    <row r="4" ht="20" customHeight="1">
      <c r="C4" s="6" t="inlineStr">
        <is>
          <t>El panel se arma solo con lo que anotás en PACIENTES y CONSULTAS. Solo elegí el período.</t>
        </is>
      </c>
    </row>
    <row r="5" ht="22" customHeight="1">
      <c r="B5" s="7" t="inlineStr">
        <is>
          <t>+ Anotar atención</t>
        </is>
      </c>
      <c r="E5" s="8" t="inlineStr">
        <is>
          <t>Pacientes</t>
        </is>
      </c>
      <c r="G5" s="9" t="inlineStr">
        <is>
          <t>Ajustes</t>
        </is>
      </c>
      <c r="I5" s="9" t="inlineStr">
        <is>
          <t>Ayuda</t>
        </is>
      </c>
    </row>
    <row r="6" ht="22" customHeight="1">
      <c r="B6" s="10" t="inlineStr">
        <is>
          <t>Período a mirar:</t>
        </is>
      </c>
      <c r="C6" s="11" t="inlineStr">
        <is>
          <t>Todo el año</t>
        </is>
      </c>
      <c r="E6" s="6">
        <f>"Año de control: "&amp;AnioCtl&amp;"   ·   "&amp;NombreNegocio</f>
        <v/>
      </c>
      <c r="P6">
        <f>IFERROR(MATCH(C6,{"Todo el año","Enero","Febrero","Marzo","Abril","Mayo","Junio","Julio","Agosto","Septiembre","Octubre","Noviembre","Diciembre"},0)-1,0)</f>
        <v/>
      </c>
    </row>
    <row r="7">
      <c r="P7">
        <f>IF(P6=0,DATE(AnioCtl,1,1),DATE(AnioCtl,P6,1))</f>
        <v/>
      </c>
    </row>
    <row r="8" ht="16" customHeight="1">
      <c r="B8" s="12" t="inlineStr">
        <is>
          <t>ATENCIONES DEL PERÍODO</t>
        </is>
      </c>
      <c r="E8" s="13" t="inlineStr">
        <is>
          <t>INGRESOS DEL PERÍODO</t>
        </is>
      </c>
      <c r="H8" s="14" t="inlineStr">
        <is>
          <t>PACIENTES REGISTRADOS</t>
        </is>
      </c>
      <c r="K8" s="15" t="inlineStr">
        <is>
          <t>CONTROLES PENDIENTES</t>
        </is>
      </c>
      <c r="P8">
        <f>IF(P6=0,DATE(AnioCtl+1,1,1),DATE(AnioCtl,P6+1,1))</f>
        <v/>
      </c>
    </row>
    <row r="9" ht="30" customHeight="1">
      <c r="B9" s="16">
        <f>IF(MesN=0,C28,INDEX(C16:C27,MesN))</f>
        <v/>
      </c>
      <c r="E9" s="17">
        <f>IF(MesN=0,D28,INDEX(D16:D27,MesN))</f>
        <v/>
      </c>
      <c r="H9" s="18">
        <f>COUNTA(PACIENTES!$B$7:$B$206)</f>
        <v/>
      </c>
      <c r="K9" s="19">
        <f>D49</f>
        <v/>
      </c>
    </row>
    <row r="10" ht="15" customHeight="1">
      <c r="B10" s="20" t="inlineStr">
        <is>
          <t>consultas realizadas</t>
        </is>
      </c>
      <c r="E10" s="21">
        <f>Moneda</f>
        <v/>
      </c>
      <c r="H10" s="22" t="inlineStr">
        <is>
          <t>en tu base</t>
        </is>
      </c>
      <c r="K10" s="23">
        <f>"sin visita en "&amp;DiasControl&amp;" días"</f>
        <v/>
      </c>
    </row>
    <row r="11" ht="8" customHeight="1"/>
    <row r="12" ht="24" customHeight="1">
      <c r="B12" s="24">
        <f>IF(H9=0,"Cargá tus pacientes en la hoja PACIENTES y tus atenciones en CONSULTAS para ver tu panel.",IF(K9&gt;0,"⚠ Tenés "&amp;K9&amp;" paciente(s) con control pendiente. Filtrá PACIENTES por Estado y avisales.","✔ Todos tus pacientes están al día."))</f>
        <v/>
      </c>
    </row>
    <row r="13" ht="18" customHeight="1">
      <c r="B13" s="25">
        <f>"Citas en los próximos 7 días: "&amp;COUNTIFS(PACIENTES!$I$7:$I$206,"&gt;="&amp;TODAY(),PACIENTES!$I$7:$I$206,"&lt;="&amp;TODAY()+7)&amp;"   ·   Citas agendadas en total: "&amp;COUNTIFS(PACIENTES!$I$7:$I$206,"&gt;="&amp;TODAY())</f>
        <v/>
      </c>
    </row>
    <row r="14">
      <c r="B14" s="26" t="inlineStr">
        <is>
          <t>MES A MES (año de control)</t>
        </is>
      </c>
    </row>
    <row r="15" ht="22" customHeight="1">
      <c r="B15" s="27" t="inlineStr">
        <is>
          <t>Mes</t>
        </is>
      </c>
      <c r="C15" s="27" t="inlineStr">
        <is>
          <t>Atenciones</t>
        </is>
      </c>
      <c r="D15" s="27" t="inlineStr">
        <is>
          <t>Ingresos</t>
        </is>
      </c>
    </row>
    <row r="16" ht="18" customHeight="1">
      <c r="B16" s="28" t="inlineStr">
        <is>
          <t>Enero</t>
        </is>
      </c>
      <c r="C16" s="29">
        <f>COUNTIFS(CONSULTAS!$B$7:$B$506,"&gt;="&amp;DATE(AnioCtl,1,1),CONSULTAS!$B$7:$B$506,"&lt;"&amp;DATE(AnioCtl,2,1))</f>
        <v/>
      </c>
      <c r="D16" s="30">
        <f>SUMIFS(CONSULTAS!$E$7:$E$506,CONSULTAS!$B$7:$B$506,"&gt;="&amp;DATE(AnioCtl,1,1),CONSULTAS!$B$7:$B$506,"&lt;"&amp;DATE(AnioCtl,2,1))</f>
        <v/>
      </c>
    </row>
    <row r="17" ht="18" customHeight="1">
      <c r="B17" s="31" t="inlineStr">
        <is>
          <t>Febrero</t>
        </is>
      </c>
      <c r="C17" s="32">
        <f>COUNTIFS(CONSULTAS!$B$7:$B$506,"&gt;="&amp;DATE(AnioCtl,2,1),CONSULTAS!$B$7:$B$506,"&lt;"&amp;DATE(AnioCtl,3,1))</f>
        <v/>
      </c>
      <c r="D17" s="33">
        <f>SUMIFS(CONSULTAS!$E$7:$E$506,CONSULTAS!$B$7:$B$506,"&gt;="&amp;DATE(AnioCtl,2,1),CONSULTAS!$B$7:$B$506,"&lt;"&amp;DATE(AnioCtl,3,1))</f>
        <v/>
      </c>
    </row>
    <row r="18" ht="18" customHeight="1">
      <c r="B18" s="28" t="inlineStr">
        <is>
          <t>Marzo</t>
        </is>
      </c>
      <c r="C18" s="29">
        <f>COUNTIFS(CONSULTAS!$B$7:$B$506,"&gt;="&amp;DATE(AnioCtl,3,1),CONSULTAS!$B$7:$B$506,"&lt;"&amp;DATE(AnioCtl,4,1))</f>
        <v/>
      </c>
      <c r="D18" s="30">
        <f>SUMIFS(CONSULTAS!$E$7:$E$506,CONSULTAS!$B$7:$B$506,"&gt;="&amp;DATE(AnioCtl,3,1),CONSULTAS!$B$7:$B$506,"&lt;"&amp;DATE(AnioCtl,4,1))</f>
        <v/>
      </c>
    </row>
    <row r="19" ht="18" customHeight="1">
      <c r="B19" s="31" t="inlineStr">
        <is>
          <t>Abril</t>
        </is>
      </c>
      <c r="C19" s="32">
        <f>COUNTIFS(CONSULTAS!$B$7:$B$506,"&gt;="&amp;DATE(AnioCtl,4,1),CONSULTAS!$B$7:$B$506,"&lt;"&amp;DATE(AnioCtl,5,1))</f>
        <v/>
      </c>
      <c r="D19" s="33">
        <f>SUMIFS(CONSULTAS!$E$7:$E$506,CONSULTAS!$B$7:$B$506,"&gt;="&amp;DATE(AnioCtl,4,1),CONSULTAS!$B$7:$B$506,"&lt;"&amp;DATE(AnioCtl,5,1))</f>
        <v/>
      </c>
    </row>
    <row r="20" ht="18" customHeight="1">
      <c r="B20" s="28" t="inlineStr">
        <is>
          <t>Mayo</t>
        </is>
      </c>
      <c r="C20" s="29">
        <f>COUNTIFS(CONSULTAS!$B$7:$B$506,"&gt;="&amp;DATE(AnioCtl,5,1),CONSULTAS!$B$7:$B$506,"&lt;"&amp;DATE(AnioCtl,6,1))</f>
        <v/>
      </c>
      <c r="D20" s="30">
        <f>SUMIFS(CONSULTAS!$E$7:$E$506,CONSULTAS!$B$7:$B$506,"&gt;="&amp;DATE(AnioCtl,5,1),CONSULTAS!$B$7:$B$506,"&lt;"&amp;DATE(AnioCtl,6,1))</f>
        <v/>
      </c>
    </row>
    <row r="21" ht="18" customHeight="1">
      <c r="B21" s="31" t="inlineStr">
        <is>
          <t>Junio</t>
        </is>
      </c>
      <c r="C21" s="32">
        <f>COUNTIFS(CONSULTAS!$B$7:$B$506,"&gt;="&amp;DATE(AnioCtl,6,1),CONSULTAS!$B$7:$B$506,"&lt;"&amp;DATE(AnioCtl,7,1))</f>
        <v/>
      </c>
      <c r="D21" s="33">
        <f>SUMIFS(CONSULTAS!$E$7:$E$506,CONSULTAS!$B$7:$B$506,"&gt;="&amp;DATE(AnioCtl,6,1),CONSULTAS!$B$7:$B$506,"&lt;"&amp;DATE(AnioCtl,7,1))</f>
        <v/>
      </c>
    </row>
    <row r="22" ht="18" customHeight="1">
      <c r="B22" s="28" t="inlineStr">
        <is>
          <t>Julio</t>
        </is>
      </c>
      <c r="C22" s="29">
        <f>COUNTIFS(CONSULTAS!$B$7:$B$506,"&gt;="&amp;DATE(AnioCtl,7,1),CONSULTAS!$B$7:$B$506,"&lt;"&amp;DATE(AnioCtl,8,1))</f>
        <v/>
      </c>
      <c r="D22" s="30">
        <f>SUMIFS(CONSULTAS!$E$7:$E$506,CONSULTAS!$B$7:$B$506,"&gt;="&amp;DATE(AnioCtl,7,1),CONSULTAS!$B$7:$B$506,"&lt;"&amp;DATE(AnioCtl,8,1))</f>
        <v/>
      </c>
    </row>
    <row r="23" ht="18" customHeight="1">
      <c r="B23" s="31" t="inlineStr">
        <is>
          <t>Agosto</t>
        </is>
      </c>
      <c r="C23" s="32">
        <f>COUNTIFS(CONSULTAS!$B$7:$B$506,"&gt;="&amp;DATE(AnioCtl,8,1),CONSULTAS!$B$7:$B$506,"&lt;"&amp;DATE(AnioCtl,9,1))</f>
        <v/>
      </c>
      <c r="D23" s="33">
        <f>SUMIFS(CONSULTAS!$E$7:$E$506,CONSULTAS!$B$7:$B$506,"&gt;="&amp;DATE(AnioCtl,8,1),CONSULTAS!$B$7:$B$506,"&lt;"&amp;DATE(AnioCtl,9,1))</f>
        <v/>
      </c>
    </row>
    <row r="24" ht="18" customHeight="1">
      <c r="B24" s="28" t="inlineStr">
        <is>
          <t>Septiembre</t>
        </is>
      </c>
      <c r="C24" s="29">
        <f>COUNTIFS(CONSULTAS!$B$7:$B$506,"&gt;="&amp;DATE(AnioCtl,9,1),CONSULTAS!$B$7:$B$506,"&lt;"&amp;DATE(AnioCtl,10,1))</f>
        <v/>
      </c>
      <c r="D24" s="30">
        <f>SUMIFS(CONSULTAS!$E$7:$E$506,CONSULTAS!$B$7:$B$506,"&gt;="&amp;DATE(AnioCtl,9,1),CONSULTAS!$B$7:$B$506,"&lt;"&amp;DATE(AnioCtl,10,1))</f>
        <v/>
      </c>
    </row>
    <row r="25" ht="18" customHeight="1">
      <c r="B25" s="31" t="inlineStr">
        <is>
          <t>Octubre</t>
        </is>
      </c>
      <c r="C25" s="32">
        <f>COUNTIFS(CONSULTAS!$B$7:$B$506,"&gt;="&amp;DATE(AnioCtl,10,1),CONSULTAS!$B$7:$B$506,"&lt;"&amp;DATE(AnioCtl,11,1))</f>
        <v/>
      </c>
      <c r="D25" s="33">
        <f>SUMIFS(CONSULTAS!$E$7:$E$506,CONSULTAS!$B$7:$B$506,"&gt;="&amp;DATE(AnioCtl,10,1),CONSULTAS!$B$7:$B$506,"&lt;"&amp;DATE(AnioCtl,11,1))</f>
        <v/>
      </c>
    </row>
    <row r="26" ht="18" customHeight="1">
      <c r="B26" s="28" t="inlineStr">
        <is>
          <t>Noviembre</t>
        </is>
      </c>
      <c r="C26" s="29">
        <f>COUNTIFS(CONSULTAS!$B$7:$B$506,"&gt;="&amp;DATE(AnioCtl,11,1),CONSULTAS!$B$7:$B$506,"&lt;"&amp;DATE(AnioCtl,12,1))</f>
        <v/>
      </c>
      <c r="D26" s="30">
        <f>SUMIFS(CONSULTAS!$E$7:$E$506,CONSULTAS!$B$7:$B$506,"&gt;="&amp;DATE(AnioCtl,11,1),CONSULTAS!$B$7:$B$506,"&lt;"&amp;DATE(AnioCtl,12,1))</f>
        <v/>
      </c>
    </row>
    <row r="27" ht="18" customHeight="1">
      <c r="B27" s="31" t="inlineStr">
        <is>
          <t>Diciembre</t>
        </is>
      </c>
      <c r="C27" s="32">
        <f>COUNTIFS(CONSULTAS!$B$7:$B$506,"&gt;="&amp;DATE(AnioCtl,12,1),CONSULTAS!$B$7:$B$506,"&lt;"&amp;DATE(AnioCtl,13,1))</f>
        <v/>
      </c>
      <c r="D27" s="33">
        <f>SUMIFS(CONSULTAS!$E$7:$E$506,CONSULTAS!$B$7:$B$506,"&gt;="&amp;DATE(AnioCtl,12,1),CONSULTAS!$B$7:$B$506,"&lt;"&amp;DATE(AnioCtl,13,1))</f>
        <v/>
      </c>
    </row>
    <row r="28" ht="22" customHeight="1">
      <c r="B28" s="34" t="inlineStr">
        <is>
          <t>TOTAL</t>
        </is>
      </c>
      <c r="C28" s="35">
        <f>SUM(C16:C27)</f>
        <v/>
      </c>
      <c r="D28" s="36">
        <f>SUM(D16:D27)</f>
        <v/>
      </c>
    </row>
    <row r="30">
      <c r="B30" s="37" t="inlineStr">
        <is>
          <t>TRATAMIENTOS (período elegido)</t>
        </is>
      </c>
    </row>
    <row r="31" ht="22" customHeight="1">
      <c r="B31" s="27" t="inlineStr">
        <is>
          <t>Tratamiento</t>
        </is>
      </c>
      <c r="D31" s="27" t="inlineStr">
        <is>
          <t>Cant.</t>
        </is>
      </c>
      <c r="E31" s="27" t="inlineStr">
        <is>
          <t>Ingresos</t>
        </is>
      </c>
      <c r="F31" s="27" t="inlineStr">
        <is>
          <t>%</t>
        </is>
      </c>
    </row>
    <row r="32" ht="18" customHeight="1">
      <c r="B32" s="38">
        <f>IF('AJUSTES'!$B$14="","",'AJUSTES'!$B$14)</f>
        <v/>
      </c>
      <c r="D32" s="29">
        <f>IF(B32="",0,COUNTIFS(CONSULTAS!$D$7:$D$506,B32,CONSULTAS!$B$7:$B$506,"&gt;="&amp;FIni,CONSULTAS!$B$7:$B$506,"&lt;"&amp;FFin))</f>
        <v/>
      </c>
      <c r="E32" s="30">
        <f>IF(B32="",0,SUMIFS(CONSULTAS!$E$7:$E$506,CONSULTAS!$D$7:$D$506,B32,CONSULTAS!$B$7:$B$506,"&gt;="&amp;FIni,CONSULTAS!$B$7:$B$506,"&lt;"&amp;FFin))</f>
        <v/>
      </c>
      <c r="F32" s="39">
        <f>IF($D$42=0,0,D32/$D$42)</f>
        <v/>
      </c>
    </row>
    <row r="33" ht="18" customHeight="1">
      <c r="B33" s="38">
        <f>IF('AJUSTES'!$B$15="","",'AJUSTES'!$B$15)</f>
        <v/>
      </c>
      <c r="D33" s="29">
        <f>IF(B33="",0,COUNTIFS(CONSULTAS!$D$7:$D$506,B33,CONSULTAS!$B$7:$B$506,"&gt;="&amp;FIni,CONSULTAS!$B$7:$B$506,"&lt;"&amp;FFin))</f>
        <v/>
      </c>
      <c r="E33" s="30">
        <f>IF(B33="",0,SUMIFS(CONSULTAS!$E$7:$E$506,CONSULTAS!$D$7:$D$506,B33,CONSULTAS!$B$7:$B$506,"&gt;="&amp;FIni,CONSULTAS!$B$7:$B$506,"&lt;"&amp;FFin))</f>
        <v/>
      </c>
      <c r="F33" s="39">
        <f>IF($D$42=0,0,D33/$D$42)</f>
        <v/>
      </c>
    </row>
    <row r="34" ht="18" customHeight="1">
      <c r="B34" s="38">
        <f>IF('AJUSTES'!$B$16="","",'AJUSTES'!$B$16)</f>
        <v/>
      </c>
      <c r="D34" s="29">
        <f>IF(B34="",0,COUNTIFS(CONSULTAS!$D$7:$D$506,B34,CONSULTAS!$B$7:$B$506,"&gt;="&amp;FIni,CONSULTAS!$B$7:$B$506,"&lt;"&amp;FFin))</f>
        <v/>
      </c>
      <c r="E34" s="30">
        <f>IF(B34="",0,SUMIFS(CONSULTAS!$E$7:$E$506,CONSULTAS!$D$7:$D$506,B34,CONSULTAS!$B$7:$B$506,"&gt;="&amp;FIni,CONSULTAS!$B$7:$B$506,"&lt;"&amp;FFin))</f>
        <v/>
      </c>
      <c r="F34" s="39">
        <f>IF($D$42=0,0,D34/$D$42)</f>
        <v/>
      </c>
    </row>
    <row r="35" ht="18" customHeight="1">
      <c r="B35" s="38">
        <f>IF('AJUSTES'!$B$17="","",'AJUSTES'!$B$17)</f>
        <v/>
      </c>
      <c r="D35" s="29">
        <f>IF(B35="",0,COUNTIFS(CONSULTAS!$D$7:$D$506,B35,CONSULTAS!$B$7:$B$506,"&gt;="&amp;FIni,CONSULTAS!$B$7:$B$506,"&lt;"&amp;FFin))</f>
        <v/>
      </c>
      <c r="E35" s="30">
        <f>IF(B35="",0,SUMIFS(CONSULTAS!$E$7:$E$506,CONSULTAS!$D$7:$D$506,B35,CONSULTAS!$B$7:$B$506,"&gt;="&amp;FIni,CONSULTAS!$B$7:$B$506,"&lt;"&amp;FFin))</f>
        <v/>
      </c>
      <c r="F35" s="39">
        <f>IF($D$42=0,0,D35/$D$42)</f>
        <v/>
      </c>
    </row>
    <row r="36" ht="18" customHeight="1">
      <c r="B36" s="38">
        <f>IF('AJUSTES'!$B$18="","",'AJUSTES'!$B$18)</f>
        <v/>
      </c>
      <c r="D36" s="29">
        <f>IF(B36="",0,COUNTIFS(CONSULTAS!$D$7:$D$506,B36,CONSULTAS!$B$7:$B$506,"&gt;="&amp;FIni,CONSULTAS!$B$7:$B$506,"&lt;"&amp;FFin))</f>
        <v/>
      </c>
      <c r="E36" s="30">
        <f>IF(B36="",0,SUMIFS(CONSULTAS!$E$7:$E$506,CONSULTAS!$D$7:$D$506,B36,CONSULTAS!$B$7:$B$506,"&gt;="&amp;FIni,CONSULTAS!$B$7:$B$506,"&lt;"&amp;FFin))</f>
        <v/>
      </c>
      <c r="F36" s="39">
        <f>IF($D$42=0,0,D36/$D$42)</f>
        <v/>
      </c>
    </row>
    <row r="37" ht="18" customHeight="1">
      <c r="B37" s="38">
        <f>IF('AJUSTES'!$B$19="","",'AJUSTES'!$B$19)</f>
        <v/>
      </c>
      <c r="D37" s="29">
        <f>IF(B37="",0,COUNTIFS(CONSULTAS!$D$7:$D$506,B37,CONSULTAS!$B$7:$B$506,"&gt;="&amp;FIni,CONSULTAS!$B$7:$B$506,"&lt;"&amp;FFin))</f>
        <v/>
      </c>
      <c r="E37" s="30">
        <f>IF(B37="",0,SUMIFS(CONSULTAS!$E$7:$E$506,CONSULTAS!$D$7:$D$506,B37,CONSULTAS!$B$7:$B$506,"&gt;="&amp;FIni,CONSULTAS!$B$7:$B$506,"&lt;"&amp;FFin))</f>
        <v/>
      </c>
      <c r="F37" s="39">
        <f>IF($D$42=0,0,D37/$D$42)</f>
        <v/>
      </c>
    </row>
    <row r="38" ht="18" customHeight="1">
      <c r="B38" s="38">
        <f>IF('AJUSTES'!$B$20="","",'AJUSTES'!$B$20)</f>
        <v/>
      </c>
      <c r="D38" s="29">
        <f>IF(B38="",0,COUNTIFS(CONSULTAS!$D$7:$D$506,B38,CONSULTAS!$B$7:$B$506,"&gt;="&amp;FIni,CONSULTAS!$B$7:$B$506,"&lt;"&amp;FFin))</f>
        <v/>
      </c>
      <c r="E38" s="30">
        <f>IF(B38="",0,SUMIFS(CONSULTAS!$E$7:$E$506,CONSULTAS!$D$7:$D$506,B38,CONSULTAS!$B$7:$B$506,"&gt;="&amp;FIni,CONSULTAS!$B$7:$B$506,"&lt;"&amp;FFin))</f>
        <v/>
      </c>
      <c r="F38" s="39">
        <f>IF($D$42=0,0,D38/$D$42)</f>
        <v/>
      </c>
    </row>
    <row r="39" ht="18" customHeight="1">
      <c r="B39" s="38">
        <f>IF('AJUSTES'!$B$21="","",'AJUSTES'!$B$21)</f>
        <v/>
      </c>
      <c r="D39" s="29">
        <f>IF(B39="",0,COUNTIFS(CONSULTAS!$D$7:$D$506,B39,CONSULTAS!$B$7:$B$506,"&gt;="&amp;FIni,CONSULTAS!$B$7:$B$506,"&lt;"&amp;FFin))</f>
        <v/>
      </c>
      <c r="E39" s="30">
        <f>IF(B39="",0,SUMIFS(CONSULTAS!$E$7:$E$506,CONSULTAS!$D$7:$D$506,B39,CONSULTAS!$B$7:$B$506,"&gt;="&amp;FIni,CONSULTAS!$B$7:$B$506,"&lt;"&amp;FFin))</f>
        <v/>
      </c>
      <c r="F39" s="39">
        <f>IF($D$42=0,0,D39/$D$42)</f>
        <v/>
      </c>
    </row>
    <row r="40" ht="18" customHeight="1">
      <c r="B40" s="38">
        <f>IF('AJUSTES'!$B$22="","",'AJUSTES'!$B$22)</f>
        <v/>
      </c>
      <c r="D40" s="29">
        <f>IF(B40="",0,COUNTIFS(CONSULTAS!$D$7:$D$506,B40,CONSULTAS!$B$7:$B$506,"&gt;="&amp;FIni,CONSULTAS!$B$7:$B$506,"&lt;"&amp;FFin))</f>
        <v/>
      </c>
      <c r="E40" s="30">
        <f>IF(B40="",0,SUMIFS(CONSULTAS!$E$7:$E$506,CONSULTAS!$D$7:$D$506,B40,CONSULTAS!$B$7:$B$506,"&gt;="&amp;FIni,CONSULTAS!$B$7:$B$506,"&lt;"&amp;FFin))</f>
        <v/>
      </c>
      <c r="F40" s="39">
        <f>IF($D$42=0,0,D40/$D$42)</f>
        <v/>
      </c>
    </row>
    <row r="41" ht="18" customHeight="1">
      <c r="B41" s="38">
        <f>IF('AJUSTES'!$B$23="","",'AJUSTES'!$B$23)</f>
        <v/>
      </c>
      <c r="D41" s="29">
        <f>IF(B41="",0,COUNTIFS(CONSULTAS!$D$7:$D$506,B41,CONSULTAS!$B$7:$B$506,"&gt;="&amp;FIni,CONSULTAS!$B$7:$B$506,"&lt;"&amp;FFin))</f>
        <v/>
      </c>
      <c r="E41" s="30">
        <f>IF(B41="",0,SUMIFS(CONSULTAS!$E$7:$E$506,CONSULTAS!$D$7:$D$506,B41,CONSULTAS!$B$7:$B$506,"&gt;="&amp;FIni,CONSULTAS!$B$7:$B$506,"&lt;"&amp;FFin))</f>
        <v/>
      </c>
      <c r="F41" s="39">
        <f>IF($D$42=0,0,D41/$D$42)</f>
        <v/>
      </c>
    </row>
    <row r="42" ht="20" customHeight="1">
      <c r="B42" s="40" t="inlineStr">
        <is>
          <t>TOTAL</t>
        </is>
      </c>
      <c r="D42" s="35">
        <f>SUM(D32:D41)</f>
        <v/>
      </c>
      <c r="E42" s="36">
        <f>SUM(E32:E41)</f>
        <v/>
      </c>
      <c r="F42" s="41">
        <f>SUM(F32:F41)</f>
        <v/>
      </c>
    </row>
    <row r="45">
      <c r="B45" s="26" t="inlineStr">
        <is>
          <t>ESTADO DE TUS PACIENTES</t>
        </is>
      </c>
    </row>
    <row r="46" ht="22" customHeight="1">
      <c r="B46" s="27" t="inlineStr">
        <is>
          <t>Estado</t>
        </is>
      </c>
      <c r="D46" s="27" t="inlineStr">
        <is>
          <t>Pacientes</t>
        </is>
      </c>
      <c r="E46" s="27" t="inlineStr">
        <is>
          <t>%</t>
        </is>
      </c>
    </row>
    <row r="47" ht="20" customHeight="1">
      <c r="B47" s="28" t="inlineStr">
        <is>
          <t>Al día</t>
        </is>
      </c>
      <c r="D47" s="42">
        <f>COUNTIF(PACIENTES!$J$7:$J$206,B47)</f>
        <v/>
      </c>
      <c r="E47" s="43">
        <f>IF($D$51=0,0,D47/$D$51)</f>
        <v/>
      </c>
    </row>
    <row r="48" ht="20" customHeight="1">
      <c r="B48" s="28" t="inlineStr">
        <is>
          <t>Cita agendada</t>
        </is>
      </c>
      <c r="D48" s="42">
        <f>COUNTIF(PACIENTES!$J$7:$J$206,B48)</f>
        <v/>
      </c>
      <c r="E48" s="43">
        <f>IF($D$51=0,0,D48/$D$51)</f>
        <v/>
      </c>
    </row>
    <row r="49" ht="20" customHeight="1">
      <c r="B49" s="28" t="inlineStr">
        <is>
          <t>Control pendiente</t>
        </is>
      </c>
      <c r="D49" s="42">
        <f>COUNTIF(PACIENTES!$J$7:$J$206,B49)</f>
        <v/>
      </c>
      <c r="E49" s="43">
        <f>IF($D$51=0,0,D49/$D$51)</f>
        <v/>
      </c>
    </row>
    <row r="50" ht="20" customHeight="1">
      <c r="B50" s="28" t="inlineStr">
        <is>
          <t>Sin consultas</t>
        </is>
      </c>
      <c r="D50" s="42">
        <f>COUNTIF(PACIENTES!$J$7:$J$206,B50)</f>
        <v/>
      </c>
      <c r="E50" s="43">
        <f>IF($D$51=0,0,D50/$D$51)</f>
        <v/>
      </c>
    </row>
    <row r="51" ht="20" customHeight="1">
      <c r="B51" s="44" t="inlineStr">
        <is>
          <t>TOTAL</t>
        </is>
      </c>
      <c r="D51" s="45">
        <f>SUM(D47:D50)</f>
        <v/>
      </c>
      <c r="E51" s="46">
        <f>SUM(E47:E50)</f>
        <v/>
      </c>
    </row>
    <row r="53">
      <c r="B53" s="47" t="inlineStr">
        <is>
          <t>Los datos de pacientes son confidenciales: guardá este archivo en un lugar seguro y con copia de respaldo.</t>
        </is>
      </c>
    </row>
    <row r="54"/>
    <row r="55"/>
    <row r="61" ht="8" customHeight="1">
      <c r="B61" s="48" t="n"/>
    </row>
    <row r="62" ht="16" customHeight="1">
      <c r="B62" s="25" t="inlineStr">
        <is>
          <t>MIX SHOP DIGITAL  ·  Herramientas inteligentes que simplifican tu vida.</t>
        </is>
      </c>
    </row>
    <row r="63" ht="16" customHeight="1">
      <c r="B63" s="49" t="inlineStr">
        <is>
          <t>Versión gratuita  ·  Para gestionar todo tu consultorio en un solo lugar, conocé ODONTO SMART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950"/>
  <mergeCells count="51">
    <mergeCell ref="E10:G10"/>
    <mergeCell ref="B47:C47"/>
    <mergeCell ref="C6:D6"/>
    <mergeCell ref="B8:D8"/>
    <mergeCell ref="B61:M61"/>
    <mergeCell ref="B46:C46"/>
    <mergeCell ref="E5:F5"/>
    <mergeCell ref="E9:G9"/>
    <mergeCell ref="B31:C31"/>
    <mergeCell ref="B13:M13"/>
    <mergeCell ref="E6:M6"/>
    <mergeCell ref="B10:D10"/>
    <mergeCell ref="B39:C39"/>
    <mergeCell ref="K8:M8"/>
    <mergeCell ref="C4:M4"/>
    <mergeCell ref="B48:C48"/>
    <mergeCell ref="B42:C42"/>
    <mergeCell ref="B9:D9"/>
    <mergeCell ref="B14:F14"/>
    <mergeCell ref="F2:M2"/>
    <mergeCell ref="B5:D5"/>
    <mergeCell ref="B38:C38"/>
    <mergeCell ref="K10:M10"/>
    <mergeCell ref="B34:C34"/>
    <mergeCell ref="B37:C37"/>
    <mergeCell ref="B63:M63"/>
    <mergeCell ref="G5:H5"/>
    <mergeCell ref="H8:J8"/>
    <mergeCell ref="I5:J5"/>
    <mergeCell ref="B2:E2"/>
    <mergeCell ref="B40:C40"/>
    <mergeCell ref="B53:F55"/>
    <mergeCell ref="B49:C49"/>
    <mergeCell ref="B30:F30"/>
    <mergeCell ref="B62:M62"/>
    <mergeCell ref="B1:E1"/>
    <mergeCell ref="H10:J10"/>
    <mergeCell ref="B33:C33"/>
    <mergeCell ref="B3:M3"/>
    <mergeCell ref="K9:M9"/>
    <mergeCell ref="B51:C51"/>
    <mergeCell ref="E8:G8"/>
    <mergeCell ref="B36:C36"/>
    <mergeCell ref="B45:F45"/>
    <mergeCell ref="B32:C32"/>
    <mergeCell ref="H9:J9"/>
    <mergeCell ref="B50:C50"/>
    <mergeCell ref="B41:C41"/>
    <mergeCell ref="B35:C35"/>
    <mergeCell ref="F1:M1"/>
    <mergeCell ref="B12:M12"/>
  </mergeCells>
  <conditionalFormatting sqref="B12:M12">
    <cfRule type="expression" priority="1" dxfId="0" stopIfTrue="1">
      <formula>ISNUMBER(SEARCH("érdida",$B$12))+ISNUMBER(SEARCH("NO conviene",$B$12))+ISNUMBER(SEARCH("por debajo",$B$12))&gt;0</formula>
    </cfRule>
    <cfRule type="expression" priority="2" dxfId="1" stopIfTrue="1">
      <formula>LEFT($B$12,1)="⚠"</formula>
    </cfRule>
    <cfRule type="expression" priority="3" dxfId="2">
      <formula>LEFT($B$12,1)="✔"</formula>
    </cfRule>
  </conditionalFormatting>
  <conditionalFormatting sqref="D16:D27">
    <cfRule type="dataBar" priority="4">
      <dataBar showValue="1">
        <cfvo type="num" val="0"/>
        <cfvo type="max"/>
        <color rgb="008CCBE6"/>
      </dataBar>
    </cfRule>
  </conditionalFormatting>
  <conditionalFormatting sqref="D32:D41">
    <cfRule type="dataBar" priority="5">
      <dataBar showValue="1">
        <cfvo type="num" val="0"/>
        <cfvo type="max"/>
        <color rgb="009CE0D1"/>
      </dataBar>
    </cfRule>
  </conditionalFormatting>
  <dataValidations count="1">
    <dataValidation sqref="C6" showDropDown="0" showInputMessage="1" showErrorMessage="1" allowBlank="0" errorTitle="Valor no válido" error="Elegí un valor de la lista desplegable." promptTitle="Período" prompt="Elegí «Todo el año» o un mes para ver sus resultados." type="list" errorStyle="stop">
      <formula1>"Todo el año,Enero,Febrero,Marzo,Abril,Mayo,Junio,Julio,Agosto,Septiembre,Octubre,Noviembre,Diciembre"</formula1>
    </dataValidation>
  </dataValidations>
  <hyperlinks>
    <hyperlink ref="B5" location="'CONSULTAS'!A1" display="+ Anotar atención"/>
    <hyperlink ref="E5" location="'PACIENTES'!A1" display="Pacientes"/>
    <hyperlink ref="G5" location="'AJUSTES'!A1" display="Ajustes"/>
    <hyperlink ref="I5" location="'AYUDA'!A1" display="Ayuda"/>
    <hyperlink xmlns:r="http://schemas.openxmlformats.org/officeDocument/2006/relationships" ref="B63" r:id="rId1"/>
  </hyperlinks>
  <printOptions horizontalCentered="1"/>
  <pageMargins left="0.75" right="0.75" top="1" bottom="1" header="0.5" footer="0.5"/>
  <pageSetup orientation="portrait" paperSize="9" fitToHeight="1" fitToWidth="1"/>
  <headerFooter>
    <oddHeader>&amp;C&amp;"Arial,Bold"&amp;14 &amp;K0B3C5DMIX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1D7FB8"/>
    <outlinePr summaryBelow="1" summaryRight="1"/>
    <pageSetUpPr fitToPage="1"/>
  </sheetPr>
  <dimension ref="B1:J21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5" customWidth="1" min="4" max="4"/>
    <col width="13" customWidth="1" min="5" max="5"/>
    <col width="7" customWidth="1" min="6" max="6"/>
    <col width="28" customWidth="1" min="7" max="7"/>
    <col width="13" customWidth="1" min="8" max="8"/>
    <col width="13" customWidth="1" min="9" max="9"/>
    <col width="17" customWidth="1" min="10" max="10"/>
  </cols>
  <sheetData>
    <row r="1" ht="30" customHeight="1">
      <c r="B1" s="1" t="inlineStr">
        <is>
          <t>MIX SHOP DIGITAL</t>
        </is>
      </c>
      <c r="D1" s="2" t="inlineStr">
        <is>
          <t>PACIENTES</t>
        </is>
      </c>
    </row>
    <row r="2" ht="18" customHeight="1">
      <c r="B2" s="3" t="inlineStr">
        <is>
          <t>Herramientas inteligentes que simplifican tu vida.</t>
        </is>
      </c>
      <c r="D2" s="4" t="inlineStr">
        <is>
          <t>Tu base de pacientes</t>
        </is>
      </c>
    </row>
    <row r="3" ht="4" customHeight="1">
      <c r="B3" s="5" t="n"/>
    </row>
    <row r="4" ht="20" customHeight="1">
      <c r="B4" s="50" t="inlineStr">
        <is>
          <t>← VOLVER</t>
        </is>
      </c>
      <c r="C4" s="6" t="inlineStr">
        <is>
          <t>Una fila por paciente. Completá solamente las celdas amarillas: la edad, la última visita y el estado se calculan solos.</t>
        </is>
      </c>
    </row>
    <row r="5">
      <c r="B5" s="51">
        <f>"Pacientes: "&amp;COUNTA(B7:B206)&amp;" de 200   ·   Con control pendiente: "&amp;COUNTIF(J7:J206,"Control pendiente")&amp;"   ·   Citas en los próximos 7 días: "&amp;COUNTIFS(I7:I206,"&gt;="&amp;TODAY(),I7:I206,"&lt;="&amp;TODAY()+7)</f>
        <v/>
      </c>
    </row>
    <row r="6" ht="32" customHeight="1">
      <c r="B6" s="52" t="inlineStr">
        <is>
          <t>Paciente (nombre y apellido)</t>
        </is>
      </c>
      <c r="C6" s="52" t="inlineStr">
        <is>
          <t>C.I.</t>
        </is>
      </c>
      <c r="D6" s="52" t="inlineStr">
        <is>
          <t>Teléfono</t>
        </is>
      </c>
      <c r="E6" s="52" t="inlineStr">
        <is>
          <t>Fecha de nacimiento</t>
        </is>
      </c>
      <c r="F6" s="52" t="inlineStr">
        <is>
          <t>Edad</t>
        </is>
      </c>
      <c r="G6" s="52" t="inlineStr">
        <is>
          <t>Alergias o avisos importantes</t>
        </is>
      </c>
      <c r="H6" s="52" t="inlineStr">
        <is>
          <t>Última visita</t>
        </is>
      </c>
      <c r="I6" s="52" t="inlineStr">
        <is>
          <t>Próxima cita</t>
        </is>
      </c>
      <c r="J6" s="52" t="inlineStr">
        <is>
          <t>Estado</t>
        </is>
      </c>
    </row>
    <row r="7">
      <c r="B7" s="53" t="inlineStr">
        <is>
          <t>Carlos Benítez</t>
        </is>
      </c>
      <c r="C7" s="54" t="inlineStr">
        <is>
          <t>4.495.358</t>
        </is>
      </c>
      <c r="D7" s="54" t="inlineStr">
        <is>
          <t>0981 800 144</t>
        </is>
      </c>
      <c r="E7" s="55" t="n">
        <v>18844</v>
      </c>
      <c r="F7" s="56">
        <f>IF(OR($B7="",N($E7)=0),"",INT((TODAY()-$E7)/365.25))</f>
        <v/>
      </c>
      <c r="G7" s="53" t="n"/>
      <c r="H7" s="57">
        <f>IF($B7="","",IF(COUNTIF(CONSULTAS!$C$7:$C$506,$B7)=0,"",SUMPRODUCT(MAX((CONSULTAS!$C$7:$C$506=$B7)*CONSULTAS!$B$7:$B$506))))</f>
        <v/>
      </c>
      <c r="I7" s="55" t="n">
        <v>46345</v>
      </c>
      <c r="J7" s="58">
        <f>IF($B7="","",IF(AND(N($I7)&gt;=TODAY(),$I7&lt;&gt;""),"Cita agendada",IF($H7="","Sin consultas",IF(TODAY()-$H7&gt;DiasControl,"Control pendiente","Al día"))))</f>
        <v/>
      </c>
    </row>
    <row r="8">
      <c r="B8" s="53" t="inlineStr">
        <is>
          <t>Ana Gómez</t>
        </is>
      </c>
      <c r="C8" s="54" t="inlineStr">
        <is>
          <t>3.144.499</t>
        </is>
      </c>
      <c r="D8" s="54" t="inlineStr">
        <is>
          <t>0981 250 858</t>
        </is>
      </c>
      <c r="E8" s="55" t="n">
        <v>24521</v>
      </c>
      <c r="F8" s="56">
        <f>IF(OR($B8="",N($E8)=0),"",INT((TODAY()-$E8)/365.25))</f>
        <v/>
      </c>
      <c r="G8" s="53" t="n"/>
      <c r="H8" s="57">
        <f>IF($B8="","",IF(COUNTIF(CONSULTAS!$C$7:$C$506,$B8)=0,"",SUMPRODUCT(MAX((CONSULTAS!$C$7:$C$506=$B8)*CONSULTAS!$B$7:$B$506))))</f>
        <v/>
      </c>
      <c r="I8" s="55" t="n"/>
      <c r="J8" s="58">
        <f>IF($B8="","",IF(AND(N($I8)&gt;=TODAY(),$I8&lt;&gt;""),"Cita agendada",IF($H8="","Sin consultas",IF(TODAY()-$H8&gt;DiasControl,"Control pendiente","Al día"))))</f>
        <v/>
      </c>
    </row>
    <row r="9">
      <c r="B9" s="53" t="inlineStr">
        <is>
          <t>Lucía Martínez</t>
        </is>
      </c>
      <c r="C9" s="54" t="inlineStr">
        <is>
          <t>2.345.703</t>
        </is>
      </c>
      <c r="D9" s="54" t="inlineStr">
        <is>
          <t>0981 648 849</t>
        </is>
      </c>
      <c r="E9" s="55" t="n">
        <v>20030</v>
      </c>
      <c r="F9" s="56">
        <f>IF(OR($B9="",N($E9)=0),"",INT((TODAY()-$E9)/365.25))</f>
        <v/>
      </c>
      <c r="G9" s="53" t="n"/>
      <c r="H9" s="57">
        <f>IF($B9="","",IF(COUNTIF(CONSULTAS!$C$7:$C$506,$B9)=0,"",SUMPRODUCT(MAX((CONSULTAS!$C$7:$C$506=$B9)*CONSULTAS!$B$7:$B$506))))</f>
        <v/>
      </c>
      <c r="I9" s="55" t="n"/>
      <c r="J9" s="58">
        <f>IF($B9="","",IF(AND(N($I9)&gt;=TODAY(),$I9&lt;&gt;""),"Cita agendada",IF($H9="","Sin consultas",IF(TODAY()-$H9&gt;DiasControl,"Control pendiente","Al día"))))</f>
        <v/>
      </c>
    </row>
    <row r="10">
      <c r="B10" s="53" t="inlineStr">
        <is>
          <t>Roberto Duarte</t>
        </is>
      </c>
      <c r="C10" s="54" t="inlineStr">
        <is>
          <t>2.919.068</t>
        </is>
      </c>
      <c r="D10" s="54" t="inlineStr">
        <is>
          <t>0995 195 220</t>
        </is>
      </c>
      <c r="E10" s="55" t="n">
        <v>39339</v>
      </c>
      <c r="F10" s="56">
        <f>IF(OR($B10="",N($E10)=0),"",INT((TODAY()-$E10)/365.25))</f>
        <v/>
      </c>
      <c r="G10" s="53" t="inlineStr">
        <is>
          <t>Alergia a la penicilina</t>
        </is>
      </c>
      <c r="H10" s="57">
        <f>IF($B10="","",IF(COUNTIF(CONSULTAS!$C$7:$C$506,$B10)=0,"",SUMPRODUCT(MAX((CONSULTAS!$C$7:$C$506=$B10)*CONSULTAS!$B$7:$B$506))))</f>
        <v/>
      </c>
      <c r="I10" s="55" t="n">
        <v>46335</v>
      </c>
      <c r="J10" s="58">
        <f>IF($B10="","",IF(AND(N($I10)&gt;=TODAY(),$I10&lt;&gt;""),"Cita agendada",IF($H10="","Sin consultas",IF(TODAY()-$H10&gt;DiasControl,"Control pendiente","Al día"))))</f>
        <v/>
      </c>
    </row>
    <row r="11">
      <c r="B11" s="53" t="inlineStr">
        <is>
          <t>Sofía Giménez</t>
        </is>
      </c>
      <c r="C11" s="54" t="inlineStr">
        <is>
          <t>2.865.118</t>
        </is>
      </c>
      <c r="D11" s="54" t="inlineStr">
        <is>
          <t>0981 438 501</t>
        </is>
      </c>
      <c r="E11" s="55" t="n">
        <v>19186</v>
      </c>
      <c r="F11" s="56">
        <f>IF(OR($B11="",N($E11)=0),"",INT((TODAY()-$E11)/365.25))</f>
        <v/>
      </c>
      <c r="G11" s="53" t="n"/>
      <c r="H11" s="57">
        <f>IF($B11="","",IF(COUNTIF(CONSULTAS!$C$7:$C$506,$B11)=0,"",SUMPRODUCT(MAX((CONSULTAS!$C$7:$C$506=$B11)*CONSULTAS!$B$7:$B$506))))</f>
        <v/>
      </c>
      <c r="I11" s="55" t="n"/>
      <c r="J11" s="58">
        <f>IF($B11="","",IF(AND(N($I11)&gt;=TODAY(),$I11&lt;&gt;""),"Cita agendada",IF($H11="","Sin consultas",IF(TODAY()-$H11&gt;DiasControl,"Control pendiente","Al día"))))</f>
        <v/>
      </c>
    </row>
    <row r="12">
      <c r="B12" s="53" t="inlineStr">
        <is>
          <t>Marcos Ortiz</t>
        </is>
      </c>
      <c r="C12" s="54" t="inlineStr">
        <is>
          <t>2.964.395</t>
        </is>
      </c>
      <c r="D12" s="54" t="inlineStr">
        <is>
          <t>0981 526 698</t>
        </is>
      </c>
      <c r="E12" s="55" t="n">
        <v>35346</v>
      </c>
      <c r="F12" s="56">
        <f>IF(OR($B12="",N($E12)=0),"",INT((TODAY()-$E12)/365.25))</f>
        <v/>
      </c>
      <c r="G12" s="53" t="inlineStr">
        <is>
          <t>Hipertensión</t>
        </is>
      </c>
      <c r="H12" s="57">
        <f>IF($B12="","",IF(COUNTIF(CONSULTAS!$C$7:$C$506,$B12)=0,"",SUMPRODUCT(MAX((CONSULTAS!$C$7:$C$506=$B12)*CONSULTAS!$B$7:$B$506))))</f>
        <v/>
      </c>
      <c r="I12" s="55" t="n"/>
      <c r="J12" s="58">
        <f>IF($B12="","",IF(AND(N($I12)&gt;=TODAY(),$I12&lt;&gt;""),"Cita agendada",IF($H12="","Sin consultas",IF(TODAY()-$H12&gt;DiasControl,"Control pendiente","Al día"))))</f>
        <v/>
      </c>
    </row>
    <row r="13">
      <c r="B13" s="53" t="inlineStr">
        <is>
          <t>Elena Báez</t>
        </is>
      </c>
      <c r="C13" s="54" t="inlineStr">
        <is>
          <t>2.709.028</t>
        </is>
      </c>
      <c r="D13" s="54" t="inlineStr">
        <is>
          <t>0982 237 308</t>
        </is>
      </c>
      <c r="E13" s="55" t="n">
        <v>20847</v>
      </c>
      <c r="F13" s="56">
        <f>IF(OR($B13="",N($E13)=0),"",INT((TODAY()-$E13)/365.25))</f>
        <v/>
      </c>
      <c r="G13" s="53" t="n"/>
      <c r="H13" s="57">
        <f>IF($B13="","",IF(COUNTIF(CONSULTAS!$C$7:$C$506,$B13)=0,"",SUMPRODUCT(MAX((CONSULTAS!$C$7:$C$506=$B13)*CONSULTAS!$B$7:$B$506))))</f>
        <v/>
      </c>
      <c r="I13" s="55" t="n">
        <v>46339</v>
      </c>
      <c r="J13" s="58">
        <f>IF($B13="","",IF(AND(N($I13)&gt;=TODAY(),$I13&lt;&gt;""),"Cita agendada",IF($H13="","Sin consultas",IF(TODAY()-$H13&gt;DiasControl,"Control pendiente","Al día"))))</f>
        <v/>
      </c>
    </row>
    <row r="14">
      <c r="B14" s="53" t="inlineStr">
        <is>
          <t>Diego Cabrera</t>
        </is>
      </c>
      <c r="C14" s="54" t="inlineStr">
        <is>
          <t>1.922.366</t>
        </is>
      </c>
      <c r="D14" s="54" t="inlineStr">
        <is>
          <t>0995 989 549</t>
        </is>
      </c>
      <c r="E14" s="55" t="n">
        <v>25020</v>
      </c>
      <c r="F14" s="56">
        <f>IF(OR($B14="",N($E14)=0),"",INT((TODAY()-$E14)/365.25))</f>
        <v/>
      </c>
      <c r="G14" s="53" t="inlineStr">
        <is>
          <t>Diabetes</t>
        </is>
      </c>
      <c r="H14" s="57">
        <f>IF($B14="","",IF(COUNTIF(CONSULTAS!$C$7:$C$506,$B14)=0,"",SUMPRODUCT(MAX((CONSULTAS!$C$7:$C$506=$B14)*CONSULTAS!$B$7:$B$506))))</f>
        <v/>
      </c>
      <c r="I14" s="55" t="n"/>
      <c r="J14" s="58">
        <f>IF($B14="","",IF(AND(N($I14)&gt;=TODAY(),$I14&lt;&gt;""),"Cita agendada",IF($H14="","Sin consultas",IF(TODAY()-$H14&gt;DiasControl,"Control pendiente","Al día"))))</f>
        <v/>
      </c>
    </row>
    <row r="15">
      <c r="B15" s="53" t="inlineStr">
        <is>
          <t>Valeria Ríos</t>
        </is>
      </c>
      <c r="C15" s="54" t="inlineStr">
        <is>
          <t>4.827.155</t>
        </is>
      </c>
      <c r="D15" s="54" t="inlineStr">
        <is>
          <t>0982 298 438</t>
        </is>
      </c>
      <c r="E15" s="55" t="n">
        <v>28241</v>
      </c>
      <c r="F15" s="56">
        <f>IF(OR($B15="",N($E15)=0),"",INT((TODAY()-$E15)/365.25))</f>
        <v/>
      </c>
      <c r="G15" s="53" t="n"/>
      <c r="H15" s="57">
        <f>IF($B15="","",IF(COUNTIF(CONSULTAS!$C$7:$C$506,$B15)=0,"",SUMPRODUCT(MAX((CONSULTAS!$C$7:$C$506=$B15)*CONSULTAS!$B$7:$B$506))))</f>
        <v/>
      </c>
      <c r="I15" s="55" t="n"/>
      <c r="J15" s="58">
        <f>IF($B15="","",IF(AND(N($I15)&gt;=TODAY(),$I15&lt;&gt;""),"Cita agendada",IF($H15="","Sin consultas",IF(TODAY()-$H15&gt;DiasControl,"Control pendiente","Al día"))))</f>
        <v/>
      </c>
    </row>
    <row r="16">
      <c r="B16" s="53" t="inlineStr">
        <is>
          <t>Pablo Acosta</t>
        </is>
      </c>
      <c r="C16" s="54" t="inlineStr">
        <is>
          <t>3.409.529</t>
        </is>
      </c>
      <c r="D16" s="54" t="inlineStr">
        <is>
          <t>0982 400 442</t>
        </is>
      </c>
      <c r="E16" s="55" t="n">
        <v>28704</v>
      </c>
      <c r="F16" s="56">
        <f>IF(OR($B16="",N($E16)=0),"",INT((TODAY()-$E16)/365.25))</f>
        <v/>
      </c>
      <c r="G16" s="53" t="n"/>
      <c r="H16" s="57">
        <f>IF($B16="","",IF(COUNTIF(CONSULTAS!$C$7:$C$506,$B16)=0,"",SUMPRODUCT(MAX((CONSULTAS!$C$7:$C$506=$B16)*CONSULTAS!$B$7:$B$506))))</f>
        <v/>
      </c>
      <c r="I16" s="55" t="n">
        <v>46340</v>
      </c>
      <c r="J16" s="58">
        <f>IF($B16="","",IF(AND(N($I16)&gt;=TODAY(),$I16&lt;&gt;""),"Cita agendada",IF($H16="","Sin consultas",IF(TODAY()-$H16&gt;DiasControl,"Control pendiente","Al día"))))</f>
        <v/>
      </c>
    </row>
    <row r="17">
      <c r="B17" s="53" t="inlineStr">
        <is>
          <t>Camila Franco</t>
        </is>
      </c>
      <c r="C17" s="54" t="inlineStr">
        <is>
          <t>6.658.953</t>
        </is>
      </c>
      <c r="D17" s="54" t="inlineStr">
        <is>
          <t>0982 318 867</t>
        </is>
      </c>
      <c r="E17" s="55" t="n">
        <v>36759</v>
      </c>
      <c r="F17" s="56">
        <f>IF(OR($B17="",N($E17)=0),"",INT((TODAY()-$E17)/365.25))</f>
        <v/>
      </c>
      <c r="G17" s="53" t="inlineStr">
        <is>
          <t>Alergia al látex</t>
        </is>
      </c>
      <c r="H17" s="57">
        <f>IF($B17="","",IF(COUNTIF(CONSULTAS!$C$7:$C$506,$B17)=0,"",SUMPRODUCT(MAX((CONSULTAS!$C$7:$C$506=$B17)*CONSULTAS!$B$7:$B$506))))</f>
        <v/>
      </c>
      <c r="I17" s="55" t="n"/>
      <c r="J17" s="58">
        <f>IF($B17="","",IF(AND(N($I17)&gt;=TODAY(),$I17&lt;&gt;""),"Cita agendada",IF($H17="","Sin consultas",IF(TODAY()-$H17&gt;DiasControl,"Control pendiente","Al día"))))</f>
        <v/>
      </c>
    </row>
    <row r="18">
      <c r="B18" s="53" t="inlineStr">
        <is>
          <t>Julián Vera</t>
        </is>
      </c>
      <c r="C18" s="54" t="inlineStr">
        <is>
          <t>5.896.665</t>
        </is>
      </c>
      <c r="D18" s="54" t="inlineStr">
        <is>
          <t>0995 658 958</t>
        </is>
      </c>
      <c r="E18" s="55" t="n">
        <v>22772</v>
      </c>
      <c r="F18" s="56">
        <f>IF(OR($B18="",N($E18)=0),"",INT((TODAY()-$E18)/365.25))</f>
        <v/>
      </c>
      <c r="G18" s="53" t="n"/>
      <c r="H18" s="57">
        <f>IF($B18="","",IF(COUNTIF(CONSULTAS!$C$7:$C$506,$B18)=0,"",SUMPRODUCT(MAX((CONSULTAS!$C$7:$C$506=$B18)*CONSULTAS!$B$7:$B$506))))</f>
        <v/>
      </c>
      <c r="I18" s="55" t="n"/>
      <c r="J18" s="58">
        <f>IF($B18="","",IF(AND(N($I18)&gt;=TODAY(),$I18&lt;&gt;""),"Cita agendada",IF($H18="","Sin consultas",IF(TODAY()-$H18&gt;DiasControl,"Control pendiente","Al día"))))</f>
        <v/>
      </c>
    </row>
    <row r="19">
      <c r="B19" s="53" t="inlineStr">
        <is>
          <t>Natalia Peralta</t>
        </is>
      </c>
      <c r="C19" s="54" t="inlineStr">
        <is>
          <t>2.817.248</t>
        </is>
      </c>
      <c r="D19" s="54" t="inlineStr">
        <is>
          <t>0971 912 715</t>
        </is>
      </c>
      <c r="E19" s="55" t="n">
        <v>31814</v>
      </c>
      <c r="F19" s="56">
        <f>IF(OR($B19="",N($E19)=0),"",INT((TODAY()-$E19)/365.25))</f>
        <v/>
      </c>
      <c r="G19" s="53" t="n"/>
      <c r="H19" s="57">
        <f>IF($B19="","",IF(COUNTIF(CONSULTAS!$C$7:$C$506,$B19)=0,"",SUMPRODUCT(MAX((CONSULTAS!$C$7:$C$506=$B19)*CONSULTAS!$B$7:$B$506))))</f>
        <v/>
      </c>
      <c r="I19" s="55" t="n">
        <v>46341</v>
      </c>
      <c r="J19" s="58">
        <f>IF($B19="","",IF(AND(N($I19)&gt;=TODAY(),$I19&lt;&gt;""),"Cita agendada",IF($H19="","Sin consultas",IF(TODAY()-$H19&gt;DiasControl,"Control pendiente","Al día"))))</f>
        <v/>
      </c>
    </row>
    <row r="20">
      <c r="B20" s="53" t="inlineStr">
        <is>
          <t>Héctor Aguilera</t>
        </is>
      </c>
      <c r="C20" s="54" t="inlineStr">
        <is>
          <t>6.816.789</t>
        </is>
      </c>
      <c r="D20" s="54" t="inlineStr">
        <is>
          <t>0991 391 412</t>
        </is>
      </c>
      <c r="E20" s="55" t="n">
        <v>35768</v>
      </c>
      <c r="F20" s="56">
        <f>IF(OR($B20="",N($E20)=0),"",INT((TODAY()-$E20)/365.25))</f>
        <v/>
      </c>
      <c r="G20" s="53" t="inlineStr">
        <is>
          <t>Embarazo (2.º trimestre)</t>
        </is>
      </c>
      <c r="H20" s="57">
        <f>IF($B20="","",IF(COUNTIF(CONSULTAS!$C$7:$C$506,$B20)=0,"",SUMPRODUCT(MAX((CONSULTAS!$C$7:$C$506=$B20)*CONSULTAS!$B$7:$B$506))))</f>
        <v/>
      </c>
      <c r="I20" s="55" t="n"/>
      <c r="J20" s="58">
        <f>IF($B20="","",IF(AND(N($I20)&gt;=TODAY(),$I20&lt;&gt;""),"Cita agendada",IF($H20="","Sin consultas",IF(TODAY()-$H20&gt;DiasControl,"Control pendiente","Al día"))))</f>
        <v/>
      </c>
    </row>
    <row r="21">
      <c r="B21" s="53" t="inlineStr">
        <is>
          <t>Mónica Ayala</t>
        </is>
      </c>
      <c r="C21" s="54" t="inlineStr">
        <is>
          <t>2.899.540</t>
        </is>
      </c>
      <c r="D21" s="54" t="inlineStr">
        <is>
          <t>0982 555 512</t>
        </is>
      </c>
      <c r="E21" s="55" t="n">
        <v>27440</v>
      </c>
      <c r="F21" s="56">
        <f>IF(OR($B21="",N($E21)=0),"",INT((TODAY()-$E21)/365.25))</f>
        <v/>
      </c>
      <c r="G21" s="53" t="n"/>
      <c r="H21" s="57">
        <f>IF($B21="","",IF(COUNTIF(CONSULTAS!$C$7:$C$506,$B21)=0,"",SUMPRODUCT(MAX((CONSULTAS!$C$7:$C$506=$B21)*CONSULTAS!$B$7:$B$506))))</f>
        <v/>
      </c>
      <c r="I21" s="55" t="n"/>
      <c r="J21" s="58">
        <f>IF($B21="","",IF(AND(N($I21)&gt;=TODAY(),$I21&lt;&gt;""),"Cita agendada",IF($H21="","Sin consultas",IF(TODAY()-$H21&gt;DiasControl,"Control pendiente","Al día"))))</f>
        <v/>
      </c>
    </row>
    <row r="22">
      <c r="B22" s="53" t="inlineStr">
        <is>
          <t>Fabián Romero</t>
        </is>
      </c>
      <c r="C22" s="54" t="inlineStr">
        <is>
          <t>2.190.168</t>
        </is>
      </c>
      <c r="D22" s="54" t="inlineStr">
        <is>
          <t>0982 201 994</t>
        </is>
      </c>
      <c r="E22" s="55" t="n">
        <v>20721</v>
      </c>
      <c r="F22" s="56">
        <f>IF(OR($B22="",N($E22)=0),"",INT((TODAY()-$E22)/365.25))</f>
        <v/>
      </c>
      <c r="G22" s="53" t="inlineStr">
        <is>
          <t>Anticoagulantes</t>
        </is>
      </c>
      <c r="H22" s="57">
        <f>IF($B22="","",IF(COUNTIF(CONSULTAS!$C$7:$C$506,$B22)=0,"",SUMPRODUCT(MAX((CONSULTAS!$C$7:$C$506=$B22)*CONSULTAS!$B$7:$B$506))))</f>
        <v/>
      </c>
      <c r="I22" s="55" t="n">
        <v>46338</v>
      </c>
      <c r="J22" s="58">
        <f>IF($B22="","",IF(AND(N($I22)&gt;=TODAY(),$I22&lt;&gt;""),"Cita agendada",IF($H22="","Sin consultas",IF(TODAY()-$H22&gt;DiasControl,"Control pendiente","Al día"))))</f>
        <v/>
      </c>
    </row>
    <row r="23">
      <c r="B23" s="53" t="inlineStr">
        <is>
          <t>Gabriela Lezcano</t>
        </is>
      </c>
      <c r="C23" s="54" t="inlineStr">
        <is>
          <t>4.011.972</t>
        </is>
      </c>
      <c r="D23" s="54" t="inlineStr">
        <is>
          <t>0981 830 974</t>
        </is>
      </c>
      <c r="E23" s="55" t="n">
        <v>23839</v>
      </c>
      <c r="F23" s="56">
        <f>IF(OR($B23="",N($E23)=0),"",INT((TODAY()-$E23)/365.25))</f>
        <v/>
      </c>
      <c r="G23" s="53" t="n"/>
      <c r="H23" s="57">
        <f>IF($B23="","",IF(COUNTIF(CONSULTAS!$C$7:$C$506,$B23)=0,"",SUMPRODUCT(MAX((CONSULTAS!$C$7:$C$506=$B23)*CONSULTAS!$B$7:$B$506))))</f>
        <v/>
      </c>
      <c r="I23" s="55" t="n"/>
      <c r="J23" s="58">
        <f>IF($B23="","",IF(AND(N($I23)&gt;=TODAY(),$I23&lt;&gt;""),"Cita agendada",IF($H23="","Sin consultas",IF(TODAY()-$H23&gt;DiasControl,"Control pendiente","Al día"))))</f>
        <v/>
      </c>
    </row>
    <row r="24">
      <c r="B24" s="53" t="inlineStr">
        <is>
          <t>Andrés Insfrán</t>
        </is>
      </c>
      <c r="C24" s="54" t="inlineStr">
        <is>
          <t>5.378.765</t>
        </is>
      </c>
      <c r="D24" s="54" t="inlineStr">
        <is>
          <t>0995 907 624</t>
        </is>
      </c>
      <c r="E24" s="55" t="n">
        <v>25417</v>
      </c>
      <c r="F24" s="56">
        <f>IF(OR($B24="",N($E24)=0),"",INT((TODAY()-$E24)/365.25))</f>
        <v/>
      </c>
      <c r="G24" s="53" t="n"/>
      <c r="H24" s="57">
        <f>IF($B24="","",IF(COUNTIF(CONSULTAS!$C$7:$C$506,$B24)=0,"",SUMPRODUCT(MAX((CONSULTAS!$C$7:$C$506=$B24)*CONSULTAS!$B$7:$B$506))))</f>
        <v/>
      </c>
      <c r="I24" s="55" t="n"/>
      <c r="J24" s="58">
        <f>IF($B24="","",IF(AND(N($I24)&gt;=TODAY(),$I24&lt;&gt;""),"Cita agendada",IF($H24="","Sin consultas",IF(TODAY()-$H24&gt;DiasControl,"Control pendiente","Al día"))))</f>
        <v/>
      </c>
    </row>
    <row r="25">
      <c r="B25" s="53" t="inlineStr">
        <is>
          <t>Rosa Villalba</t>
        </is>
      </c>
      <c r="C25" s="54" t="inlineStr">
        <is>
          <t>5.312.558</t>
        </is>
      </c>
      <c r="D25" s="54" t="inlineStr">
        <is>
          <t>0995 138 975</t>
        </is>
      </c>
      <c r="E25" s="55" t="n">
        <v>31218</v>
      </c>
      <c r="F25" s="56">
        <f>IF(OR($B25="",N($E25)=0),"",INT((TODAY()-$E25)/365.25))</f>
        <v/>
      </c>
      <c r="G25" s="53" t="n"/>
      <c r="H25" s="57">
        <f>IF($B25="","",IF(COUNTIF(CONSULTAS!$C$7:$C$506,$B25)=0,"",SUMPRODUCT(MAX((CONSULTAS!$C$7:$C$506=$B25)*CONSULTAS!$B$7:$B$506))))</f>
        <v/>
      </c>
      <c r="I25" s="55" t="n">
        <v>46329</v>
      </c>
      <c r="J25" s="58">
        <f>IF($B25="","",IF(AND(N($I25)&gt;=TODAY(),$I25&lt;&gt;""),"Cita agendada",IF($H25="","Sin consultas",IF(TODAY()-$H25&gt;DiasControl,"Control pendiente","Al día"))))</f>
        <v/>
      </c>
    </row>
    <row r="26">
      <c r="B26" s="53" t="inlineStr">
        <is>
          <t>Sergio Maidana</t>
        </is>
      </c>
      <c r="C26" s="54" t="inlineStr">
        <is>
          <t>6.285.696</t>
        </is>
      </c>
      <c r="D26" s="54" t="inlineStr">
        <is>
          <t>0991 949 885</t>
        </is>
      </c>
      <c r="E26" s="55" t="n">
        <v>23594</v>
      </c>
      <c r="F26" s="56">
        <f>IF(OR($B26="",N($E26)=0),"",INT((TODAY()-$E26)/365.25))</f>
        <v/>
      </c>
      <c r="G26" s="53" t="n"/>
      <c r="H26" s="57">
        <f>IF($B26="","",IF(COUNTIF(CONSULTAS!$C$7:$C$506,$B26)=0,"",SUMPRODUCT(MAX((CONSULTAS!$C$7:$C$506=$B26)*CONSULTAS!$B$7:$B$506))))</f>
        <v/>
      </c>
      <c r="I26" s="55" t="n"/>
      <c r="J26" s="58">
        <f>IF($B26="","",IF(AND(N($I26)&gt;=TODAY(),$I26&lt;&gt;""),"Cita agendada",IF($H26="","Sin consultas",IF(TODAY()-$H26&gt;DiasControl,"Control pendiente","Al día"))))</f>
        <v/>
      </c>
    </row>
    <row r="27">
      <c r="B27" s="53" t="inlineStr">
        <is>
          <t>Clara Esquivel</t>
        </is>
      </c>
      <c r="C27" s="54" t="inlineStr">
        <is>
          <t>5.141.605</t>
        </is>
      </c>
      <c r="D27" s="54" t="inlineStr">
        <is>
          <t>0982 343 111</t>
        </is>
      </c>
      <c r="E27" s="55" t="n">
        <v>19495</v>
      </c>
      <c r="F27" s="56">
        <f>IF(OR($B27="",N($E27)=0),"",INT((TODAY()-$E27)/365.25))</f>
        <v/>
      </c>
      <c r="G27" s="53" t="n"/>
      <c r="H27" s="57">
        <f>IF($B27="","",IF(COUNTIF(CONSULTAS!$C$7:$C$506,$B27)=0,"",SUMPRODUCT(MAX((CONSULTAS!$C$7:$C$506=$B27)*CONSULTAS!$B$7:$B$506))))</f>
        <v/>
      </c>
      <c r="I27" s="55" t="n"/>
      <c r="J27" s="58">
        <f>IF($B27="","",IF(AND(N($I27)&gt;=TODAY(),$I27&lt;&gt;""),"Cita agendada",IF($H27="","Sin consultas",IF(TODAY()-$H27&gt;DiasControl,"Control pendiente","Al día"))))</f>
        <v/>
      </c>
    </row>
    <row r="28">
      <c r="B28" s="53" t="inlineStr">
        <is>
          <t>Tomás Giménez</t>
        </is>
      </c>
      <c r="C28" s="54" t="inlineStr">
        <is>
          <t>3.569.949</t>
        </is>
      </c>
      <c r="D28" s="54" t="inlineStr">
        <is>
          <t>0991 280 146</t>
        </is>
      </c>
      <c r="E28" s="55" t="n">
        <v>22846</v>
      </c>
      <c r="F28" s="56">
        <f>IF(OR($B28="",N($E28)=0),"",INT((TODAY()-$E28)/365.25))</f>
        <v/>
      </c>
      <c r="G28" s="53" t="n"/>
      <c r="H28" s="57">
        <f>IF($B28="","",IF(COUNTIF(CONSULTAS!$C$7:$C$506,$B28)=0,"",SUMPRODUCT(MAX((CONSULTAS!$C$7:$C$506=$B28)*CONSULTAS!$B$7:$B$506))))</f>
        <v/>
      </c>
      <c r="I28" s="55" t="n">
        <v>46333</v>
      </c>
      <c r="J28" s="58">
        <f>IF($B28="","",IF(AND(N($I28)&gt;=TODAY(),$I28&lt;&gt;""),"Cita agendada",IF($H28="","Sin consultas",IF(TODAY()-$H28&gt;DiasControl,"Control pendiente","Al día"))))</f>
        <v/>
      </c>
    </row>
    <row r="29">
      <c r="B29" s="53" t="inlineStr">
        <is>
          <t>Patricia Delvalle</t>
        </is>
      </c>
      <c r="C29" s="54" t="inlineStr">
        <is>
          <t>6.349.308</t>
        </is>
      </c>
      <c r="D29" s="54" t="inlineStr">
        <is>
          <t>0971 728 311</t>
        </is>
      </c>
      <c r="E29" s="55" t="n">
        <v>24157</v>
      </c>
      <c r="F29" s="56">
        <f>IF(OR($B29="",N($E29)=0),"",INT((TODAY()-$E29)/365.25))</f>
        <v/>
      </c>
      <c r="G29" s="53" t="n"/>
      <c r="H29" s="57">
        <f>IF($B29="","",IF(COUNTIF(CONSULTAS!$C$7:$C$506,$B29)=0,"",SUMPRODUCT(MAX((CONSULTAS!$C$7:$C$506=$B29)*CONSULTAS!$B$7:$B$506))))</f>
        <v/>
      </c>
      <c r="I29" s="55" t="n"/>
      <c r="J29" s="58">
        <f>IF($B29="","",IF(AND(N($I29)&gt;=TODAY(),$I29&lt;&gt;""),"Cita agendada",IF($H29="","Sin consultas",IF(TODAY()-$H29&gt;DiasControl,"Control pendiente","Al día"))))</f>
        <v/>
      </c>
    </row>
    <row r="30">
      <c r="B30" s="53" t="inlineStr">
        <is>
          <t>Ramón Ferreira</t>
        </is>
      </c>
      <c r="C30" s="54" t="inlineStr">
        <is>
          <t>2.742.035</t>
        </is>
      </c>
      <c r="D30" s="54" t="inlineStr">
        <is>
          <t>0995 565 671</t>
        </is>
      </c>
      <c r="E30" s="55" t="n">
        <v>27172</v>
      </c>
      <c r="F30" s="56">
        <f>IF(OR($B30="",N($E30)=0),"",INT((TODAY()-$E30)/365.25))</f>
        <v/>
      </c>
      <c r="G30" s="53" t="inlineStr">
        <is>
          <t>Alergia a la penicilina</t>
        </is>
      </c>
      <c r="H30" s="57">
        <f>IF($B30="","",IF(COUNTIF(CONSULTAS!$C$7:$C$506,$B30)=0,"",SUMPRODUCT(MAX((CONSULTAS!$C$7:$C$506=$B30)*CONSULTAS!$B$7:$B$506))))</f>
        <v/>
      </c>
      <c r="I30" s="55" t="n"/>
      <c r="J30" s="58">
        <f>IF($B30="","",IF(AND(N($I30)&gt;=TODAY(),$I30&lt;&gt;""),"Cita agendada",IF($H30="","Sin consultas",IF(TODAY()-$H30&gt;DiasControl,"Control pendiente","Al día"))))</f>
        <v/>
      </c>
    </row>
    <row r="31">
      <c r="B31" s="53" t="inlineStr">
        <is>
          <t>Liz Cardozo</t>
        </is>
      </c>
      <c r="C31" s="54" t="inlineStr">
        <is>
          <t>5.423.177</t>
        </is>
      </c>
      <c r="D31" s="54" t="inlineStr">
        <is>
          <t>0991 332 636</t>
        </is>
      </c>
      <c r="E31" s="55" t="n">
        <v>42270</v>
      </c>
      <c r="F31" s="56">
        <f>IF(OR($B31="",N($E31)=0),"",INT((TODAY()-$E31)/365.25))</f>
        <v/>
      </c>
      <c r="G31" s="53" t="n"/>
      <c r="H31" s="57">
        <f>IF($B31="","",IF(COUNTIF(CONSULTAS!$C$7:$C$506,$B31)=0,"",SUMPRODUCT(MAX((CONSULTAS!$C$7:$C$506=$B31)*CONSULTAS!$B$7:$B$506))))</f>
        <v/>
      </c>
      <c r="I31" s="55" t="n">
        <v>46333</v>
      </c>
      <c r="J31" s="58">
        <f>IF($B31="","",IF(AND(N($I31)&gt;=TODAY(),$I31&lt;&gt;""),"Cita agendada",IF($H31="","Sin consultas",IF(TODAY()-$H31&gt;DiasControl,"Control pendiente","Al día"))))</f>
        <v/>
      </c>
    </row>
    <row r="32">
      <c r="B32" s="53" t="inlineStr">
        <is>
          <t>Óscar Noguera</t>
        </is>
      </c>
      <c r="C32" s="54" t="inlineStr">
        <is>
          <t>5.071.685</t>
        </is>
      </c>
      <c r="D32" s="54" t="inlineStr">
        <is>
          <t>0982 834 938</t>
        </is>
      </c>
      <c r="E32" s="55" t="n">
        <v>27383</v>
      </c>
      <c r="F32" s="56">
        <f>IF(OR($B32="",N($E32)=0),"",INT((TODAY()-$E32)/365.25))</f>
        <v/>
      </c>
      <c r="G32" s="53" t="inlineStr">
        <is>
          <t>Hipertensión</t>
        </is>
      </c>
      <c r="H32" s="57">
        <f>IF($B32="","",IF(COUNTIF(CONSULTAS!$C$7:$C$506,$B32)=0,"",SUMPRODUCT(MAX((CONSULTAS!$C$7:$C$506=$B32)*CONSULTAS!$B$7:$B$506))))</f>
        <v/>
      </c>
      <c r="I32" s="55" t="n"/>
      <c r="J32" s="58">
        <f>IF($B32="","",IF(AND(N($I32)&gt;=TODAY(),$I32&lt;&gt;""),"Cita agendada",IF($H32="","Sin consultas",IF(TODAY()-$H32&gt;DiasControl,"Control pendiente","Al día"))))</f>
        <v/>
      </c>
    </row>
    <row r="33">
      <c r="B33" s="53" t="inlineStr">
        <is>
          <t>Silvia Britez</t>
        </is>
      </c>
      <c r="C33" s="54" t="inlineStr">
        <is>
          <t>4.316.990</t>
        </is>
      </c>
      <c r="D33" s="54" t="inlineStr">
        <is>
          <t>0971 635 901</t>
        </is>
      </c>
      <c r="E33" s="55" t="n">
        <v>39969</v>
      </c>
      <c r="F33" s="56">
        <f>IF(OR($B33="",N($E33)=0),"",INT((TODAY()-$E33)/365.25))</f>
        <v/>
      </c>
      <c r="G33" s="53" t="n"/>
      <c r="H33" s="57">
        <f>IF($B33="","",IF(COUNTIF(CONSULTAS!$C$7:$C$506,$B33)=0,"",SUMPRODUCT(MAX((CONSULTAS!$C$7:$C$506=$B33)*CONSULTAS!$B$7:$B$506))))</f>
        <v/>
      </c>
      <c r="I33" s="55" t="n"/>
      <c r="J33" s="58">
        <f>IF($B33="","",IF(AND(N($I33)&gt;=TODAY(),$I33&lt;&gt;""),"Cita agendada",IF($H33="","Sin consultas",IF(TODAY()-$H33&gt;DiasControl,"Control pendiente","Al día"))))</f>
        <v/>
      </c>
    </row>
    <row r="34">
      <c r="B34" s="53" t="inlineStr">
        <is>
          <t>Daniel Samudio</t>
        </is>
      </c>
      <c r="C34" s="54" t="inlineStr">
        <is>
          <t>3.655.394</t>
        </is>
      </c>
      <c r="D34" s="54" t="inlineStr">
        <is>
          <t>0991 693 891</t>
        </is>
      </c>
      <c r="E34" s="55" t="n">
        <v>34675</v>
      </c>
      <c r="F34" s="56">
        <f>IF(OR($B34="",N($E34)=0),"",INT((TODAY()-$E34)/365.25))</f>
        <v/>
      </c>
      <c r="G34" s="53" t="inlineStr">
        <is>
          <t>Diabetes</t>
        </is>
      </c>
      <c r="H34" s="57">
        <f>IF($B34="","",IF(COUNTIF(CONSULTAS!$C$7:$C$506,$B34)=0,"",SUMPRODUCT(MAX((CONSULTAS!$C$7:$C$506=$B34)*CONSULTAS!$B$7:$B$506))))</f>
        <v/>
      </c>
      <c r="I34" s="55" t="n">
        <v>46345</v>
      </c>
      <c r="J34" s="58">
        <f>IF($B34="","",IF(AND(N($I34)&gt;=TODAY(),$I34&lt;&gt;""),"Cita agendada",IF($H34="","Sin consultas",IF(TODAY()-$H34&gt;DiasControl,"Control pendiente","Al día"))))</f>
        <v/>
      </c>
    </row>
    <row r="35">
      <c r="B35" s="53" t="inlineStr">
        <is>
          <t>Teresa Rolón</t>
        </is>
      </c>
      <c r="C35" s="54" t="inlineStr">
        <is>
          <t>6.804.121</t>
        </is>
      </c>
      <c r="D35" s="54" t="inlineStr">
        <is>
          <t>0971 850 535</t>
        </is>
      </c>
      <c r="E35" s="55" t="n">
        <v>25961</v>
      </c>
      <c r="F35" s="56">
        <f>IF(OR($B35="",N($E35)=0),"",INT((TODAY()-$E35)/365.25))</f>
        <v/>
      </c>
      <c r="G35" s="53" t="n"/>
      <c r="H35" s="57">
        <f>IF($B35="","",IF(COUNTIF(CONSULTAS!$C$7:$C$506,$B35)=0,"",SUMPRODUCT(MAX((CONSULTAS!$C$7:$C$506=$B35)*CONSULTAS!$B$7:$B$506))))</f>
        <v/>
      </c>
      <c r="I35" s="55" t="n"/>
      <c r="J35" s="58">
        <f>IF($B35="","",IF(AND(N($I35)&gt;=TODAY(),$I35&lt;&gt;""),"Cita agendada",IF($H35="","Sin consultas",IF(TODAY()-$H35&gt;DiasControl,"Control pendiente","Al día"))))</f>
        <v/>
      </c>
    </row>
    <row r="36">
      <c r="B36" s="53" t="inlineStr">
        <is>
          <t>Iván Sosa</t>
        </is>
      </c>
      <c r="C36" s="54" t="inlineStr">
        <is>
          <t>4.393.552</t>
        </is>
      </c>
      <c r="D36" s="54" t="inlineStr">
        <is>
          <t>0982 309 535</t>
        </is>
      </c>
      <c r="E36" s="55" t="n">
        <v>27827</v>
      </c>
      <c r="F36" s="56">
        <f>IF(OR($B36="",N($E36)=0),"",INT((TODAY()-$E36)/365.25))</f>
        <v/>
      </c>
      <c r="G36" s="53" t="n"/>
      <c r="H36" s="57">
        <f>IF($B36="","",IF(COUNTIF(CONSULTAS!$C$7:$C$506,$B36)=0,"",SUMPRODUCT(MAX((CONSULTAS!$C$7:$C$506=$B36)*CONSULTAS!$B$7:$B$506))))</f>
        <v/>
      </c>
      <c r="I36" s="55" t="n"/>
      <c r="J36" s="58">
        <f>IF($B36="","",IF(AND(N($I36)&gt;=TODAY(),$I36&lt;&gt;""),"Cita agendada",IF($H36="","Sin consultas",IF(TODAY()-$H36&gt;DiasControl,"Control pendiente","Al día"))))</f>
        <v/>
      </c>
    </row>
    <row r="37">
      <c r="B37" s="53" t="n"/>
      <c r="C37" s="54" t="n"/>
      <c r="D37" s="54" t="n"/>
      <c r="E37" s="55" t="n"/>
      <c r="F37" s="56">
        <f>IF(OR($B37="",N($E37)=0),"",INT((TODAY()-$E37)/365.25))</f>
        <v/>
      </c>
      <c r="G37" s="53" t="n"/>
      <c r="H37" s="57">
        <f>IF($B37="","",IF(COUNTIF(CONSULTAS!$C$7:$C$506,$B37)=0,"",SUMPRODUCT(MAX((CONSULTAS!$C$7:$C$506=$B37)*CONSULTAS!$B$7:$B$506))))</f>
        <v/>
      </c>
      <c r="I37" s="55" t="n"/>
      <c r="J37" s="58">
        <f>IF($B37="","",IF(AND(N($I37)&gt;=TODAY(),$I37&lt;&gt;""),"Cita agendada",IF($H37="","Sin consultas",IF(TODAY()-$H37&gt;DiasControl,"Control pendiente","Al día"))))</f>
        <v/>
      </c>
    </row>
    <row r="38">
      <c r="B38" s="53" t="n"/>
      <c r="C38" s="54" t="n"/>
      <c r="D38" s="54" t="n"/>
      <c r="E38" s="55" t="n"/>
      <c r="F38" s="56">
        <f>IF(OR($B38="",N($E38)=0),"",INT((TODAY()-$E38)/365.25))</f>
        <v/>
      </c>
      <c r="G38" s="53" t="n"/>
      <c r="H38" s="57">
        <f>IF($B38="","",IF(COUNTIF(CONSULTAS!$C$7:$C$506,$B38)=0,"",SUMPRODUCT(MAX((CONSULTAS!$C$7:$C$506=$B38)*CONSULTAS!$B$7:$B$506))))</f>
        <v/>
      </c>
      <c r="I38" s="55" t="n"/>
      <c r="J38" s="58">
        <f>IF($B38="","",IF(AND(N($I38)&gt;=TODAY(),$I38&lt;&gt;""),"Cita agendada",IF($H38="","Sin consultas",IF(TODAY()-$H38&gt;DiasControl,"Control pendiente","Al día"))))</f>
        <v/>
      </c>
    </row>
    <row r="39">
      <c r="B39" s="53" t="n"/>
      <c r="C39" s="54" t="n"/>
      <c r="D39" s="54" t="n"/>
      <c r="E39" s="55" t="n"/>
      <c r="F39" s="56">
        <f>IF(OR($B39="",N($E39)=0),"",INT((TODAY()-$E39)/365.25))</f>
        <v/>
      </c>
      <c r="G39" s="53" t="n"/>
      <c r="H39" s="57">
        <f>IF($B39="","",IF(COUNTIF(CONSULTAS!$C$7:$C$506,$B39)=0,"",SUMPRODUCT(MAX((CONSULTAS!$C$7:$C$506=$B39)*CONSULTAS!$B$7:$B$506))))</f>
        <v/>
      </c>
      <c r="I39" s="55" t="n"/>
      <c r="J39" s="58">
        <f>IF($B39="","",IF(AND(N($I39)&gt;=TODAY(),$I39&lt;&gt;""),"Cita agendada",IF($H39="","Sin consultas",IF(TODAY()-$H39&gt;DiasControl,"Control pendiente","Al día"))))</f>
        <v/>
      </c>
    </row>
    <row r="40">
      <c r="B40" s="53" t="n"/>
      <c r="C40" s="54" t="n"/>
      <c r="D40" s="54" t="n"/>
      <c r="E40" s="55" t="n"/>
      <c r="F40" s="56">
        <f>IF(OR($B40="",N($E40)=0),"",INT((TODAY()-$E40)/365.25))</f>
        <v/>
      </c>
      <c r="G40" s="53" t="n"/>
      <c r="H40" s="57">
        <f>IF($B40="","",IF(COUNTIF(CONSULTAS!$C$7:$C$506,$B40)=0,"",SUMPRODUCT(MAX((CONSULTAS!$C$7:$C$506=$B40)*CONSULTAS!$B$7:$B$506))))</f>
        <v/>
      </c>
      <c r="I40" s="55" t="n"/>
      <c r="J40" s="58">
        <f>IF($B40="","",IF(AND(N($I40)&gt;=TODAY(),$I40&lt;&gt;""),"Cita agendada",IF($H40="","Sin consultas",IF(TODAY()-$H40&gt;DiasControl,"Control pendiente","Al día"))))</f>
        <v/>
      </c>
    </row>
    <row r="41">
      <c r="B41" s="53" t="n"/>
      <c r="C41" s="54" t="n"/>
      <c r="D41" s="54" t="n"/>
      <c r="E41" s="55" t="n"/>
      <c r="F41" s="56">
        <f>IF(OR($B41="",N($E41)=0),"",INT((TODAY()-$E41)/365.25))</f>
        <v/>
      </c>
      <c r="G41" s="53" t="n"/>
      <c r="H41" s="57">
        <f>IF($B41="","",IF(COUNTIF(CONSULTAS!$C$7:$C$506,$B41)=0,"",SUMPRODUCT(MAX((CONSULTAS!$C$7:$C$506=$B41)*CONSULTAS!$B$7:$B$506))))</f>
        <v/>
      </c>
      <c r="I41" s="55" t="n"/>
      <c r="J41" s="58">
        <f>IF($B41="","",IF(AND(N($I41)&gt;=TODAY(),$I41&lt;&gt;""),"Cita agendada",IF($H41="","Sin consultas",IF(TODAY()-$H41&gt;DiasControl,"Control pendiente","Al día"))))</f>
        <v/>
      </c>
    </row>
    <row r="42">
      <c r="B42" s="53" t="n"/>
      <c r="C42" s="54" t="n"/>
      <c r="D42" s="54" t="n"/>
      <c r="E42" s="55" t="n"/>
      <c r="F42" s="56">
        <f>IF(OR($B42="",N($E42)=0),"",INT((TODAY()-$E42)/365.25))</f>
        <v/>
      </c>
      <c r="G42" s="53" t="n"/>
      <c r="H42" s="57">
        <f>IF($B42="","",IF(COUNTIF(CONSULTAS!$C$7:$C$506,$B42)=0,"",SUMPRODUCT(MAX((CONSULTAS!$C$7:$C$506=$B42)*CONSULTAS!$B$7:$B$506))))</f>
        <v/>
      </c>
      <c r="I42" s="55" t="n"/>
      <c r="J42" s="58">
        <f>IF($B42="","",IF(AND(N($I42)&gt;=TODAY(),$I42&lt;&gt;""),"Cita agendada",IF($H42="","Sin consultas",IF(TODAY()-$H42&gt;DiasControl,"Control pendiente","Al día"))))</f>
        <v/>
      </c>
    </row>
    <row r="43">
      <c r="B43" s="53" t="n"/>
      <c r="C43" s="54" t="n"/>
      <c r="D43" s="54" t="n"/>
      <c r="E43" s="55" t="n"/>
      <c r="F43" s="56">
        <f>IF(OR($B43="",N($E43)=0),"",INT((TODAY()-$E43)/365.25))</f>
        <v/>
      </c>
      <c r="G43" s="53" t="n"/>
      <c r="H43" s="57">
        <f>IF($B43="","",IF(COUNTIF(CONSULTAS!$C$7:$C$506,$B43)=0,"",SUMPRODUCT(MAX((CONSULTAS!$C$7:$C$506=$B43)*CONSULTAS!$B$7:$B$506))))</f>
        <v/>
      </c>
      <c r="I43" s="55" t="n"/>
      <c r="J43" s="58">
        <f>IF($B43="","",IF(AND(N($I43)&gt;=TODAY(),$I43&lt;&gt;""),"Cita agendada",IF($H43="","Sin consultas",IF(TODAY()-$H43&gt;DiasControl,"Control pendiente","Al día"))))</f>
        <v/>
      </c>
    </row>
    <row r="44">
      <c r="B44" s="53" t="n"/>
      <c r="C44" s="54" t="n"/>
      <c r="D44" s="54" t="n"/>
      <c r="E44" s="55" t="n"/>
      <c r="F44" s="56">
        <f>IF(OR($B44="",N($E44)=0),"",INT((TODAY()-$E44)/365.25))</f>
        <v/>
      </c>
      <c r="G44" s="53" t="n"/>
      <c r="H44" s="57">
        <f>IF($B44="","",IF(COUNTIF(CONSULTAS!$C$7:$C$506,$B44)=0,"",SUMPRODUCT(MAX((CONSULTAS!$C$7:$C$506=$B44)*CONSULTAS!$B$7:$B$506))))</f>
        <v/>
      </c>
      <c r="I44" s="55" t="n"/>
      <c r="J44" s="58">
        <f>IF($B44="","",IF(AND(N($I44)&gt;=TODAY(),$I44&lt;&gt;""),"Cita agendada",IF($H44="","Sin consultas",IF(TODAY()-$H44&gt;DiasControl,"Control pendiente","Al día"))))</f>
        <v/>
      </c>
    </row>
    <row r="45">
      <c r="B45" s="53" t="n"/>
      <c r="C45" s="54" t="n"/>
      <c r="D45" s="54" t="n"/>
      <c r="E45" s="55" t="n"/>
      <c r="F45" s="56">
        <f>IF(OR($B45="",N($E45)=0),"",INT((TODAY()-$E45)/365.25))</f>
        <v/>
      </c>
      <c r="G45" s="53" t="n"/>
      <c r="H45" s="57">
        <f>IF($B45="","",IF(COUNTIF(CONSULTAS!$C$7:$C$506,$B45)=0,"",SUMPRODUCT(MAX((CONSULTAS!$C$7:$C$506=$B45)*CONSULTAS!$B$7:$B$506))))</f>
        <v/>
      </c>
      <c r="I45" s="55" t="n"/>
      <c r="J45" s="58">
        <f>IF($B45="","",IF(AND(N($I45)&gt;=TODAY(),$I45&lt;&gt;""),"Cita agendada",IF($H45="","Sin consultas",IF(TODAY()-$H45&gt;DiasControl,"Control pendiente","Al día"))))</f>
        <v/>
      </c>
    </row>
    <row r="46">
      <c r="B46" s="53" t="n"/>
      <c r="C46" s="54" t="n"/>
      <c r="D46" s="54" t="n"/>
      <c r="E46" s="55" t="n"/>
      <c r="F46" s="56">
        <f>IF(OR($B46="",N($E46)=0),"",INT((TODAY()-$E46)/365.25))</f>
        <v/>
      </c>
      <c r="G46" s="53" t="n"/>
      <c r="H46" s="57">
        <f>IF($B46="","",IF(COUNTIF(CONSULTAS!$C$7:$C$506,$B46)=0,"",SUMPRODUCT(MAX((CONSULTAS!$C$7:$C$506=$B46)*CONSULTAS!$B$7:$B$506))))</f>
        <v/>
      </c>
      <c r="I46" s="55" t="n"/>
      <c r="J46" s="58">
        <f>IF($B46="","",IF(AND(N($I46)&gt;=TODAY(),$I46&lt;&gt;""),"Cita agendada",IF($H46="","Sin consultas",IF(TODAY()-$H46&gt;DiasControl,"Control pendiente","Al día"))))</f>
        <v/>
      </c>
    </row>
    <row r="47">
      <c r="B47" s="53" t="n"/>
      <c r="C47" s="54" t="n"/>
      <c r="D47" s="54" t="n"/>
      <c r="E47" s="55" t="n"/>
      <c r="F47" s="56">
        <f>IF(OR($B47="",N($E47)=0),"",INT((TODAY()-$E47)/365.25))</f>
        <v/>
      </c>
      <c r="G47" s="53" t="n"/>
      <c r="H47" s="57">
        <f>IF($B47="","",IF(COUNTIF(CONSULTAS!$C$7:$C$506,$B47)=0,"",SUMPRODUCT(MAX((CONSULTAS!$C$7:$C$506=$B47)*CONSULTAS!$B$7:$B$506))))</f>
        <v/>
      </c>
      <c r="I47" s="55" t="n"/>
      <c r="J47" s="58">
        <f>IF($B47="","",IF(AND(N($I47)&gt;=TODAY(),$I47&lt;&gt;""),"Cita agendada",IF($H47="","Sin consultas",IF(TODAY()-$H47&gt;DiasControl,"Control pendiente","Al día"))))</f>
        <v/>
      </c>
    </row>
    <row r="48">
      <c r="B48" s="53" t="n"/>
      <c r="C48" s="54" t="n"/>
      <c r="D48" s="54" t="n"/>
      <c r="E48" s="55" t="n"/>
      <c r="F48" s="56">
        <f>IF(OR($B48="",N($E48)=0),"",INT((TODAY()-$E48)/365.25))</f>
        <v/>
      </c>
      <c r="G48" s="53" t="n"/>
      <c r="H48" s="57">
        <f>IF($B48="","",IF(COUNTIF(CONSULTAS!$C$7:$C$506,$B48)=0,"",SUMPRODUCT(MAX((CONSULTAS!$C$7:$C$506=$B48)*CONSULTAS!$B$7:$B$506))))</f>
        <v/>
      </c>
      <c r="I48" s="55" t="n"/>
      <c r="J48" s="58">
        <f>IF($B48="","",IF(AND(N($I48)&gt;=TODAY(),$I48&lt;&gt;""),"Cita agendada",IF($H48="","Sin consultas",IF(TODAY()-$H48&gt;DiasControl,"Control pendiente","Al día"))))</f>
        <v/>
      </c>
    </row>
    <row r="49">
      <c r="B49" s="53" t="n"/>
      <c r="C49" s="54" t="n"/>
      <c r="D49" s="54" t="n"/>
      <c r="E49" s="55" t="n"/>
      <c r="F49" s="56">
        <f>IF(OR($B49="",N($E49)=0),"",INT((TODAY()-$E49)/365.25))</f>
        <v/>
      </c>
      <c r="G49" s="53" t="n"/>
      <c r="H49" s="57">
        <f>IF($B49="","",IF(COUNTIF(CONSULTAS!$C$7:$C$506,$B49)=0,"",SUMPRODUCT(MAX((CONSULTAS!$C$7:$C$506=$B49)*CONSULTAS!$B$7:$B$506))))</f>
        <v/>
      </c>
      <c r="I49" s="55" t="n"/>
      <c r="J49" s="58">
        <f>IF($B49="","",IF(AND(N($I49)&gt;=TODAY(),$I49&lt;&gt;""),"Cita agendada",IF($H49="","Sin consultas",IF(TODAY()-$H49&gt;DiasControl,"Control pendiente","Al día"))))</f>
        <v/>
      </c>
    </row>
    <row r="50">
      <c r="B50" s="53" t="n"/>
      <c r="C50" s="54" t="n"/>
      <c r="D50" s="54" t="n"/>
      <c r="E50" s="55" t="n"/>
      <c r="F50" s="56">
        <f>IF(OR($B50="",N($E50)=0),"",INT((TODAY()-$E50)/365.25))</f>
        <v/>
      </c>
      <c r="G50" s="53" t="n"/>
      <c r="H50" s="57">
        <f>IF($B50="","",IF(COUNTIF(CONSULTAS!$C$7:$C$506,$B50)=0,"",SUMPRODUCT(MAX((CONSULTAS!$C$7:$C$506=$B50)*CONSULTAS!$B$7:$B$506))))</f>
        <v/>
      </c>
      <c r="I50" s="55" t="n"/>
      <c r="J50" s="58">
        <f>IF($B50="","",IF(AND(N($I50)&gt;=TODAY(),$I50&lt;&gt;""),"Cita agendada",IF($H50="","Sin consultas",IF(TODAY()-$H50&gt;DiasControl,"Control pendiente","Al día"))))</f>
        <v/>
      </c>
    </row>
    <row r="51">
      <c r="B51" s="53" t="n"/>
      <c r="C51" s="54" t="n"/>
      <c r="D51" s="54" t="n"/>
      <c r="E51" s="55" t="n"/>
      <c r="F51" s="56">
        <f>IF(OR($B51="",N($E51)=0),"",INT((TODAY()-$E51)/365.25))</f>
        <v/>
      </c>
      <c r="G51" s="53" t="n"/>
      <c r="H51" s="57">
        <f>IF($B51="","",IF(COUNTIF(CONSULTAS!$C$7:$C$506,$B51)=0,"",SUMPRODUCT(MAX((CONSULTAS!$C$7:$C$506=$B51)*CONSULTAS!$B$7:$B$506))))</f>
        <v/>
      </c>
      <c r="I51" s="55" t="n"/>
      <c r="J51" s="58">
        <f>IF($B51="","",IF(AND(N($I51)&gt;=TODAY(),$I51&lt;&gt;""),"Cita agendada",IF($H51="","Sin consultas",IF(TODAY()-$H51&gt;DiasControl,"Control pendiente","Al día"))))</f>
        <v/>
      </c>
    </row>
    <row r="52">
      <c r="B52" s="53" t="n"/>
      <c r="C52" s="54" t="n"/>
      <c r="D52" s="54" t="n"/>
      <c r="E52" s="55" t="n"/>
      <c r="F52" s="56">
        <f>IF(OR($B52="",N($E52)=0),"",INT((TODAY()-$E52)/365.25))</f>
        <v/>
      </c>
      <c r="G52" s="53" t="n"/>
      <c r="H52" s="57">
        <f>IF($B52="","",IF(COUNTIF(CONSULTAS!$C$7:$C$506,$B52)=0,"",SUMPRODUCT(MAX((CONSULTAS!$C$7:$C$506=$B52)*CONSULTAS!$B$7:$B$506))))</f>
        <v/>
      </c>
      <c r="I52" s="55" t="n"/>
      <c r="J52" s="58">
        <f>IF($B52="","",IF(AND(N($I52)&gt;=TODAY(),$I52&lt;&gt;""),"Cita agendada",IF($H52="","Sin consultas",IF(TODAY()-$H52&gt;DiasControl,"Control pendiente","Al día"))))</f>
        <v/>
      </c>
    </row>
    <row r="53">
      <c r="B53" s="53" t="n"/>
      <c r="C53" s="54" t="n"/>
      <c r="D53" s="54" t="n"/>
      <c r="E53" s="55" t="n"/>
      <c r="F53" s="56">
        <f>IF(OR($B53="",N($E53)=0),"",INT((TODAY()-$E53)/365.25))</f>
        <v/>
      </c>
      <c r="G53" s="53" t="n"/>
      <c r="H53" s="57">
        <f>IF($B53="","",IF(COUNTIF(CONSULTAS!$C$7:$C$506,$B53)=0,"",SUMPRODUCT(MAX((CONSULTAS!$C$7:$C$506=$B53)*CONSULTAS!$B$7:$B$506))))</f>
        <v/>
      </c>
      <c r="I53" s="55" t="n"/>
      <c r="J53" s="58">
        <f>IF($B53="","",IF(AND(N($I53)&gt;=TODAY(),$I53&lt;&gt;""),"Cita agendada",IF($H53="","Sin consultas",IF(TODAY()-$H53&gt;DiasControl,"Control pendiente","Al día"))))</f>
        <v/>
      </c>
    </row>
    <row r="54">
      <c r="B54" s="53" t="n"/>
      <c r="C54" s="54" t="n"/>
      <c r="D54" s="54" t="n"/>
      <c r="E54" s="55" t="n"/>
      <c r="F54" s="56">
        <f>IF(OR($B54="",N($E54)=0),"",INT((TODAY()-$E54)/365.25))</f>
        <v/>
      </c>
      <c r="G54" s="53" t="n"/>
      <c r="H54" s="57">
        <f>IF($B54="","",IF(COUNTIF(CONSULTAS!$C$7:$C$506,$B54)=0,"",SUMPRODUCT(MAX((CONSULTAS!$C$7:$C$506=$B54)*CONSULTAS!$B$7:$B$506))))</f>
        <v/>
      </c>
      <c r="I54" s="55" t="n"/>
      <c r="J54" s="58">
        <f>IF($B54="","",IF(AND(N($I54)&gt;=TODAY(),$I54&lt;&gt;""),"Cita agendada",IF($H54="","Sin consultas",IF(TODAY()-$H54&gt;DiasControl,"Control pendiente","Al día"))))</f>
        <v/>
      </c>
    </row>
    <row r="55">
      <c r="B55" s="53" t="n"/>
      <c r="C55" s="54" t="n"/>
      <c r="D55" s="54" t="n"/>
      <c r="E55" s="55" t="n"/>
      <c r="F55" s="56">
        <f>IF(OR($B55="",N($E55)=0),"",INT((TODAY()-$E55)/365.25))</f>
        <v/>
      </c>
      <c r="G55" s="53" t="n"/>
      <c r="H55" s="57">
        <f>IF($B55="","",IF(COUNTIF(CONSULTAS!$C$7:$C$506,$B55)=0,"",SUMPRODUCT(MAX((CONSULTAS!$C$7:$C$506=$B55)*CONSULTAS!$B$7:$B$506))))</f>
        <v/>
      </c>
      <c r="I55" s="55" t="n"/>
      <c r="J55" s="58">
        <f>IF($B55="","",IF(AND(N($I55)&gt;=TODAY(),$I55&lt;&gt;""),"Cita agendada",IF($H55="","Sin consultas",IF(TODAY()-$H55&gt;DiasControl,"Control pendiente","Al día"))))</f>
        <v/>
      </c>
    </row>
    <row r="56">
      <c r="B56" s="53" t="n"/>
      <c r="C56" s="54" t="n"/>
      <c r="D56" s="54" t="n"/>
      <c r="E56" s="55" t="n"/>
      <c r="F56" s="56">
        <f>IF(OR($B56="",N($E56)=0),"",INT((TODAY()-$E56)/365.25))</f>
        <v/>
      </c>
      <c r="G56" s="53" t="n"/>
      <c r="H56" s="57">
        <f>IF($B56="","",IF(COUNTIF(CONSULTAS!$C$7:$C$506,$B56)=0,"",SUMPRODUCT(MAX((CONSULTAS!$C$7:$C$506=$B56)*CONSULTAS!$B$7:$B$506))))</f>
        <v/>
      </c>
      <c r="I56" s="55" t="n"/>
      <c r="J56" s="58">
        <f>IF($B56="","",IF(AND(N($I56)&gt;=TODAY(),$I56&lt;&gt;""),"Cita agendada",IF($H56="","Sin consultas",IF(TODAY()-$H56&gt;DiasControl,"Control pendiente","Al día"))))</f>
        <v/>
      </c>
    </row>
    <row r="57">
      <c r="B57" s="53" t="n"/>
      <c r="C57" s="54" t="n"/>
      <c r="D57" s="54" t="n"/>
      <c r="E57" s="55" t="n"/>
      <c r="F57" s="56">
        <f>IF(OR($B57="",N($E57)=0),"",INT((TODAY()-$E57)/365.25))</f>
        <v/>
      </c>
      <c r="G57" s="53" t="n"/>
      <c r="H57" s="57">
        <f>IF($B57="","",IF(COUNTIF(CONSULTAS!$C$7:$C$506,$B57)=0,"",SUMPRODUCT(MAX((CONSULTAS!$C$7:$C$506=$B57)*CONSULTAS!$B$7:$B$506))))</f>
        <v/>
      </c>
      <c r="I57" s="55" t="n"/>
      <c r="J57" s="58">
        <f>IF($B57="","",IF(AND(N($I57)&gt;=TODAY(),$I57&lt;&gt;""),"Cita agendada",IF($H57="","Sin consultas",IF(TODAY()-$H57&gt;DiasControl,"Control pendiente","Al día"))))</f>
        <v/>
      </c>
    </row>
    <row r="58">
      <c r="B58" s="53" t="n"/>
      <c r="C58" s="54" t="n"/>
      <c r="D58" s="54" t="n"/>
      <c r="E58" s="55" t="n"/>
      <c r="F58" s="56">
        <f>IF(OR($B58="",N($E58)=0),"",INT((TODAY()-$E58)/365.25))</f>
        <v/>
      </c>
      <c r="G58" s="53" t="n"/>
      <c r="H58" s="57">
        <f>IF($B58="","",IF(COUNTIF(CONSULTAS!$C$7:$C$506,$B58)=0,"",SUMPRODUCT(MAX((CONSULTAS!$C$7:$C$506=$B58)*CONSULTAS!$B$7:$B$506))))</f>
        <v/>
      </c>
      <c r="I58" s="55" t="n"/>
      <c r="J58" s="58">
        <f>IF($B58="","",IF(AND(N($I58)&gt;=TODAY(),$I58&lt;&gt;""),"Cita agendada",IF($H58="","Sin consultas",IF(TODAY()-$H58&gt;DiasControl,"Control pendiente","Al día"))))</f>
        <v/>
      </c>
    </row>
    <row r="59">
      <c r="B59" s="53" t="n"/>
      <c r="C59" s="54" t="n"/>
      <c r="D59" s="54" t="n"/>
      <c r="E59" s="55" t="n"/>
      <c r="F59" s="56">
        <f>IF(OR($B59="",N($E59)=0),"",INT((TODAY()-$E59)/365.25))</f>
        <v/>
      </c>
      <c r="G59" s="53" t="n"/>
      <c r="H59" s="57">
        <f>IF($B59="","",IF(COUNTIF(CONSULTAS!$C$7:$C$506,$B59)=0,"",SUMPRODUCT(MAX((CONSULTAS!$C$7:$C$506=$B59)*CONSULTAS!$B$7:$B$506))))</f>
        <v/>
      </c>
      <c r="I59" s="55" t="n"/>
      <c r="J59" s="58">
        <f>IF($B59="","",IF(AND(N($I59)&gt;=TODAY(),$I59&lt;&gt;""),"Cita agendada",IF($H59="","Sin consultas",IF(TODAY()-$H59&gt;DiasControl,"Control pendiente","Al día"))))</f>
        <v/>
      </c>
    </row>
    <row r="60">
      <c r="B60" s="53" t="n"/>
      <c r="C60" s="54" t="n"/>
      <c r="D60" s="54" t="n"/>
      <c r="E60" s="55" t="n"/>
      <c r="F60" s="56">
        <f>IF(OR($B60="",N($E60)=0),"",INT((TODAY()-$E60)/365.25))</f>
        <v/>
      </c>
      <c r="G60" s="53" t="n"/>
      <c r="H60" s="57">
        <f>IF($B60="","",IF(COUNTIF(CONSULTAS!$C$7:$C$506,$B60)=0,"",SUMPRODUCT(MAX((CONSULTAS!$C$7:$C$506=$B60)*CONSULTAS!$B$7:$B$506))))</f>
        <v/>
      </c>
      <c r="I60" s="55" t="n"/>
      <c r="J60" s="58">
        <f>IF($B60="","",IF(AND(N($I60)&gt;=TODAY(),$I60&lt;&gt;""),"Cita agendada",IF($H60="","Sin consultas",IF(TODAY()-$H60&gt;DiasControl,"Control pendiente","Al día"))))</f>
        <v/>
      </c>
    </row>
    <row r="61">
      <c r="B61" s="53" t="n"/>
      <c r="C61" s="54" t="n"/>
      <c r="D61" s="54" t="n"/>
      <c r="E61" s="55" t="n"/>
      <c r="F61" s="56">
        <f>IF(OR($B61="",N($E61)=0),"",INT((TODAY()-$E61)/365.25))</f>
        <v/>
      </c>
      <c r="G61" s="53" t="n"/>
      <c r="H61" s="57">
        <f>IF($B61="","",IF(COUNTIF(CONSULTAS!$C$7:$C$506,$B61)=0,"",SUMPRODUCT(MAX((CONSULTAS!$C$7:$C$506=$B61)*CONSULTAS!$B$7:$B$506))))</f>
        <v/>
      </c>
      <c r="I61" s="55" t="n"/>
      <c r="J61" s="58">
        <f>IF($B61="","",IF(AND(N($I61)&gt;=TODAY(),$I61&lt;&gt;""),"Cita agendada",IF($H61="","Sin consultas",IF(TODAY()-$H61&gt;DiasControl,"Control pendiente","Al día"))))</f>
        <v/>
      </c>
    </row>
    <row r="62">
      <c r="B62" s="53" t="n"/>
      <c r="C62" s="54" t="n"/>
      <c r="D62" s="54" t="n"/>
      <c r="E62" s="55" t="n"/>
      <c r="F62" s="56">
        <f>IF(OR($B62="",N($E62)=0),"",INT((TODAY()-$E62)/365.25))</f>
        <v/>
      </c>
      <c r="G62" s="53" t="n"/>
      <c r="H62" s="57">
        <f>IF($B62="","",IF(COUNTIF(CONSULTAS!$C$7:$C$506,$B62)=0,"",SUMPRODUCT(MAX((CONSULTAS!$C$7:$C$506=$B62)*CONSULTAS!$B$7:$B$506))))</f>
        <v/>
      </c>
      <c r="I62" s="55" t="n"/>
      <c r="J62" s="58">
        <f>IF($B62="","",IF(AND(N($I62)&gt;=TODAY(),$I62&lt;&gt;""),"Cita agendada",IF($H62="","Sin consultas",IF(TODAY()-$H62&gt;DiasControl,"Control pendiente","Al día"))))</f>
        <v/>
      </c>
    </row>
    <row r="63">
      <c r="B63" s="53" t="n"/>
      <c r="C63" s="54" t="n"/>
      <c r="D63" s="54" t="n"/>
      <c r="E63" s="55" t="n"/>
      <c r="F63" s="56">
        <f>IF(OR($B63="",N($E63)=0),"",INT((TODAY()-$E63)/365.25))</f>
        <v/>
      </c>
      <c r="G63" s="53" t="n"/>
      <c r="H63" s="57">
        <f>IF($B63="","",IF(COUNTIF(CONSULTAS!$C$7:$C$506,$B63)=0,"",SUMPRODUCT(MAX((CONSULTAS!$C$7:$C$506=$B63)*CONSULTAS!$B$7:$B$506))))</f>
        <v/>
      </c>
      <c r="I63" s="55" t="n"/>
      <c r="J63" s="58">
        <f>IF($B63="","",IF(AND(N($I63)&gt;=TODAY(),$I63&lt;&gt;""),"Cita agendada",IF($H63="","Sin consultas",IF(TODAY()-$H63&gt;DiasControl,"Control pendiente","Al día"))))</f>
        <v/>
      </c>
    </row>
    <row r="64">
      <c r="B64" s="53" t="n"/>
      <c r="C64" s="54" t="n"/>
      <c r="D64" s="54" t="n"/>
      <c r="E64" s="55" t="n"/>
      <c r="F64" s="56">
        <f>IF(OR($B64="",N($E64)=0),"",INT((TODAY()-$E64)/365.25))</f>
        <v/>
      </c>
      <c r="G64" s="53" t="n"/>
      <c r="H64" s="57">
        <f>IF($B64="","",IF(COUNTIF(CONSULTAS!$C$7:$C$506,$B64)=0,"",SUMPRODUCT(MAX((CONSULTAS!$C$7:$C$506=$B64)*CONSULTAS!$B$7:$B$506))))</f>
        <v/>
      </c>
      <c r="I64" s="55" t="n"/>
      <c r="J64" s="58">
        <f>IF($B64="","",IF(AND(N($I64)&gt;=TODAY(),$I64&lt;&gt;""),"Cita agendada",IF($H64="","Sin consultas",IF(TODAY()-$H64&gt;DiasControl,"Control pendiente","Al día"))))</f>
        <v/>
      </c>
    </row>
    <row r="65">
      <c r="B65" s="53" t="n"/>
      <c r="C65" s="54" t="n"/>
      <c r="D65" s="54" t="n"/>
      <c r="E65" s="55" t="n"/>
      <c r="F65" s="56">
        <f>IF(OR($B65="",N($E65)=0),"",INT((TODAY()-$E65)/365.25))</f>
        <v/>
      </c>
      <c r="G65" s="53" t="n"/>
      <c r="H65" s="57">
        <f>IF($B65="","",IF(COUNTIF(CONSULTAS!$C$7:$C$506,$B65)=0,"",SUMPRODUCT(MAX((CONSULTAS!$C$7:$C$506=$B65)*CONSULTAS!$B$7:$B$506))))</f>
        <v/>
      </c>
      <c r="I65" s="55" t="n"/>
      <c r="J65" s="58">
        <f>IF($B65="","",IF(AND(N($I65)&gt;=TODAY(),$I65&lt;&gt;""),"Cita agendada",IF($H65="","Sin consultas",IF(TODAY()-$H65&gt;DiasControl,"Control pendiente","Al día"))))</f>
        <v/>
      </c>
    </row>
    <row r="66">
      <c r="B66" s="53" t="n"/>
      <c r="C66" s="54" t="n"/>
      <c r="D66" s="54" t="n"/>
      <c r="E66" s="55" t="n"/>
      <c r="F66" s="56">
        <f>IF(OR($B66="",N($E66)=0),"",INT((TODAY()-$E66)/365.25))</f>
        <v/>
      </c>
      <c r="G66" s="53" t="n"/>
      <c r="H66" s="57">
        <f>IF($B66="","",IF(COUNTIF(CONSULTAS!$C$7:$C$506,$B66)=0,"",SUMPRODUCT(MAX((CONSULTAS!$C$7:$C$506=$B66)*CONSULTAS!$B$7:$B$506))))</f>
        <v/>
      </c>
      <c r="I66" s="55" t="n"/>
      <c r="J66" s="58">
        <f>IF($B66="","",IF(AND(N($I66)&gt;=TODAY(),$I66&lt;&gt;""),"Cita agendada",IF($H66="","Sin consultas",IF(TODAY()-$H66&gt;DiasControl,"Control pendiente","Al día"))))</f>
        <v/>
      </c>
    </row>
    <row r="67">
      <c r="B67" s="53" t="n"/>
      <c r="C67" s="54" t="n"/>
      <c r="D67" s="54" t="n"/>
      <c r="E67" s="55" t="n"/>
      <c r="F67" s="56">
        <f>IF(OR($B67="",N($E67)=0),"",INT((TODAY()-$E67)/365.25))</f>
        <v/>
      </c>
      <c r="G67" s="53" t="n"/>
      <c r="H67" s="57">
        <f>IF($B67="","",IF(COUNTIF(CONSULTAS!$C$7:$C$506,$B67)=0,"",SUMPRODUCT(MAX((CONSULTAS!$C$7:$C$506=$B67)*CONSULTAS!$B$7:$B$506))))</f>
        <v/>
      </c>
      <c r="I67" s="55" t="n"/>
      <c r="J67" s="58">
        <f>IF($B67="","",IF(AND(N($I67)&gt;=TODAY(),$I67&lt;&gt;""),"Cita agendada",IF($H67="","Sin consultas",IF(TODAY()-$H67&gt;DiasControl,"Control pendiente","Al día"))))</f>
        <v/>
      </c>
    </row>
    <row r="68">
      <c r="B68" s="53" t="n"/>
      <c r="C68" s="54" t="n"/>
      <c r="D68" s="54" t="n"/>
      <c r="E68" s="55" t="n"/>
      <c r="F68" s="56">
        <f>IF(OR($B68="",N($E68)=0),"",INT((TODAY()-$E68)/365.25))</f>
        <v/>
      </c>
      <c r="G68" s="53" t="n"/>
      <c r="H68" s="57">
        <f>IF($B68="","",IF(COUNTIF(CONSULTAS!$C$7:$C$506,$B68)=0,"",SUMPRODUCT(MAX((CONSULTAS!$C$7:$C$506=$B68)*CONSULTAS!$B$7:$B$506))))</f>
        <v/>
      </c>
      <c r="I68" s="55" t="n"/>
      <c r="J68" s="58">
        <f>IF($B68="","",IF(AND(N($I68)&gt;=TODAY(),$I68&lt;&gt;""),"Cita agendada",IF($H68="","Sin consultas",IF(TODAY()-$H68&gt;DiasControl,"Control pendiente","Al día"))))</f>
        <v/>
      </c>
    </row>
    <row r="69">
      <c r="B69" s="53" t="n"/>
      <c r="C69" s="54" t="n"/>
      <c r="D69" s="54" t="n"/>
      <c r="E69" s="55" t="n"/>
      <c r="F69" s="56">
        <f>IF(OR($B69="",N($E69)=0),"",INT((TODAY()-$E69)/365.25))</f>
        <v/>
      </c>
      <c r="G69" s="53" t="n"/>
      <c r="H69" s="57">
        <f>IF($B69="","",IF(COUNTIF(CONSULTAS!$C$7:$C$506,$B69)=0,"",SUMPRODUCT(MAX((CONSULTAS!$C$7:$C$506=$B69)*CONSULTAS!$B$7:$B$506))))</f>
        <v/>
      </c>
      <c r="I69" s="55" t="n"/>
      <c r="J69" s="58">
        <f>IF($B69="","",IF(AND(N($I69)&gt;=TODAY(),$I69&lt;&gt;""),"Cita agendada",IF($H69="","Sin consultas",IF(TODAY()-$H69&gt;DiasControl,"Control pendiente","Al día"))))</f>
        <v/>
      </c>
    </row>
    <row r="70">
      <c r="B70" s="53" t="n"/>
      <c r="C70" s="54" t="n"/>
      <c r="D70" s="54" t="n"/>
      <c r="E70" s="55" t="n"/>
      <c r="F70" s="56">
        <f>IF(OR($B70="",N($E70)=0),"",INT((TODAY()-$E70)/365.25))</f>
        <v/>
      </c>
      <c r="G70" s="53" t="n"/>
      <c r="H70" s="57">
        <f>IF($B70="","",IF(COUNTIF(CONSULTAS!$C$7:$C$506,$B70)=0,"",SUMPRODUCT(MAX((CONSULTAS!$C$7:$C$506=$B70)*CONSULTAS!$B$7:$B$506))))</f>
        <v/>
      </c>
      <c r="I70" s="55" t="n"/>
      <c r="J70" s="58">
        <f>IF($B70="","",IF(AND(N($I70)&gt;=TODAY(),$I70&lt;&gt;""),"Cita agendada",IF($H70="","Sin consultas",IF(TODAY()-$H70&gt;DiasControl,"Control pendiente","Al día"))))</f>
        <v/>
      </c>
    </row>
    <row r="71">
      <c r="B71" s="53" t="n"/>
      <c r="C71" s="54" t="n"/>
      <c r="D71" s="54" t="n"/>
      <c r="E71" s="55" t="n"/>
      <c r="F71" s="56">
        <f>IF(OR($B71="",N($E71)=0),"",INT((TODAY()-$E71)/365.25))</f>
        <v/>
      </c>
      <c r="G71" s="53" t="n"/>
      <c r="H71" s="57">
        <f>IF($B71="","",IF(COUNTIF(CONSULTAS!$C$7:$C$506,$B71)=0,"",SUMPRODUCT(MAX((CONSULTAS!$C$7:$C$506=$B71)*CONSULTAS!$B$7:$B$506))))</f>
        <v/>
      </c>
      <c r="I71" s="55" t="n"/>
      <c r="J71" s="58">
        <f>IF($B71="","",IF(AND(N($I71)&gt;=TODAY(),$I71&lt;&gt;""),"Cita agendada",IF($H71="","Sin consultas",IF(TODAY()-$H71&gt;DiasControl,"Control pendiente","Al día"))))</f>
        <v/>
      </c>
    </row>
    <row r="72">
      <c r="B72" s="53" t="n"/>
      <c r="C72" s="54" t="n"/>
      <c r="D72" s="54" t="n"/>
      <c r="E72" s="55" t="n"/>
      <c r="F72" s="56">
        <f>IF(OR($B72="",N($E72)=0),"",INT((TODAY()-$E72)/365.25))</f>
        <v/>
      </c>
      <c r="G72" s="53" t="n"/>
      <c r="H72" s="57">
        <f>IF($B72="","",IF(COUNTIF(CONSULTAS!$C$7:$C$506,$B72)=0,"",SUMPRODUCT(MAX((CONSULTAS!$C$7:$C$506=$B72)*CONSULTAS!$B$7:$B$506))))</f>
        <v/>
      </c>
      <c r="I72" s="55" t="n"/>
      <c r="J72" s="58">
        <f>IF($B72="","",IF(AND(N($I72)&gt;=TODAY(),$I72&lt;&gt;""),"Cita agendada",IF($H72="","Sin consultas",IF(TODAY()-$H72&gt;DiasControl,"Control pendiente","Al día"))))</f>
        <v/>
      </c>
    </row>
    <row r="73">
      <c r="B73" s="53" t="n"/>
      <c r="C73" s="54" t="n"/>
      <c r="D73" s="54" t="n"/>
      <c r="E73" s="55" t="n"/>
      <c r="F73" s="56">
        <f>IF(OR($B73="",N($E73)=0),"",INT((TODAY()-$E73)/365.25))</f>
        <v/>
      </c>
      <c r="G73" s="53" t="n"/>
      <c r="H73" s="57">
        <f>IF($B73="","",IF(COUNTIF(CONSULTAS!$C$7:$C$506,$B73)=0,"",SUMPRODUCT(MAX((CONSULTAS!$C$7:$C$506=$B73)*CONSULTAS!$B$7:$B$506))))</f>
        <v/>
      </c>
      <c r="I73" s="55" t="n"/>
      <c r="J73" s="58">
        <f>IF($B73="","",IF(AND(N($I73)&gt;=TODAY(),$I73&lt;&gt;""),"Cita agendada",IF($H73="","Sin consultas",IF(TODAY()-$H73&gt;DiasControl,"Control pendiente","Al día"))))</f>
        <v/>
      </c>
    </row>
    <row r="74">
      <c r="B74" s="53" t="n"/>
      <c r="C74" s="54" t="n"/>
      <c r="D74" s="54" t="n"/>
      <c r="E74" s="55" t="n"/>
      <c r="F74" s="56">
        <f>IF(OR($B74="",N($E74)=0),"",INT((TODAY()-$E74)/365.25))</f>
        <v/>
      </c>
      <c r="G74" s="53" t="n"/>
      <c r="H74" s="57">
        <f>IF($B74="","",IF(COUNTIF(CONSULTAS!$C$7:$C$506,$B74)=0,"",SUMPRODUCT(MAX((CONSULTAS!$C$7:$C$506=$B74)*CONSULTAS!$B$7:$B$506))))</f>
        <v/>
      </c>
      <c r="I74" s="55" t="n"/>
      <c r="J74" s="58">
        <f>IF($B74="","",IF(AND(N($I74)&gt;=TODAY(),$I74&lt;&gt;""),"Cita agendada",IF($H74="","Sin consultas",IF(TODAY()-$H74&gt;DiasControl,"Control pendiente","Al día"))))</f>
        <v/>
      </c>
    </row>
    <row r="75">
      <c r="B75" s="53" t="n"/>
      <c r="C75" s="54" t="n"/>
      <c r="D75" s="54" t="n"/>
      <c r="E75" s="55" t="n"/>
      <c r="F75" s="56">
        <f>IF(OR($B75="",N($E75)=0),"",INT((TODAY()-$E75)/365.25))</f>
        <v/>
      </c>
      <c r="G75" s="53" t="n"/>
      <c r="H75" s="57">
        <f>IF($B75="","",IF(COUNTIF(CONSULTAS!$C$7:$C$506,$B75)=0,"",SUMPRODUCT(MAX((CONSULTAS!$C$7:$C$506=$B75)*CONSULTAS!$B$7:$B$506))))</f>
        <v/>
      </c>
      <c r="I75" s="55" t="n"/>
      <c r="J75" s="58">
        <f>IF($B75="","",IF(AND(N($I75)&gt;=TODAY(),$I75&lt;&gt;""),"Cita agendada",IF($H75="","Sin consultas",IF(TODAY()-$H75&gt;DiasControl,"Control pendiente","Al día"))))</f>
        <v/>
      </c>
    </row>
    <row r="76">
      <c r="B76" s="53" t="n"/>
      <c r="C76" s="54" t="n"/>
      <c r="D76" s="54" t="n"/>
      <c r="E76" s="55" t="n"/>
      <c r="F76" s="56">
        <f>IF(OR($B76="",N($E76)=0),"",INT((TODAY()-$E76)/365.25))</f>
        <v/>
      </c>
      <c r="G76" s="53" t="n"/>
      <c r="H76" s="57">
        <f>IF($B76="","",IF(COUNTIF(CONSULTAS!$C$7:$C$506,$B76)=0,"",SUMPRODUCT(MAX((CONSULTAS!$C$7:$C$506=$B76)*CONSULTAS!$B$7:$B$506))))</f>
        <v/>
      </c>
      <c r="I76" s="55" t="n"/>
      <c r="J76" s="58">
        <f>IF($B76="","",IF(AND(N($I76)&gt;=TODAY(),$I76&lt;&gt;""),"Cita agendada",IF($H76="","Sin consultas",IF(TODAY()-$H76&gt;DiasControl,"Control pendiente","Al día"))))</f>
        <v/>
      </c>
    </row>
    <row r="77">
      <c r="B77" s="53" t="n"/>
      <c r="C77" s="54" t="n"/>
      <c r="D77" s="54" t="n"/>
      <c r="E77" s="55" t="n"/>
      <c r="F77" s="56">
        <f>IF(OR($B77="",N($E77)=0),"",INT((TODAY()-$E77)/365.25))</f>
        <v/>
      </c>
      <c r="G77" s="53" t="n"/>
      <c r="H77" s="57">
        <f>IF($B77="","",IF(COUNTIF(CONSULTAS!$C$7:$C$506,$B77)=0,"",SUMPRODUCT(MAX((CONSULTAS!$C$7:$C$506=$B77)*CONSULTAS!$B$7:$B$506))))</f>
        <v/>
      </c>
      <c r="I77" s="55" t="n"/>
      <c r="J77" s="58">
        <f>IF($B77="","",IF(AND(N($I77)&gt;=TODAY(),$I77&lt;&gt;""),"Cita agendada",IF($H77="","Sin consultas",IF(TODAY()-$H77&gt;DiasControl,"Control pendiente","Al día"))))</f>
        <v/>
      </c>
    </row>
    <row r="78">
      <c r="B78" s="53" t="n"/>
      <c r="C78" s="54" t="n"/>
      <c r="D78" s="54" t="n"/>
      <c r="E78" s="55" t="n"/>
      <c r="F78" s="56">
        <f>IF(OR($B78="",N($E78)=0),"",INT((TODAY()-$E78)/365.25))</f>
        <v/>
      </c>
      <c r="G78" s="53" t="n"/>
      <c r="H78" s="57">
        <f>IF($B78="","",IF(COUNTIF(CONSULTAS!$C$7:$C$506,$B78)=0,"",SUMPRODUCT(MAX((CONSULTAS!$C$7:$C$506=$B78)*CONSULTAS!$B$7:$B$506))))</f>
        <v/>
      </c>
      <c r="I78" s="55" t="n"/>
      <c r="J78" s="58">
        <f>IF($B78="","",IF(AND(N($I78)&gt;=TODAY(),$I78&lt;&gt;""),"Cita agendada",IF($H78="","Sin consultas",IF(TODAY()-$H78&gt;DiasControl,"Control pendiente","Al día"))))</f>
        <v/>
      </c>
    </row>
    <row r="79">
      <c r="B79" s="53" t="n"/>
      <c r="C79" s="54" t="n"/>
      <c r="D79" s="54" t="n"/>
      <c r="E79" s="55" t="n"/>
      <c r="F79" s="56">
        <f>IF(OR($B79="",N($E79)=0),"",INT((TODAY()-$E79)/365.25))</f>
        <v/>
      </c>
      <c r="G79" s="53" t="n"/>
      <c r="H79" s="57">
        <f>IF($B79="","",IF(COUNTIF(CONSULTAS!$C$7:$C$506,$B79)=0,"",SUMPRODUCT(MAX((CONSULTAS!$C$7:$C$506=$B79)*CONSULTAS!$B$7:$B$506))))</f>
        <v/>
      </c>
      <c r="I79" s="55" t="n"/>
      <c r="J79" s="58">
        <f>IF($B79="","",IF(AND(N($I79)&gt;=TODAY(),$I79&lt;&gt;""),"Cita agendada",IF($H79="","Sin consultas",IF(TODAY()-$H79&gt;DiasControl,"Control pendiente","Al día"))))</f>
        <v/>
      </c>
    </row>
    <row r="80">
      <c r="B80" s="53" t="n"/>
      <c r="C80" s="54" t="n"/>
      <c r="D80" s="54" t="n"/>
      <c r="E80" s="55" t="n"/>
      <c r="F80" s="56">
        <f>IF(OR($B80="",N($E80)=0),"",INT((TODAY()-$E80)/365.25))</f>
        <v/>
      </c>
      <c r="G80" s="53" t="n"/>
      <c r="H80" s="57">
        <f>IF($B80="","",IF(COUNTIF(CONSULTAS!$C$7:$C$506,$B80)=0,"",SUMPRODUCT(MAX((CONSULTAS!$C$7:$C$506=$B80)*CONSULTAS!$B$7:$B$506))))</f>
        <v/>
      </c>
      <c r="I80" s="55" t="n"/>
      <c r="J80" s="58">
        <f>IF($B80="","",IF(AND(N($I80)&gt;=TODAY(),$I80&lt;&gt;""),"Cita agendada",IF($H80="","Sin consultas",IF(TODAY()-$H80&gt;DiasControl,"Control pendiente","Al día"))))</f>
        <v/>
      </c>
    </row>
    <row r="81">
      <c r="B81" s="53" t="n"/>
      <c r="C81" s="54" t="n"/>
      <c r="D81" s="54" t="n"/>
      <c r="E81" s="55" t="n"/>
      <c r="F81" s="56">
        <f>IF(OR($B81="",N($E81)=0),"",INT((TODAY()-$E81)/365.25))</f>
        <v/>
      </c>
      <c r="G81" s="53" t="n"/>
      <c r="H81" s="57">
        <f>IF($B81="","",IF(COUNTIF(CONSULTAS!$C$7:$C$506,$B81)=0,"",SUMPRODUCT(MAX((CONSULTAS!$C$7:$C$506=$B81)*CONSULTAS!$B$7:$B$506))))</f>
        <v/>
      </c>
      <c r="I81" s="55" t="n"/>
      <c r="J81" s="58">
        <f>IF($B81="","",IF(AND(N($I81)&gt;=TODAY(),$I81&lt;&gt;""),"Cita agendada",IF($H81="","Sin consultas",IF(TODAY()-$H81&gt;DiasControl,"Control pendiente","Al día"))))</f>
        <v/>
      </c>
    </row>
    <row r="82">
      <c r="B82" s="53" t="n"/>
      <c r="C82" s="54" t="n"/>
      <c r="D82" s="54" t="n"/>
      <c r="E82" s="55" t="n"/>
      <c r="F82" s="56">
        <f>IF(OR($B82="",N($E82)=0),"",INT((TODAY()-$E82)/365.25))</f>
        <v/>
      </c>
      <c r="G82" s="53" t="n"/>
      <c r="H82" s="57">
        <f>IF($B82="","",IF(COUNTIF(CONSULTAS!$C$7:$C$506,$B82)=0,"",SUMPRODUCT(MAX((CONSULTAS!$C$7:$C$506=$B82)*CONSULTAS!$B$7:$B$506))))</f>
        <v/>
      </c>
      <c r="I82" s="55" t="n"/>
      <c r="J82" s="58">
        <f>IF($B82="","",IF(AND(N($I82)&gt;=TODAY(),$I82&lt;&gt;""),"Cita agendada",IF($H82="","Sin consultas",IF(TODAY()-$H82&gt;DiasControl,"Control pendiente","Al día"))))</f>
        <v/>
      </c>
    </row>
    <row r="83">
      <c r="B83" s="53" t="n"/>
      <c r="C83" s="54" t="n"/>
      <c r="D83" s="54" t="n"/>
      <c r="E83" s="55" t="n"/>
      <c r="F83" s="56">
        <f>IF(OR($B83="",N($E83)=0),"",INT((TODAY()-$E83)/365.25))</f>
        <v/>
      </c>
      <c r="G83" s="53" t="n"/>
      <c r="H83" s="57">
        <f>IF($B83="","",IF(COUNTIF(CONSULTAS!$C$7:$C$506,$B83)=0,"",SUMPRODUCT(MAX((CONSULTAS!$C$7:$C$506=$B83)*CONSULTAS!$B$7:$B$506))))</f>
        <v/>
      </c>
      <c r="I83" s="55" t="n"/>
      <c r="J83" s="58">
        <f>IF($B83="","",IF(AND(N($I83)&gt;=TODAY(),$I83&lt;&gt;""),"Cita agendada",IF($H83="","Sin consultas",IF(TODAY()-$H83&gt;DiasControl,"Control pendiente","Al día"))))</f>
        <v/>
      </c>
    </row>
    <row r="84">
      <c r="B84" s="53" t="n"/>
      <c r="C84" s="54" t="n"/>
      <c r="D84" s="54" t="n"/>
      <c r="E84" s="55" t="n"/>
      <c r="F84" s="56">
        <f>IF(OR($B84="",N($E84)=0),"",INT((TODAY()-$E84)/365.25))</f>
        <v/>
      </c>
      <c r="G84" s="53" t="n"/>
      <c r="H84" s="57">
        <f>IF($B84="","",IF(COUNTIF(CONSULTAS!$C$7:$C$506,$B84)=0,"",SUMPRODUCT(MAX((CONSULTAS!$C$7:$C$506=$B84)*CONSULTAS!$B$7:$B$506))))</f>
        <v/>
      </c>
      <c r="I84" s="55" t="n"/>
      <c r="J84" s="58">
        <f>IF($B84="","",IF(AND(N($I84)&gt;=TODAY(),$I84&lt;&gt;""),"Cita agendada",IF($H84="","Sin consultas",IF(TODAY()-$H84&gt;DiasControl,"Control pendiente","Al día"))))</f>
        <v/>
      </c>
    </row>
    <row r="85">
      <c r="B85" s="53" t="n"/>
      <c r="C85" s="54" t="n"/>
      <c r="D85" s="54" t="n"/>
      <c r="E85" s="55" t="n"/>
      <c r="F85" s="56">
        <f>IF(OR($B85="",N($E85)=0),"",INT((TODAY()-$E85)/365.25))</f>
        <v/>
      </c>
      <c r="G85" s="53" t="n"/>
      <c r="H85" s="57">
        <f>IF($B85="","",IF(COUNTIF(CONSULTAS!$C$7:$C$506,$B85)=0,"",SUMPRODUCT(MAX((CONSULTAS!$C$7:$C$506=$B85)*CONSULTAS!$B$7:$B$506))))</f>
        <v/>
      </c>
      <c r="I85" s="55" t="n"/>
      <c r="J85" s="58">
        <f>IF($B85="","",IF(AND(N($I85)&gt;=TODAY(),$I85&lt;&gt;""),"Cita agendada",IF($H85="","Sin consultas",IF(TODAY()-$H85&gt;DiasControl,"Control pendiente","Al día"))))</f>
        <v/>
      </c>
    </row>
    <row r="86">
      <c r="B86" s="53" t="n"/>
      <c r="C86" s="54" t="n"/>
      <c r="D86" s="54" t="n"/>
      <c r="E86" s="55" t="n"/>
      <c r="F86" s="56">
        <f>IF(OR($B86="",N($E86)=0),"",INT((TODAY()-$E86)/365.25))</f>
        <v/>
      </c>
      <c r="G86" s="53" t="n"/>
      <c r="H86" s="57">
        <f>IF($B86="","",IF(COUNTIF(CONSULTAS!$C$7:$C$506,$B86)=0,"",SUMPRODUCT(MAX((CONSULTAS!$C$7:$C$506=$B86)*CONSULTAS!$B$7:$B$506))))</f>
        <v/>
      </c>
      <c r="I86" s="55" t="n"/>
      <c r="J86" s="58">
        <f>IF($B86="","",IF(AND(N($I86)&gt;=TODAY(),$I86&lt;&gt;""),"Cita agendada",IF($H86="","Sin consultas",IF(TODAY()-$H86&gt;DiasControl,"Control pendiente","Al día"))))</f>
        <v/>
      </c>
    </row>
    <row r="87">
      <c r="B87" s="53" t="n"/>
      <c r="C87" s="54" t="n"/>
      <c r="D87" s="54" t="n"/>
      <c r="E87" s="55" t="n"/>
      <c r="F87" s="56">
        <f>IF(OR($B87="",N($E87)=0),"",INT((TODAY()-$E87)/365.25))</f>
        <v/>
      </c>
      <c r="G87" s="53" t="n"/>
      <c r="H87" s="57">
        <f>IF($B87="","",IF(COUNTIF(CONSULTAS!$C$7:$C$506,$B87)=0,"",SUMPRODUCT(MAX((CONSULTAS!$C$7:$C$506=$B87)*CONSULTAS!$B$7:$B$506))))</f>
        <v/>
      </c>
      <c r="I87" s="55" t="n"/>
      <c r="J87" s="58">
        <f>IF($B87="","",IF(AND(N($I87)&gt;=TODAY(),$I87&lt;&gt;""),"Cita agendada",IF($H87="","Sin consultas",IF(TODAY()-$H87&gt;DiasControl,"Control pendiente","Al día"))))</f>
        <v/>
      </c>
    </row>
    <row r="88">
      <c r="B88" s="53" t="n"/>
      <c r="C88" s="54" t="n"/>
      <c r="D88" s="54" t="n"/>
      <c r="E88" s="55" t="n"/>
      <c r="F88" s="56">
        <f>IF(OR($B88="",N($E88)=0),"",INT((TODAY()-$E88)/365.25))</f>
        <v/>
      </c>
      <c r="G88" s="53" t="n"/>
      <c r="H88" s="57">
        <f>IF($B88="","",IF(COUNTIF(CONSULTAS!$C$7:$C$506,$B88)=0,"",SUMPRODUCT(MAX((CONSULTAS!$C$7:$C$506=$B88)*CONSULTAS!$B$7:$B$506))))</f>
        <v/>
      </c>
      <c r="I88" s="55" t="n"/>
      <c r="J88" s="58">
        <f>IF($B88="","",IF(AND(N($I88)&gt;=TODAY(),$I88&lt;&gt;""),"Cita agendada",IF($H88="","Sin consultas",IF(TODAY()-$H88&gt;DiasControl,"Control pendiente","Al día"))))</f>
        <v/>
      </c>
    </row>
    <row r="89">
      <c r="B89" s="53" t="n"/>
      <c r="C89" s="54" t="n"/>
      <c r="D89" s="54" t="n"/>
      <c r="E89" s="55" t="n"/>
      <c r="F89" s="56">
        <f>IF(OR($B89="",N($E89)=0),"",INT((TODAY()-$E89)/365.25))</f>
        <v/>
      </c>
      <c r="G89" s="53" t="n"/>
      <c r="H89" s="57">
        <f>IF($B89="","",IF(COUNTIF(CONSULTAS!$C$7:$C$506,$B89)=0,"",SUMPRODUCT(MAX((CONSULTAS!$C$7:$C$506=$B89)*CONSULTAS!$B$7:$B$506))))</f>
        <v/>
      </c>
      <c r="I89" s="55" t="n"/>
      <c r="J89" s="58">
        <f>IF($B89="","",IF(AND(N($I89)&gt;=TODAY(),$I89&lt;&gt;""),"Cita agendada",IF($H89="","Sin consultas",IF(TODAY()-$H89&gt;DiasControl,"Control pendiente","Al día"))))</f>
        <v/>
      </c>
    </row>
    <row r="90">
      <c r="B90" s="53" t="n"/>
      <c r="C90" s="54" t="n"/>
      <c r="D90" s="54" t="n"/>
      <c r="E90" s="55" t="n"/>
      <c r="F90" s="56">
        <f>IF(OR($B90="",N($E90)=0),"",INT((TODAY()-$E90)/365.25))</f>
        <v/>
      </c>
      <c r="G90" s="53" t="n"/>
      <c r="H90" s="57">
        <f>IF($B90="","",IF(COUNTIF(CONSULTAS!$C$7:$C$506,$B90)=0,"",SUMPRODUCT(MAX((CONSULTAS!$C$7:$C$506=$B90)*CONSULTAS!$B$7:$B$506))))</f>
        <v/>
      </c>
      <c r="I90" s="55" t="n"/>
      <c r="J90" s="58">
        <f>IF($B90="","",IF(AND(N($I90)&gt;=TODAY(),$I90&lt;&gt;""),"Cita agendada",IF($H90="","Sin consultas",IF(TODAY()-$H90&gt;DiasControl,"Control pendiente","Al día"))))</f>
        <v/>
      </c>
    </row>
    <row r="91">
      <c r="B91" s="53" t="n"/>
      <c r="C91" s="54" t="n"/>
      <c r="D91" s="54" t="n"/>
      <c r="E91" s="55" t="n"/>
      <c r="F91" s="56">
        <f>IF(OR($B91="",N($E91)=0),"",INT((TODAY()-$E91)/365.25))</f>
        <v/>
      </c>
      <c r="G91" s="53" t="n"/>
      <c r="H91" s="57">
        <f>IF($B91="","",IF(COUNTIF(CONSULTAS!$C$7:$C$506,$B91)=0,"",SUMPRODUCT(MAX((CONSULTAS!$C$7:$C$506=$B91)*CONSULTAS!$B$7:$B$506))))</f>
        <v/>
      </c>
      <c r="I91" s="55" t="n"/>
      <c r="J91" s="58">
        <f>IF($B91="","",IF(AND(N($I91)&gt;=TODAY(),$I91&lt;&gt;""),"Cita agendada",IF($H91="","Sin consultas",IF(TODAY()-$H91&gt;DiasControl,"Control pendiente","Al día"))))</f>
        <v/>
      </c>
    </row>
    <row r="92">
      <c r="B92" s="53" t="n"/>
      <c r="C92" s="54" t="n"/>
      <c r="D92" s="54" t="n"/>
      <c r="E92" s="55" t="n"/>
      <c r="F92" s="56">
        <f>IF(OR($B92="",N($E92)=0),"",INT((TODAY()-$E92)/365.25))</f>
        <v/>
      </c>
      <c r="G92" s="53" t="n"/>
      <c r="H92" s="57">
        <f>IF($B92="","",IF(COUNTIF(CONSULTAS!$C$7:$C$506,$B92)=0,"",SUMPRODUCT(MAX((CONSULTAS!$C$7:$C$506=$B92)*CONSULTAS!$B$7:$B$506))))</f>
        <v/>
      </c>
      <c r="I92" s="55" t="n"/>
      <c r="J92" s="58">
        <f>IF($B92="","",IF(AND(N($I92)&gt;=TODAY(),$I92&lt;&gt;""),"Cita agendada",IF($H92="","Sin consultas",IF(TODAY()-$H92&gt;DiasControl,"Control pendiente","Al día"))))</f>
        <v/>
      </c>
    </row>
    <row r="93">
      <c r="B93" s="53" t="n"/>
      <c r="C93" s="54" t="n"/>
      <c r="D93" s="54" t="n"/>
      <c r="E93" s="55" t="n"/>
      <c r="F93" s="56">
        <f>IF(OR($B93="",N($E93)=0),"",INT((TODAY()-$E93)/365.25))</f>
        <v/>
      </c>
      <c r="G93" s="53" t="n"/>
      <c r="H93" s="57">
        <f>IF($B93="","",IF(COUNTIF(CONSULTAS!$C$7:$C$506,$B93)=0,"",SUMPRODUCT(MAX((CONSULTAS!$C$7:$C$506=$B93)*CONSULTAS!$B$7:$B$506))))</f>
        <v/>
      </c>
      <c r="I93" s="55" t="n"/>
      <c r="J93" s="58">
        <f>IF($B93="","",IF(AND(N($I93)&gt;=TODAY(),$I93&lt;&gt;""),"Cita agendada",IF($H93="","Sin consultas",IF(TODAY()-$H93&gt;DiasControl,"Control pendiente","Al día"))))</f>
        <v/>
      </c>
    </row>
    <row r="94">
      <c r="B94" s="53" t="n"/>
      <c r="C94" s="54" t="n"/>
      <c r="D94" s="54" t="n"/>
      <c r="E94" s="55" t="n"/>
      <c r="F94" s="56">
        <f>IF(OR($B94="",N($E94)=0),"",INT((TODAY()-$E94)/365.25))</f>
        <v/>
      </c>
      <c r="G94" s="53" t="n"/>
      <c r="H94" s="57">
        <f>IF($B94="","",IF(COUNTIF(CONSULTAS!$C$7:$C$506,$B94)=0,"",SUMPRODUCT(MAX((CONSULTAS!$C$7:$C$506=$B94)*CONSULTAS!$B$7:$B$506))))</f>
        <v/>
      </c>
      <c r="I94" s="55" t="n"/>
      <c r="J94" s="58">
        <f>IF($B94="","",IF(AND(N($I94)&gt;=TODAY(),$I94&lt;&gt;""),"Cita agendada",IF($H94="","Sin consultas",IF(TODAY()-$H94&gt;DiasControl,"Control pendiente","Al día"))))</f>
        <v/>
      </c>
    </row>
    <row r="95">
      <c r="B95" s="53" t="n"/>
      <c r="C95" s="54" t="n"/>
      <c r="D95" s="54" t="n"/>
      <c r="E95" s="55" t="n"/>
      <c r="F95" s="56">
        <f>IF(OR($B95="",N($E95)=0),"",INT((TODAY()-$E95)/365.25))</f>
        <v/>
      </c>
      <c r="G95" s="53" t="n"/>
      <c r="H95" s="57">
        <f>IF($B95="","",IF(COUNTIF(CONSULTAS!$C$7:$C$506,$B95)=0,"",SUMPRODUCT(MAX((CONSULTAS!$C$7:$C$506=$B95)*CONSULTAS!$B$7:$B$506))))</f>
        <v/>
      </c>
      <c r="I95" s="55" t="n"/>
      <c r="J95" s="58">
        <f>IF($B95="","",IF(AND(N($I95)&gt;=TODAY(),$I95&lt;&gt;""),"Cita agendada",IF($H95="","Sin consultas",IF(TODAY()-$H95&gt;DiasControl,"Control pendiente","Al día"))))</f>
        <v/>
      </c>
    </row>
    <row r="96">
      <c r="B96" s="53" t="n"/>
      <c r="C96" s="54" t="n"/>
      <c r="D96" s="54" t="n"/>
      <c r="E96" s="55" t="n"/>
      <c r="F96" s="56">
        <f>IF(OR($B96="",N($E96)=0),"",INT((TODAY()-$E96)/365.25))</f>
        <v/>
      </c>
      <c r="G96" s="53" t="n"/>
      <c r="H96" s="57">
        <f>IF($B96="","",IF(COUNTIF(CONSULTAS!$C$7:$C$506,$B96)=0,"",SUMPRODUCT(MAX((CONSULTAS!$C$7:$C$506=$B96)*CONSULTAS!$B$7:$B$506))))</f>
        <v/>
      </c>
      <c r="I96" s="55" t="n"/>
      <c r="J96" s="58">
        <f>IF($B96="","",IF(AND(N($I96)&gt;=TODAY(),$I96&lt;&gt;""),"Cita agendada",IF($H96="","Sin consultas",IF(TODAY()-$H96&gt;DiasControl,"Control pendiente","Al día"))))</f>
        <v/>
      </c>
    </row>
    <row r="97">
      <c r="B97" s="53" t="n"/>
      <c r="C97" s="54" t="n"/>
      <c r="D97" s="54" t="n"/>
      <c r="E97" s="55" t="n"/>
      <c r="F97" s="56">
        <f>IF(OR($B97="",N($E97)=0),"",INT((TODAY()-$E97)/365.25))</f>
        <v/>
      </c>
      <c r="G97" s="53" t="n"/>
      <c r="H97" s="57">
        <f>IF($B97="","",IF(COUNTIF(CONSULTAS!$C$7:$C$506,$B97)=0,"",SUMPRODUCT(MAX((CONSULTAS!$C$7:$C$506=$B97)*CONSULTAS!$B$7:$B$506))))</f>
        <v/>
      </c>
      <c r="I97" s="55" t="n"/>
      <c r="J97" s="58">
        <f>IF($B97="","",IF(AND(N($I97)&gt;=TODAY(),$I97&lt;&gt;""),"Cita agendada",IF($H97="","Sin consultas",IF(TODAY()-$H97&gt;DiasControl,"Control pendiente","Al día"))))</f>
        <v/>
      </c>
    </row>
    <row r="98">
      <c r="B98" s="53" t="n"/>
      <c r="C98" s="54" t="n"/>
      <c r="D98" s="54" t="n"/>
      <c r="E98" s="55" t="n"/>
      <c r="F98" s="56">
        <f>IF(OR($B98="",N($E98)=0),"",INT((TODAY()-$E98)/365.25))</f>
        <v/>
      </c>
      <c r="G98" s="53" t="n"/>
      <c r="H98" s="57">
        <f>IF($B98="","",IF(COUNTIF(CONSULTAS!$C$7:$C$506,$B98)=0,"",SUMPRODUCT(MAX((CONSULTAS!$C$7:$C$506=$B98)*CONSULTAS!$B$7:$B$506))))</f>
        <v/>
      </c>
      <c r="I98" s="55" t="n"/>
      <c r="J98" s="58">
        <f>IF($B98="","",IF(AND(N($I98)&gt;=TODAY(),$I98&lt;&gt;""),"Cita agendada",IF($H98="","Sin consultas",IF(TODAY()-$H98&gt;DiasControl,"Control pendiente","Al día"))))</f>
        <v/>
      </c>
    </row>
    <row r="99">
      <c r="B99" s="53" t="n"/>
      <c r="C99" s="54" t="n"/>
      <c r="D99" s="54" t="n"/>
      <c r="E99" s="55" t="n"/>
      <c r="F99" s="56">
        <f>IF(OR($B99="",N($E99)=0),"",INT((TODAY()-$E99)/365.25))</f>
        <v/>
      </c>
      <c r="G99" s="53" t="n"/>
      <c r="H99" s="57">
        <f>IF($B99="","",IF(COUNTIF(CONSULTAS!$C$7:$C$506,$B99)=0,"",SUMPRODUCT(MAX((CONSULTAS!$C$7:$C$506=$B99)*CONSULTAS!$B$7:$B$506))))</f>
        <v/>
      </c>
      <c r="I99" s="55" t="n"/>
      <c r="J99" s="58">
        <f>IF($B99="","",IF(AND(N($I99)&gt;=TODAY(),$I99&lt;&gt;""),"Cita agendada",IF($H99="","Sin consultas",IF(TODAY()-$H99&gt;DiasControl,"Control pendiente","Al día"))))</f>
        <v/>
      </c>
    </row>
    <row r="100">
      <c r="B100" s="53" t="n"/>
      <c r="C100" s="54" t="n"/>
      <c r="D100" s="54" t="n"/>
      <c r="E100" s="55" t="n"/>
      <c r="F100" s="56">
        <f>IF(OR($B100="",N($E100)=0),"",INT((TODAY()-$E100)/365.25))</f>
        <v/>
      </c>
      <c r="G100" s="53" t="n"/>
      <c r="H100" s="57">
        <f>IF($B100="","",IF(COUNTIF(CONSULTAS!$C$7:$C$506,$B100)=0,"",SUMPRODUCT(MAX((CONSULTAS!$C$7:$C$506=$B100)*CONSULTAS!$B$7:$B$506))))</f>
        <v/>
      </c>
      <c r="I100" s="55" t="n"/>
      <c r="J100" s="58">
        <f>IF($B100="","",IF(AND(N($I100)&gt;=TODAY(),$I100&lt;&gt;""),"Cita agendada",IF($H100="","Sin consultas",IF(TODAY()-$H100&gt;DiasControl,"Control pendiente","Al día"))))</f>
        <v/>
      </c>
    </row>
    <row r="101">
      <c r="B101" s="53" t="n"/>
      <c r="C101" s="54" t="n"/>
      <c r="D101" s="54" t="n"/>
      <c r="E101" s="55" t="n"/>
      <c r="F101" s="56">
        <f>IF(OR($B101="",N($E101)=0),"",INT((TODAY()-$E101)/365.25))</f>
        <v/>
      </c>
      <c r="G101" s="53" t="n"/>
      <c r="H101" s="57">
        <f>IF($B101="","",IF(COUNTIF(CONSULTAS!$C$7:$C$506,$B101)=0,"",SUMPRODUCT(MAX((CONSULTAS!$C$7:$C$506=$B101)*CONSULTAS!$B$7:$B$506))))</f>
        <v/>
      </c>
      <c r="I101" s="55" t="n"/>
      <c r="J101" s="58">
        <f>IF($B101="","",IF(AND(N($I101)&gt;=TODAY(),$I101&lt;&gt;""),"Cita agendada",IF($H101="","Sin consultas",IF(TODAY()-$H101&gt;DiasControl,"Control pendiente","Al día"))))</f>
        <v/>
      </c>
    </row>
    <row r="102">
      <c r="B102" s="53" t="n"/>
      <c r="C102" s="54" t="n"/>
      <c r="D102" s="54" t="n"/>
      <c r="E102" s="55" t="n"/>
      <c r="F102" s="56">
        <f>IF(OR($B102="",N($E102)=0),"",INT((TODAY()-$E102)/365.25))</f>
        <v/>
      </c>
      <c r="G102" s="53" t="n"/>
      <c r="H102" s="57">
        <f>IF($B102="","",IF(COUNTIF(CONSULTAS!$C$7:$C$506,$B102)=0,"",SUMPRODUCT(MAX((CONSULTAS!$C$7:$C$506=$B102)*CONSULTAS!$B$7:$B$506))))</f>
        <v/>
      </c>
      <c r="I102" s="55" t="n"/>
      <c r="J102" s="58">
        <f>IF($B102="","",IF(AND(N($I102)&gt;=TODAY(),$I102&lt;&gt;""),"Cita agendada",IF($H102="","Sin consultas",IF(TODAY()-$H102&gt;DiasControl,"Control pendiente","Al día"))))</f>
        <v/>
      </c>
    </row>
    <row r="103">
      <c r="B103" s="53" t="n"/>
      <c r="C103" s="54" t="n"/>
      <c r="D103" s="54" t="n"/>
      <c r="E103" s="55" t="n"/>
      <c r="F103" s="56">
        <f>IF(OR($B103="",N($E103)=0),"",INT((TODAY()-$E103)/365.25))</f>
        <v/>
      </c>
      <c r="G103" s="53" t="n"/>
      <c r="H103" s="57">
        <f>IF($B103="","",IF(COUNTIF(CONSULTAS!$C$7:$C$506,$B103)=0,"",SUMPRODUCT(MAX((CONSULTAS!$C$7:$C$506=$B103)*CONSULTAS!$B$7:$B$506))))</f>
        <v/>
      </c>
      <c r="I103" s="55" t="n"/>
      <c r="J103" s="58">
        <f>IF($B103="","",IF(AND(N($I103)&gt;=TODAY(),$I103&lt;&gt;""),"Cita agendada",IF($H103="","Sin consultas",IF(TODAY()-$H103&gt;DiasControl,"Control pendiente","Al día"))))</f>
        <v/>
      </c>
    </row>
    <row r="104">
      <c r="B104" s="53" t="n"/>
      <c r="C104" s="54" t="n"/>
      <c r="D104" s="54" t="n"/>
      <c r="E104" s="55" t="n"/>
      <c r="F104" s="56">
        <f>IF(OR($B104="",N($E104)=0),"",INT((TODAY()-$E104)/365.25))</f>
        <v/>
      </c>
      <c r="G104" s="53" t="n"/>
      <c r="H104" s="57">
        <f>IF($B104="","",IF(COUNTIF(CONSULTAS!$C$7:$C$506,$B104)=0,"",SUMPRODUCT(MAX((CONSULTAS!$C$7:$C$506=$B104)*CONSULTAS!$B$7:$B$506))))</f>
        <v/>
      </c>
      <c r="I104" s="55" t="n"/>
      <c r="J104" s="58">
        <f>IF($B104="","",IF(AND(N($I104)&gt;=TODAY(),$I104&lt;&gt;""),"Cita agendada",IF($H104="","Sin consultas",IF(TODAY()-$H104&gt;DiasControl,"Control pendiente","Al día"))))</f>
        <v/>
      </c>
    </row>
    <row r="105">
      <c r="B105" s="53" t="n"/>
      <c r="C105" s="54" t="n"/>
      <c r="D105" s="54" t="n"/>
      <c r="E105" s="55" t="n"/>
      <c r="F105" s="56">
        <f>IF(OR($B105="",N($E105)=0),"",INT((TODAY()-$E105)/365.25))</f>
        <v/>
      </c>
      <c r="G105" s="53" t="n"/>
      <c r="H105" s="57">
        <f>IF($B105="","",IF(COUNTIF(CONSULTAS!$C$7:$C$506,$B105)=0,"",SUMPRODUCT(MAX((CONSULTAS!$C$7:$C$506=$B105)*CONSULTAS!$B$7:$B$506))))</f>
        <v/>
      </c>
      <c r="I105" s="55" t="n"/>
      <c r="J105" s="58">
        <f>IF($B105="","",IF(AND(N($I105)&gt;=TODAY(),$I105&lt;&gt;""),"Cita agendada",IF($H105="","Sin consultas",IF(TODAY()-$H105&gt;DiasControl,"Control pendiente","Al día"))))</f>
        <v/>
      </c>
    </row>
    <row r="106">
      <c r="B106" s="53" t="n"/>
      <c r="C106" s="54" t="n"/>
      <c r="D106" s="54" t="n"/>
      <c r="E106" s="55" t="n"/>
      <c r="F106" s="56">
        <f>IF(OR($B106="",N($E106)=0),"",INT((TODAY()-$E106)/365.25))</f>
        <v/>
      </c>
      <c r="G106" s="53" t="n"/>
      <c r="H106" s="57">
        <f>IF($B106="","",IF(COUNTIF(CONSULTAS!$C$7:$C$506,$B106)=0,"",SUMPRODUCT(MAX((CONSULTAS!$C$7:$C$506=$B106)*CONSULTAS!$B$7:$B$506))))</f>
        <v/>
      </c>
      <c r="I106" s="55" t="n"/>
      <c r="J106" s="58">
        <f>IF($B106="","",IF(AND(N($I106)&gt;=TODAY(),$I106&lt;&gt;""),"Cita agendada",IF($H106="","Sin consultas",IF(TODAY()-$H106&gt;DiasControl,"Control pendiente","Al día"))))</f>
        <v/>
      </c>
    </row>
    <row r="107">
      <c r="B107" s="53" t="n"/>
      <c r="C107" s="54" t="n"/>
      <c r="D107" s="54" t="n"/>
      <c r="E107" s="55" t="n"/>
      <c r="F107" s="56">
        <f>IF(OR($B107="",N($E107)=0),"",INT((TODAY()-$E107)/365.25))</f>
        <v/>
      </c>
      <c r="G107" s="53" t="n"/>
      <c r="H107" s="57">
        <f>IF($B107="","",IF(COUNTIF(CONSULTAS!$C$7:$C$506,$B107)=0,"",SUMPRODUCT(MAX((CONSULTAS!$C$7:$C$506=$B107)*CONSULTAS!$B$7:$B$506))))</f>
        <v/>
      </c>
      <c r="I107" s="55" t="n"/>
      <c r="J107" s="58">
        <f>IF($B107="","",IF(AND(N($I107)&gt;=TODAY(),$I107&lt;&gt;""),"Cita agendada",IF($H107="","Sin consultas",IF(TODAY()-$H107&gt;DiasControl,"Control pendiente","Al día"))))</f>
        <v/>
      </c>
    </row>
    <row r="108">
      <c r="B108" s="53" t="n"/>
      <c r="C108" s="54" t="n"/>
      <c r="D108" s="54" t="n"/>
      <c r="E108" s="55" t="n"/>
      <c r="F108" s="56">
        <f>IF(OR($B108="",N($E108)=0),"",INT((TODAY()-$E108)/365.25))</f>
        <v/>
      </c>
      <c r="G108" s="53" t="n"/>
      <c r="H108" s="57">
        <f>IF($B108="","",IF(COUNTIF(CONSULTAS!$C$7:$C$506,$B108)=0,"",SUMPRODUCT(MAX((CONSULTAS!$C$7:$C$506=$B108)*CONSULTAS!$B$7:$B$506))))</f>
        <v/>
      </c>
      <c r="I108" s="55" t="n"/>
      <c r="J108" s="58">
        <f>IF($B108="","",IF(AND(N($I108)&gt;=TODAY(),$I108&lt;&gt;""),"Cita agendada",IF($H108="","Sin consultas",IF(TODAY()-$H108&gt;DiasControl,"Control pendiente","Al día"))))</f>
        <v/>
      </c>
    </row>
    <row r="109">
      <c r="B109" s="53" t="n"/>
      <c r="C109" s="54" t="n"/>
      <c r="D109" s="54" t="n"/>
      <c r="E109" s="55" t="n"/>
      <c r="F109" s="56">
        <f>IF(OR($B109="",N($E109)=0),"",INT((TODAY()-$E109)/365.25))</f>
        <v/>
      </c>
      <c r="G109" s="53" t="n"/>
      <c r="H109" s="57">
        <f>IF($B109="","",IF(COUNTIF(CONSULTAS!$C$7:$C$506,$B109)=0,"",SUMPRODUCT(MAX((CONSULTAS!$C$7:$C$506=$B109)*CONSULTAS!$B$7:$B$506))))</f>
        <v/>
      </c>
      <c r="I109" s="55" t="n"/>
      <c r="J109" s="58">
        <f>IF($B109="","",IF(AND(N($I109)&gt;=TODAY(),$I109&lt;&gt;""),"Cita agendada",IF($H109="","Sin consultas",IF(TODAY()-$H109&gt;DiasControl,"Control pendiente","Al día"))))</f>
        <v/>
      </c>
    </row>
    <row r="110">
      <c r="B110" s="53" t="n"/>
      <c r="C110" s="54" t="n"/>
      <c r="D110" s="54" t="n"/>
      <c r="E110" s="55" t="n"/>
      <c r="F110" s="56">
        <f>IF(OR($B110="",N($E110)=0),"",INT((TODAY()-$E110)/365.25))</f>
        <v/>
      </c>
      <c r="G110" s="53" t="n"/>
      <c r="H110" s="57">
        <f>IF($B110="","",IF(COUNTIF(CONSULTAS!$C$7:$C$506,$B110)=0,"",SUMPRODUCT(MAX((CONSULTAS!$C$7:$C$506=$B110)*CONSULTAS!$B$7:$B$506))))</f>
        <v/>
      </c>
      <c r="I110" s="55" t="n"/>
      <c r="J110" s="58">
        <f>IF($B110="","",IF(AND(N($I110)&gt;=TODAY(),$I110&lt;&gt;""),"Cita agendada",IF($H110="","Sin consultas",IF(TODAY()-$H110&gt;DiasControl,"Control pendiente","Al día"))))</f>
        <v/>
      </c>
    </row>
    <row r="111">
      <c r="B111" s="53" t="n"/>
      <c r="C111" s="54" t="n"/>
      <c r="D111" s="54" t="n"/>
      <c r="E111" s="55" t="n"/>
      <c r="F111" s="56">
        <f>IF(OR($B111="",N($E111)=0),"",INT((TODAY()-$E111)/365.25))</f>
        <v/>
      </c>
      <c r="G111" s="53" t="n"/>
      <c r="H111" s="57">
        <f>IF($B111="","",IF(COUNTIF(CONSULTAS!$C$7:$C$506,$B111)=0,"",SUMPRODUCT(MAX((CONSULTAS!$C$7:$C$506=$B111)*CONSULTAS!$B$7:$B$506))))</f>
        <v/>
      </c>
      <c r="I111" s="55" t="n"/>
      <c r="J111" s="58">
        <f>IF($B111="","",IF(AND(N($I111)&gt;=TODAY(),$I111&lt;&gt;""),"Cita agendada",IF($H111="","Sin consultas",IF(TODAY()-$H111&gt;DiasControl,"Control pendiente","Al día"))))</f>
        <v/>
      </c>
    </row>
    <row r="112">
      <c r="B112" s="53" t="n"/>
      <c r="C112" s="54" t="n"/>
      <c r="D112" s="54" t="n"/>
      <c r="E112" s="55" t="n"/>
      <c r="F112" s="56">
        <f>IF(OR($B112="",N($E112)=0),"",INT((TODAY()-$E112)/365.25))</f>
        <v/>
      </c>
      <c r="G112" s="53" t="n"/>
      <c r="H112" s="57">
        <f>IF($B112="","",IF(COUNTIF(CONSULTAS!$C$7:$C$506,$B112)=0,"",SUMPRODUCT(MAX((CONSULTAS!$C$7:$C$506=$B112)*CONSULTAS!$B$7:$B$506))))</f>
        <v/>
      </c>
      <c r="I112" s="55" t="n"/>
      <c r="J112" s="58">
        <f>IF($B112="","",IF(AND(N($I112)&gt;=TODAY(),$I112&lt;&gt;""),"Cita agendada",IF($H112="","Sin consultas",IF(TODAY()-$H112&gt;DiasControl,"Control pendiente","Al día"))))</f>
        <v/>
      </c>
    </row>
    <row r="113">
      <c r="B113" s="53" t="n"/>
      <c r="C113" s="54" t="n"/>
      <c r="D113" s="54" t="n"/>
      <c r="E113" s="55" t="n"/>
      <c r="F113" s="56">
        <f>IF(OR($B113="",N($E113)=0),"",INT((TODAY()-$E113)/365.25))</f>
        <v/>
      </c>
      <c r="G113" s="53" t="n"/>
      <c r="H113" s="57">
        <f>IF($B113="","",IF(COUNTIF(CONSULTAS!$C$7:$C$506,$B113)=0,"",SUMPRODUCT(MAX((CONSULTAS!$C$7:$C$506=$B113)*CONSULTAS!$B$7:$B$506))))</f>
        <v/>
      </c>
      <c r="I113" s="55" t="n"/>
      <c r="J113" s="58">
        <f>IF($B113="","",IF(AND(N($I113)&gt;=TODAY(),$I113&lt;&gt;""),"Cita agendada",IF($H113="","Sin consultas",IF(TODAY()-$H113&gt;DiasControl,"Control pendiente","Al día"))))</f>
        <v/>
      </c>
    </row>
    <row r="114">
      <c r="B114" s="53" t="n"/>
      <c r="C114" s="54" t="n"/>
      <c r="D114" s="54" t="n"/>
      <c r="E114" s="55" t="n"/>
      <c r="F114" s="56">
        <f>IF(OR($B114="",N($E114)=0),"",INT((TODAY()-$E114)/365.25))</f>
        <v/>
      </c>
      <c r="G114" s="53" t="n"/>
      <c r="H114" s="57">
        <f>IF($B114="","",IF(COUNTIF(CONSULTAS!$C$7:$C$506,$B114)=0,"",SUMPRODUCT(MAX((CONSULTAS!$C$7:$C$506=$B114)*CONSULTAS!$B$7:$B$506))))</f>
        <v/>
      </c>
      <c r="I114" s="55" t="n"/>
      <c r="J114" s="58">
        <f>IF($B114="","",IF(AND(N($I114)&gt;=TODAY(),$I114&lt;&gt;""),"Cita agendada",IF($H114="","Sin consultas",IF(TODAY()-$H114&gt;DiasControl,"Control pendiente","Al día"))))</f>
        <v/>
      </c>
    </row>
    <row r="115">
      <c r="B115" s="53" t="n"/>
      <c r="C115" s="54" t="n"/>
      <c r="D115" s="54" t="n"/>
      <c r="E115" s="55" t="n"/>
      <c r="F115" s="56">
        <f>IF(OR($B115="",N($E115)=0),"",INT((TODAY()-$E115)/365.25))</f>
        <v/>
      </c>
      <c r="G115" s="53" t="n"/>
      <c r="H115" s="57">
        <f>IF($B115="","",IF(COUNTIF(CONSULTAS!$C$7:$C$506,$B115)=0,"",SUMPRODUCT(MAX((CONSULTAS!$C$7:$C$506=$B115)*CONSULTAS!$B$7:$B$506))))</f>
        <v/>
      </c>
      <c r="I115" s="55" t="n"/>
      <c r="J115" s="58">
        <f>IF($B115="","",IF(AND(N($I115)&gt;=TODAY(),$I115&lt;&gt;""),"Cita agendada",IF($H115="","Sin consultas",IF(TODAY()-$H115&gt;DiasControl,"Control pendiente","Al día"))))</f>
        <v/>
      </c>
    </row>
    <row r="116">
      <c r="B116" s="53" t="n"/>
      <c r="C116" s="54" t="n"/>
      <c r="D116" s="54" t="n"/>
      <c r="E116" s="55" t="n"/>
      <c r="F116" s="56">
        <f>IF(OR($B116="",N($E116)=0),"",INT((TODAY()-$E116)/365.25))</f>
        <v/>
      </c>
      <c r="G116" s="53" t="n"/>
      <c r="H116" s="57">
        <f>IF($B116="","",IF(COUNTIF(CONSULTAS!$C$7:$C$506,$B116)=0,"",SUMPRODUCT(MAX((CONSULTAS!$C$7:$C$506=$B116)*CONSULTAS!$B$7:$B$506))))</f>
        <v/>
      </c>
      <c r="I116" s="55" t="n"/>
      <c r="J116" s="58">
        <f>IF($B116="","",IF(AND(N($I116)&gt;=TODAY(),$I116&lt;&gt;""),"Cita agendada",IF($H116="","Sin consultas",IF(TODAY()-$H116&gt;DiasControl,"Control pendiente","Al día"))))</f>
        <v/>
      </c>
    </row>
    <row r="117">
      <c r="B117" s="53" t="n"/>
      <c r="C117" s="54" t="n"/>
      <c r="D117" s="54" t="n"/>
      <c r="E117" s="55" t="n"/>
      <c r="F117" s="56">
        <f>IF(OR($B117="",N($E117)=0),"",INT((TODAY()-$E117)/365.25))</f>
        <v/>
      </c>
      <c r="G117" s="53" t="n"/>
      <c r="H117" s="57">
        <f>IF($B117="","",IF(COUNTIF(CONSULTAS!$C$7:$C$506,$B117)=0,"",SUMPRODUCT(MAX((CONSULTAS!$C$7:$C$506=$B117)*CONSULTAS!$B$7:$B$506))))</f>
        <v/>
      </c>
      <c r="I117" s="55" t="n"/>
      <c r="J117" s="58">
        <f>IF($B117="","",IF(AND(N($I117)&gt;=TODAY(),$I117&lt;&gt;""),"Cita agendada",IF($H117="","Sin consultas",IF(TODAY()-$H117&gt;DiasControl,"Control pendiente","Al día"))))</f>
        <v/>
      </c>
    </row>
    <row r="118">
      <c r="B118" s="53" t="n"/>
      <c r="C118" s="54" t="n"/>
      <c r="D118" s="54" t="n"/>
      <c r="E118" s="55" t="n"/>
      <c r="F118" s="56">
        <f>IF(OR($B118="",N($E118)=0),"",INT((TODAY()-$E118)/365.25))</f>
        <v/>
      </c>
      <c r="G118" s="53" t="n"/>
      <c r="H118" s="57">
        <f>IF($B118="","",IF(COUNTIF(CONSULTAS!$C$7:$C$506,$B118)=0,"",SUMPRODUCT(MAX((CONSULTAS!$C$7:$C$506=$B118)*CONSULTAS!$B$7:$B$506))))</f>
        <v/>
      </c>
      <c r="I118" s="55" t="n"/>
      <c r="J118" s="58">
        <f>IF($B118="","",IF(AND(N($I118)&gt;=TODAY(),$I118&lt;&gt;""),"Cita agendada",IF($H118="","Sin consultas",IF(TODAY()-$H118&gt;DiasControl,"Control pendiente","Al día"))))</f>
        <v/>
      </c>
    </row>
    <row r="119">
      <c r="B119" s="53" t="n"/>
      <c r="C119" s="54" t="n"/>
      <c r="D119" s="54" t="n"/>
      <c r="E119" s="55" t="n"/>
      <c r="F119" s="56">
        <f>IF(OR($B119="",N($E119)=0),"",INT((TODAY()-$E119)/365.25))</f>
        <v/>
      </c>
      <c r="G119" s="53" t="n"/>
      <c r="H119" s="57">
        <f>IF($B119="","",IF(COUNTIF(CONSULTAS!$C$7:$C$506,$B119)=0,"",SUMPRODUCT(MAX((CONSULTAS!$C$7:$C$506=$B119)*CONSULTAS!$B$7:$B$506))))</f>
        <v/>
      </c>
      <c r="I119" s="55" t="n"/>
      <c r="J119" s="58">
        <f>IF($B119="","",IF(AND(N($I119)&gt;=TODAY(),$I119&lt;&gt;""),"Cita agendada",IF($H119="","Sin consultas",IF(TODAY()-$H119&gt;DiasControl,"Control pendiente","Al día"))))</f>
        <v/>
      </c>
    </row>
    <row r="120">
      <c r="B120" s="53" t="n"/>
      <c r="C120" s="54" t="n"/>
      <c r="D120" s="54" t="n"/>
      <c r="E120" s="55" t="n"/>
      <c r="F120" s="56">
        <f>IF(OR($B120="",N($E120)=0),"",INT((TODAY()-$E120)/365.25))</f>
        <v/>
      </c>
      <c r="G120" s="53" t="n"/>
      <c r="H120" s="57">
        <f>IF($B120="","",IF(COUNTIF(CONSULTAS!$C$7:$C$506,$B120)=0,"",SUMPRODUCT(MAX((CONSULTAS!$C$7:$C$506=$B120)*CONSULTAS!$B$7:$B$506))))</f>
        <v/>
      </c>
      <c r="I120" s="55" t="n"/>
      <c r="J120" s="58">
        <f>IF($B120="","",IF(AND(N($I120)&gt;=TODAY(),$I120&lt;&gt;""),"Cita agendada",IF($H120="","Sin consultas",IF(TODAY()-$H120&gt;DiasControl,"Control pendiente","Al día"))))</f>
        <v/>
      </c>
    </row>
    <row r="121">
      <c r="B121" s="53" t="n"/>
      <c r="C121" s="54" t="n"/>
      <c r="D121" s="54" t="n"/>
      <c r="E121" s="55" t="n"/>
      <c r="F121" s="56">
        <f>IF(OR($B121="",N($E121)=0),"",INT((TODAY()-$E121)/365.25))</f>
        <v/>
      </c>
      <c r="G121" s="53" t="n"/>
      <c r="H121" s="57">
        <f>IF($B121="","",IF(COUNTIF(CONSULTAS!$C$7:$C$506,$B121)=0,"",SUMPRODUCT(MAX((CONSULTAS!$C$7:$C$506=$B121)*CONSULTAS!$B$7:$B$506))))</f>
        <v/>
      </c>
      <c r="I121" s="55" t="n"/>
      <c r="J121" s="58">
        <f>IF($B121="","",IF(AND(N($I121)&gt;=TODAY(),$I121&lt;&gt;""),"Cita agendada",IF($H121="","Sin consultas",IF(TODAY()-$H121&gt;DiasControl,"Control pendiente","Al día"))))</f>
        <v/>
      </c>
    </row>
    <row r="122">
      <c r="B122" s="53" t="n"/>
      <c r="C122" s="54" t="n"/>
      <c r="D122" s="54" t="n"/>
      <c r="E122" s="55" t="n"/>
      <c r="F122" s="56">
        <f>IF(OR($B122="",N($E122)=0),"",INT((TODAY()-$E122)/365.25))</f>
        <v/>
      </c>
      <c r="G122" s="53" t="n"/>
      <c r="H122" s="57">
        <f>IF($B122="","",IF(COUNTIF(CONSULTAS!$C$7:$C$506,$B122)=0,"",SUMPRODUCT(MAX((CONSULTAS!$C$7:$C$506=$B122)*CONSULTAS!$B$7:$B$506))))</f>
        <v/>
      </c>
      <c r="I122" s="55" t="n"/>
      <c r="J122" s="58">
        <f>IF($B122="","",IF(AND(N($I122)&gt;=TODAY(),$I122&lt;&gt;""),"Cita agendada",IF($H122="","Sin consultas",IF(TODAY()-$H122&gt;DiasControl,"Control pendiente","Al día"))))</f>
        <v/>
      </c>
    </row>
    <row r="123">
      <c r="B123" s="53" t="n"/>
      <c r="C123" s="54" t="n"/>
      <c r="D123" s="54" t="n"/>
      <c r="E123" s="55" t="n"/>
      <c r="F123" s="56">
        <f>IF(OR($B123="",N($E123)=0),"",INT((TODAY()-$E123)/365.25))</f>
        <v/>
      </c>
      <c r="G123" s="53" t="n"/>
      <c r="H123" s="57">
        <f>IF($B123="","",IF(COUNTIF(CONSULTAS!$C$7:$C$506,$B123)=0,"",SUMPRODUCT(MAX((CONSULTAS!$C$7:$C$506=$B123)*CONSULTAS!$B$7:$B$506))))</f>
        <v/>
      </c>
      <c r="I123" s="55" t="n"/>
      <c r="J123" s="58">
        <f>IF($B123="","",IF(AND(N($I123)&gt;=TODAY(),$I123&lt;&gt;""),"Cita agendada",IF($H123="","Sin consultas",IF(TODAY()-$H123&gt;DiasControl,"Control pendiente","Al día"))))</f>
        <v/>
      </c>
    </row>
    <row r="124">
      <c r="B124" s="53" t="n"/>
      <c r="C124" s="54" t="n"/>
      <c r="D124" s="54" t="n"/>
      <c r="E124" s="55" t="n"/>
      <c r="F124" s="56">
        <f>IF(OR($B124="",N($E124)=0),"",INT((TODAY()-$E124)/365.25))</f>
        <v/>
      </c>
      <c r="G124" s="53" t="n"/>
      <c r="H124" s="57">
        <f>IF($B124="","",IF(COUNTIF(CONSULTAS!$C$7:$C$506,$B124)=0,"",SUMPRODUCT(MAX((CONSULTAS!$C$7:$C$506=$B124)*CONSULTAS!$B$7:$B$506))))</f>
        <v/>
      </c>
      <c r="I124" s="55" t="n"/>
      <c r="J124" s="58">
        <f>IF($B124="","",IF(AND(N($I124)&gt;=TODAY(),$I124&lt;&gt;""),"Cita agendada",IF($H124="","Sin consultas",IF(TODAY()-$H124&gt;DiasControl,"Control pendiente","Al día"))))</f>
        <v/>
      </c>
    </row>
    <row r="125">
      <c r="B125" s="53" t="n"/>
      <c r="C125" s="54" t="n"/>
      <c r="D125" s="54" t="n"/>
      <c r="E125" s="55" t="n"/>
      <c r="F125" s="56">
        <f>IF(OR($B125="",N($E125)=0),"",INT((TODAY()-$E125)/365.25))</f>
        <v/>
      </c>
      <c r="G125" s="53" t="n"/>
      <c r="H125" s="57">
        <f>IF($B125="","",IF(COUNTIF(CONSULTAS!$C$7:$C$506,$B125)=0,"",SUMPRODUCT(MAX((CONSULTAS!$C$7:$C$506=$B125)*CONSULTAS!$B$7:$B$506))))</f>
        <v/>
      </c>
      <c r="I125" s="55" t="n"/>
      <c r="J125" s="58">
        <f>IF($B125="","",IF(AND(N($I125)&gt;=TODAY(),$I125&lt;&gt;""),"Cita agendada",IF($H125="","Sin consultas",IF(TODAY()-$H125&gt;DiasControl,"Control pendiente","Al día"))))</f>
        <v/>
      </c>
    </row>
    <row r="126">
      <c r="B126" s="53" t="n"/>
      <c r="C126" s="54" t="n"/>
      <c r="D126" s="54" t="n"/>
      <c r="E126" s="55" t="n"/>
      <c r="F126" s="56">
        <f>IF(OR($B126="",N($E126)=0),"",INT((TODAY()-$E126)/365.25))</f>
        <v/>
      </c>
      <c r="G126" s="53" t="n"/>
      <c r="H126" s="57">
        <f>IF($B126="","",IF(COUNTIF(CONSULTAS!$C$7:$C$506,$B126)=0,"",SUMPRODUCT(MAX((CONSULTAS!$C$7:$C$506=$B126)*CONSULTAS!$B$7:$B$506))))</f>
        <v/>
      </c>
      <c r="I126" s="55" t="n"/>
      <c r="J126" s="58">
        <f>IF($B126="","",IF(AND(N($I126)&gt;=TODAY(),$I126&lt;&gt;""),"Cita agendada",IF($H126="","Sin consultas",IF(TODAY()-$H126&gt;DiasControl,"Control pendiente","Al día"))))</f>
        <v/>
      </c>
    </row>
    <row r="127">
      <c r="B127" s="53" t="n"/>
      <c r="C127" s="54" t="n"/>
      <c r="D127" s="54" t="n"/>
      <c r="E127" s="55" t="n"/>
      <c r="F127" s="56">
        <f>IF(OR($B127="",N($E127)=0),"",INT((TODAY()-$E127)/365.25))</f>
        <v/>
      </c>
      <c r="G127" s="53" t="n"/>
      <c r="H127" s="57">
        <f>IF($B127="","",IF(COUNTIF(CONSULTAS!$C$7:$C$506,$B127)=0,"",SUMPRODUCT(MAX((CONSULTAS!$C$7:$C$506=$B127)*CONSULTAS!$B$7:$B$506))))</f>
        <v/>
      </c>
      <c r="I127" s="55" t="n"/>
      <c r="J127" s="58">
        <f>IF($B127="","",IF(AND(N($I127)&gt;=TODAY(),$I127&lt;&gt;""),"Cita agendada",IF($H127="","Sin consultas",IF(TODAY()-$H127&gt;DiasControl,"Control pendiente","Al día"))))</f>
        <v/>
      </c>
    </row>
    <row r="128">
      <c r="B128" s="53" t="n"/>
      <c r="C128" s="54" t="n"/>
      <c r="D128" s="54" t="n"/>
      <c r="E128" s="55" t="n"/>
      <c r="F128" s="56">
        <f>IF(OR($B128="",N($E128)=0),"",INT((TODAY()-$E128)/365.25))</f>
        <v/>
      </c>
      <c r="G128" s="53" t="n"/>
      <c r="H128" s="57">
        <f>IF($B128="","",IF(COUNTIF(CONSULTAS!$C$7:$C$506,$B128)=0,"",SUMPRODUCT(MAX((CONSULTAS!$C$7:$C$506=$B128)*CONSULTAS!$B$7:$B$506))))</f>
        <v/>
      </c>
      <c r="I128" s="55" t="n"/>
      <c r="J128" s="58">
        <f>IF($B128="","",IF(AND(N($I128)&gt;=TODAY(),$I128&lt;&gt;""),"Cita agendada",IF($H128="","Sin consultas",IF(TODAY()-$H128&gt;DiasControl,"Control pendiente","Al día"))))</f>
        <v/>
      </c>
    </row>
    <row r="129">
      <c r="B129" s="53" t="n"/>
      <c r="C129" s="54" t="n"/>
      <c r="D129" s="54" t="n"/>
      <c r="E129" s="55" t="n"/>
      <c r="F129" s="56">
        <f>IF(OR($B129="",N($E129)=0),"",INT((TODAY()-$E129)/365.25))</f>
        <v/>
      </c>
      <c r="G129" s="53" t="n"/>
      <c r="H129" s="57">
        <f>IF($B129="","",IF(COUNTIF(CONSULTAS!$C$7:$C$506,$B129)=0,"",SUMPRODUCT(MAX((CONSULTAS!$C$7:$C$506=$B129)*CONSULTAS!$B$7:$B$506))))</f>
        <v/>
      </c>
      <c r="I129" s="55" t="n"/>
      <c r="J129" s="58">
        <f>IF($B129="","",IF(AND(N($I129)&gt;=TODAY(),$I129&lt;&gt;""),"Cita agendada",IF($H129="","Sin consultas",IF(TODAY()-$H129&gt;DiasControl,"Control pendiente","Al día"))))</f>
        <v/>
      </c>
    </row>
    <row r="130">
      <c r="B130" s="53" t="n"/>
      <c r="C130" s="54" t="n"/>
      <c r="D130" s="54" t="n"/>
      <c r="E130" s="55" t="n"/>
      <c r="F130" s="56">
        <f>IF(OR($B130="",N($E130)=0),"",INT((TODAY()-$E130)/365.25))</f>
        <v/>
      </c>
      <c r="G130" s="53" t="n"/>
      <c r="H130" s="57">
        <f>IF($B130="","",IF(COUNTIF(CONSULTAS!$C$7:$C$506,$B130)=0,"",SUMPRODUCT(MAX((CONSULTAS!$C$7:$C$506=$B130)*CONSULTAS!$B$7:$B$506))))</f>
        <v/>
      </c>
      <c r="I130" s="55" t="n"/>
      <c r="J130" s="58">
        <f>IF($B130="","",IF(AND(N($I130)&gt;=TODAY(),$I130&lt;&gt;""),"Cita agendada",IF($H130="","Sin consultas",IF(TODAY()-$H130&gt;DiasControl,"Control pendiente","Al día"))))</f>
        <v/>
      </c>
    </row>
    <row r="131">
      <c r="B131" s="53" t="n"/>
      <c r="C131" s="54" t="n"/>
      <c r="D131" s="54" t="n"/>
      <c r="E131" s="55" t="n"/>
      <c r="F131" s="56">
        <f>IF(OR($B131="",N($E131)=0),"",INT((TODAY()-$E131)/365.25))</f>
        <v/>
      </c>
      <c r="G131" s="53" t="n"/>
      <c r="H131" s="57">
        <f>IF($B131="","",IF(COUNTIF(CONSULTAS!$C$7:$C$506,$B131)=0,"",SUMPRODUCT(MAX((CONSULTAS!$C$7:$C$506=$B131)*CONSULTAS!$B$7:$B$506))))</f>
        <v/>
      </c>
      <c r="I131" s="55" t="n"/>
      <c r="J131" s="58">
        <f>IF($B131="","",IF(AND(N($I131)&gt;=TODAY(),$I131&lt;&gt;""),"Cita agendada",IF($H131="","Sin consultas",IF(TODAY()-$H131&gt;DiasControl,"Control pendiente","Al día"))))</f>
        <v/>
      </c>
    </row>
    <row r="132">
      <c r="B132" s="53" t="n"/>
      <c r="C132" s="54" t="n"/>
      <c r="D132" s="54" t="n"/>
      <c r="E132" s="55" t="n"/>
      <c r="F132" s="56">
        <f>IF(OR($B132="",N($E132)=0),"",INT((TODAY()-$E132)/365.25))</f>
        <v/>
      </c>
      <c r="G132" s="53" t="n"/>
      <c r="H132" s="57">
        <f>IF($B132="","",IF(COUNTIF(CONSULTAS!$C$7:$C$506,$B132)=0,"",SUMPRODUCT(MAX((CONSULTAS!$C$7:$C$506=$B132)*CONSULTAS!$B$7:$B$506))))</f>
        <v/>
      </c>
      <c r="I132" s="55" t="n"/>
      <c r="J132" s="58">
        <f>IF($B132="","",IF(AND(N($I132)&gt;=TODAY(),$I132&lt;&gt;""),"Cita agendada",IF($H132="","Sin consultas",IF(TODAY()-$H132&gt;DiasControl,"Control pendiente","Al día"))))</f>
        <v/>
      </c>
    </row>
    <row r="133">
      <c r="B133" s="53" t="n"/>
      <c r="C133" s="54" t="n"/>
      <c r="D133" s="54" t="n"/>
      <c r="E133" s="55" t="n"/>
      <c r="F133" s="56">
        <f>IF(OR($B133="",N($E133)=0),"",INT((TODAY()-$E133)/365.25))</f>
        <v/>
      </c>
      <c r="G133" s="53" t="n"/>
      <c r="H133" s="57">
        <f>IF($B133="","",IF(COUNTIF(CONSULTAS!$C$7:$C$506,$B133)=0,"",SUMPRODUCT(MAX((CONSULTAS!$C$7:$C$506=$B133)*CONSULTAS!$B$7:$B$506))))</f>
        <v/>
      </c>
      <c r="I133" s="55" t="n"/>
      <c r="J133" s="58">
        <f>IF($B133="","",IF(AND(N($I133)&gt;=TODAY(),$I133&lt;&gt;""),"Cita agendada",IF($H133="","Sin consultas",IF(TODAY()-$H133&gt;DiasControl,"Control pendiente","Al día"))))</f>
        <v/>
      </c>
    </row>
    <row r="134">
      <c r="B134" s="53" t="n"/>
      <c r="C134" s="54" t="n"/>
      <c r="D134" s="54" t="n"/>
      <c r="E134" s="55" t="n"/>
      <c r="F134" s="56">
        <f>IF(OR($B134="",N($E134)=0),"",INT((TODAY()-$E134)/365.25))</f>
        <v/>
      </c>
      <c r="G134" s="53" t="n"/>
      <c r="H134" s="57">
        <f>IF($B134="","",IF(COUNTIF(CONSULTAS!$C$7:$C$506,$B134)=0,"",SUMPRODUCT(MAX((CONSULTAS!$C$7:$C$506=$B134)*CONSULTAS!$B$7:$B$506))))</f>
        <v/>
      </c>
      <c r="I134" s="55" t="n"/>
      <c r="J134" s="58">
        <f>IF($B134="","",IF(AND(N($I134)&gt;=TODAY(),$I134&lt;&gt;""),"Cita agendada",IF($H134="","Sin consultas",IF(TODAY()-$H134&gt;DiasControl,"Control pendiente","Al día"))))</f>
        <v/>
      </c>
    </row>
    <row r="135">
      <c r="B135" s="53" t="n"/>
      <c r="C135" s="54" t="n"/>
      <c r="D135" s="54" t="n"/>
      <c r="E135" s="55" t="n"/>
      <c r="F135" s="56">
        <f>IF(OR($B135="",N($E135)=0),"",INT((TODAY()-$E135)/365.25))</f>
        <v/>
      </c>
      <c r="G135" s="53" t="n"/>
      <c r="H135" s="57">
        <f>IF($B135="","",IF(COUNTIF(CONSULTAS!$C$7:$C$506,$B135)=0,"",SUMPRODUCT(MAX((CONSULTAS!$C$7:$C$506=$B135)*CONSULTAS!$B$7:$B$506))))</f>
        <v/>
      </c>
      <c r="I135" s="55" t="n"/>
      <c r="J135" s="58">
        <f>IF($B135="","",IF(AND(N($I135)&gt;=TODAY(),$I135&lt;&gt;""),"Cita agendada",IF($H135="","Sin consultas",IF(TODAY()-$H135&gt;DiasControl,"Control pendiente","Al día"))))</f>
        <v/>
      </c>
    </row>
    <row r="136">
      <c r="B136" s="53" t="n"/>
      <c r="C136" s="54" t="n"/>
      <c r="D136" s="54" t="n"/>
      <c r="E136" s="55" t="n"/>
      <c r="F136" s="56">
        <f>IF(OR($B136="",N($E136)=0),"",INT((TODAY()-$E136)/365.25))</f>
        <v/>
      </c>
      <c r="G136" s="53" t="n"/>
      <c r="H136" s="57">
        <f>IF($B136="","",IF(COUNTIF(CONSULTAS!$C$7:$C$506,$B136)=0,"",SUMPRODUCT(MAX((CONSULTAS!$C$7:$C$506=$B136)*CONSULTAS!$B$7:$B$506))))</f>
        <v/>
      </c>
      <c r="I136" s="55" t="n"/>
      <c r="J136" s="58">
        <f>IF($B136="","",IF(AND(N($I136)&gt;=TODAY(),$I136&lt;&gt;""),"Cita agendada",IF($H136="","Sin consultas",IF(TODAY()-$H136&gt;DiasControl,"Control pendiente","Al día"))))</f>
        <v/>
      </c>
    </row>
    <row r="137">
      <c r="B137" s="53" t="n"/>
      <c r="C137" s="54" t="n"/>
      <c r="D137" s="54" t="n"/>
      <c r="E137" s="55" t="n"/>
      <c r="F137" s="56">
        <f>IF(OR($B137="",N($E137)=0),"",INT((TODAY()-$E137)/365.25))</f>
        <v/>
      </c>
      <c r="G137" s="53" t="n"/>
      <c r="H137" s="57">
        <f>IF($B137="","",IF(COUNTIF(CONSULTAS!$C$7:$C$506,$B137)=0,"",SUMPRODUCT(MAX((CONSULTAS!$C$7:$C$506=$B137)*CONSULTAS!$B$7:$B$506))))</f>
        <v/>
      </c>
      <c r="I137" s="55" t="n"/>
      <c r="J137" s="58">
        <f>IF($B137="","",IF(AND(N($I137)&gt;=TODAY(),$I137&lt;&gt;""),"Cita agendada",IF($H137="","Sin consultas",IF(TODAY()-$H137&gt;DiasControl,"Control pendiente","Al día"))))</f>
        <v/>
      </c>
    </row>
    <row r="138">
      <c r="B138" s="53" t="n"/>
      <c r="C138" s="54" t="n"/>
      <c r="D138" s="54" t="n"/>
      <c r="E138" s="55" t="n"/>
      <c r="F138" s="56">
        <f>IF(OR($B138="",N($E138)=0),"",INT((TODAY()-$E138)/365.25))</f>
        <v/>
      </c>
      <c r="G138" s="53" t="n"/>
      <c r="H138" s="57">
        <f>IF($B138="","",IF(COUNTIF(CONSULTAS!$C$7:$C$506,$B138)=0,"",SUMPRODUCT(MAX((CONSULTAS!$C$7:$C$506=$B138)*CONSULTAS!$B$7:$B$506))))</f>
        <v/>
      </c>
      <c r="I138" s="55" t="n"/>
      <c r="J138" s="58">
        <f>IF($B138="","",IF(AND(N($I138)&gt;=TODAY(),$I138&lt;&gt;""),"Cita agendada",IF($H138="","Sin consultas",IF(TODAY()-$H138&gt;DiasControl,"Control pendiente","Al día"))))</f>
        <v/>
      </c>
    </row>
    <row r="139">
      <c r="B139" s="53" t="n"/>
      <c r="C139" s="54" t="n"/>
      <c r="D139" s="54" t="n"/>
      <c r="E139" s="55" t="n"/>
      <c r="F139" s="56">
        <f>IF(OR($B139="",N($E139)=0),"",INT((TODAY()-$E139)/365.25))</f>
        <v/>
      </c>
      <c r="G139" s="53" t="n"/>
      <c r="H139" s="57">
        <f>IF($B139="","",IF(COUNTIF(CONSULTAS!$C$7:$C$506,$B139)=0,"",SUMPRODUCT(MAX((CONSULTAS!$C$7:$C$506=$B139)*CONSULTAS!$B$7:$B$506))))</f>
        <v/>
      </c>
      <c r="I139" s="55" t="n"/>
      <c r="J139" s="58">
        <f>IF($B139="","",IF(AND(N($I139)&gt;=TODAY(),$I139&lt;&gt;""),"Cita agendada",IF($H139="","Sin consultas",IF(TODAY()-$H139&gt;DiasControl,"Control pendiente","Al día"))))</f>
        <v/>
      </c>
    </row>
    <row r="140">
      <c r="B140" s="53" t="n"/>
      <c r="C140" s="54" t="n"/>
      <c r="D140" s="54" t="n"/>
      <c r="E140" s="55" t="n"/>
      <c r="F140" s="56">
        <f>IF(OR($B140="",N($E140)=0),"",INT((TODAY()-$E140)/365.25))</f>
        <v/>
      </c>
      <c r="G140" s="53" t="n"/>
      <c r="H140" s="57">
        <f>IF($B140="","",IF(COUNTIF(CONSULTAS!$C$7:$C$506,$B140)=0,"",SUMPRODUCT(MAX((CONSULTAS!$C$7:$C$506=$B140)*CONSULTAS!$B$7:$B$506))))</f>
        <v/>
      </c>
      <c r="I140" s="55" t="n"/>
      <c r="J140" s="58">
        <f>IF($B140="","",IF(AND(N($I140)&gt;=TODAY(),$I140&lt;&gt;""),"Cita agendada",IF($H140="","Sin consultas",IF(TODAY()-$H140&gt;DiasControl,"Control pendiente","Al día"))))</f>
        <v/>
      </c>
    </row>
    <row r="141">
      <c r="B141" s="53" t="n"/>
      <c r="C141" s="54" t="n"/>
      <c r="D141" s="54" t="n"/>
      <c r="E141" s="55" t="n"/>
      <c r="F141" s="56">
        <f>IF(OR($B141="",N($E141)=0),"",INT((TODAY()-$E141)/365.25))</f>
        <v/>
      </c>
      <c r="G141" s="53" t="n"/>
      <c r="H141" s="57">
        <f>IF($B141="","",IF(COUNTIF(CONSULTAS!$C$7:$C$506,$B141)=0,"",SUMPRODUCT(MAX((CONSULTAS!$C$7:$C$506=$B141)*CONSULTAS!$B$7:$B$506))))</f>
        <v/>
      </c>
      <c r="I141" s="55" t="n"/>
      <c r="J141" s="58">
        <f>IF($B141="","",IF(AND(N($I141)&gt;=TODAY(),$I141&lt;&gt;""),"Cita agendada",IF($H141="","Sin consultas",IF(TODAY()-$H141&gt;DiasControl,"Control pendiente","Al día"))))</f>
        <v/>
      </c>
    </row>
    <row r="142">
      <c r="B142" s="53" t="n"/>
      <c r="C142" s="54" t="n"/>
      <c r="D142" s="54" t="n"/>
      <c r="E142" s="55" t="n"/>
      <c r="F142" s="56">
        <f>IF(OR($B142="",N($E142)=0),"",INT((TODAY()-$E142)/365.25))</f>
        <v/>
      </c>
      <c r="G142" s="53" t="n"/>
      <c r="H142" s="57">
        <f>IF($B142="","",IF(COUNTIF(CONSULTAS!$C$7:$C$506,$B142)=0,"",SUMPRODUCT(MAX((CONSULTAS!$C$7:$C$506=$B142)*CONSULTAS!$B$7:$B$506))))</f>
        <v/>
      </c>
      <c r="I142" s="55" t="n"/>
      <c r="J142" s="58">
        <f>IF($B142="","",IF(AND(N($I142)&gt;=TODAY(),$I142&lt;&gt;""),"Cita agendada",IF($H142="","Sin consultas",IF(TODAY()-$H142&gt;DiasControl,"Control pendiente","Al día"))))</f>
        <v/>
      </c>
    </row>
    <row r="143">
      <c r="B143" s="53" t="n"/>
      <c r="C143" s="54" t="n"/>
      <c r="D143" s="54" t="n"/>
      <c r="E143" s="55" t="n"/>
      <c r="F143" s="56">
        <f>IF(OR($B143="",N($E143)=0),"",INT((TODAY()-$E143)/365.25))</f>
        <v/>
      </c>
      <c r="G143" s="53" t="n"/>
      <c r="H143" s="57">
        <f>IF($B143="","",IF(COUNTIF(CONSULTAS!$C$7:$C$506,$B143)=0,"",SUMPRODUCT(MAX((CONSULTAS!$C$7:$C$506=$B143)*CONSULTAS!$B$7:$B$506))))</f>
        <v/>
      </c>
      <c r="I143" s="55" t="n"/>
      <c r="J143" s="58">
        <f>IF($B143="","",IF(AND(N($I143)&gt;=TODAY(),$I143&lt;&gt;""),"Cita agendada",IF($H143="","Sin consultas",IF(TODAY()-$H143&gt;DiasControl,"Control pendiente","Al día"))))</f>
        <v/>
      </c>
    </row>
    <row r="144">
      <c r="B144" s="53" t="n"/>
      <c r="C144" s="54" t="n"/>
      <c r="D144" s="54" t="n"/>
      <c r="E144" s="55" t="n"/>
      <c r="F144" s="56">
        <f>IF(OR($B144="",N($E144)=0),"",INT((TODAY()-$E144)/365.25))</f>
        <v/>
      </c>
      <c r="G144" s="53" t="n"/>
      <c r="H144" s="57">
        <f>IF($B144="","",IF(COUNTIF(CONSULTAS!$C$7:$C$506,$B144)=0,"",SUMPRODUCT(MAX((CONSULTAS!$C$7:$C$506=$B144)*CONSULTAS!$B$7:$B$506))))</f>
        <v/>
      </c>
      <c r="I144" s="55" t="n"/>
      <c r="J144" s="58">
        <f>IF($B144="","",IF(AND(N($I144)&gt;=TODAY(),$I144&lt;&gt;""),"Cita agendada",IF($H144="","Sin consultas",IF(TODAY()-$H144&gt;DiasControl,"Control pendiente","Al día"))))</f>
        <v/>
      </c>
    </row>
    <row r="145">
      <c r="B145" s="53" t="n"/>
      <c r="C145" s="54" t="n"/>
      <c r="D145" s="54" t="n"/>
      <c r="E145" s="55" t="n"/>
      <c r="F145" s="56">
        <f>IF(OR($B145="",N($E145)=0),"",INT((TODAY()-$E145)/365.25))</f>
        <v/>
      </c>
      <c r="G145" s="53" t="n"/>
      <c r="H145" s="57">
        <f>IF($B145="","",IF(COUNTIF(CONSULTAS!$C$7:$C$506,$B145)=0,"",SUMPRODUCT(MAX((CONSULTAS!$C$7:$C$506=$B145)*CONSULTAS!$B$7:$B$506))))</f>
        <v/>
      </c>
      <c r="I145" s="55" t="n"/>
      <c r="J145" s="58">
        <f>IF($B145="","",IF(AND(N($I145)&gt;=TODAY(),$I145&lt;&gt;""),"Cita agendada",IF($H145="","Sin consultas",IF(TODAY()-$H145&gt;DiasControl,"Control pendiente","Al día"))))</f>
        <v/>
      </c>
    </row>
    <row r="146">
      <c r="B146" s="53" t="n"/>
      <c r="C146" s="54" t="n"/>
      <c r="D146" s="54" t="n"/>
      <c r="E146" s="55" t="n"/>
      <c r="F146" s="56">
        <f>IF(OR($B146="",N($E146)=0),"",INT((TODAY()-$E146)/365.25))</f>
        <v/>
      </c>
      <c r="G146" s="53" t="n"/>
      <c r="H146" s="57">
        <f>IF($B146="","",IF(COUNTIF(CONSULTAS!$C$7:$C$506,$B146)=0,"",SUMPRODUCT(MAX((CONSULTAS!$C$7:$C$506=$B146)*CONSULTAS!$B$7:$B$506))))</f>
        <v/>
      </c>
      <c r="I146" s="55" t="n"/>
      <c r="J146" s="58">
        <f>IF($B146="","",IF(AND(N($I146)&gt;=TODAY(),$I146&lt;&gt;""),"Cita agendada",IF($H146="","Sin consultas",IF(TODAY()-$H146&gt;DiasControl,"Control pendiente","Al día"))))</f>
        <v/>
      </c>
    </row>
    <row r="147">
      <c r="B147" s="53" t="n"/>
      <c r="C147" s="54" t="n"/>
      <c r="D147" s="54" t="n"/>
      <c r="E147" s="55" t="n"/>
      <c r="F147" s="56">
        <f>IF(OR($B147="",N($E147)=0),"",INT((TODAY()-$E147)/365.25))</f>
        <v/>
      </c>
      <c r="G147" s="53" t="n"/>
      <c r="H147" s="57">
        <f>IF($B147="","",IF(COUNTIF(CONSULTAS!$C$7:$C$506,$B147)=0,"",SUMPRODUCT(MAX((CONSULTAS!$C$7:$C$506=$B147)*CONSULTAS!$B$7:$B$506))))</f>
        <v/>
      </c>
      <c r="I147" s="55" t="n"/>
      <c r="J147" s="58">
        <f>IF($B147="","",IF(AND(N($I147)&gt;=TODAY(),$I147&lt;&gt;""),"Cita agendada",IF($H147="","Sin consultas",IF(TODAY()-$H147&gt;DiasControl,"Control pendiente","Al día"))))</f>
        <v/>
      </c>
    </row>
    <row r="148">
      <c r="B148" s="53" t="n"/>
      <c r="C148" s="54" t="n"/>
      <c r="D148" s="54" t="n"/>
      <c r="E148" s="55" t="n"/>
      <c r="F148" s="56">
        <f>IF(OR($B148="",N($E148)=0),"",INT((TODAY()-$E148)/365.25))</f>
        <v/>
      </c>
      <c r="G148" s="53" t="n"/>
      <c r="H148" s="57">
        <f>IF($B148="","",IF(COUNTIF(CONSULTAS!$C$7:$C$506,$B148)=0,"",SUMPRODUCT(MAX((CONSULTAS!$C$7:$C$506=$B148)*CONSULTAS!$B$7:$B$506))))</f>
        <v/>
      </c>
      <c r="I148" s="55" t="n"/>
      <c r="J148" s="58">
        <f>IF($B148="","",IF(AND(N($I148)&gt;=TODAY(),$I148&lt;&gt;""),"Cita agendada",IF($H148="","Sin consultas",IF(TODAY()-$H148&gt;DiasControl,"Control pendiente","Al día"))))</f>
        <v/>
      </c>
    </row>
    <row r="149">
      <c r="B149" s="53" t="n"/>
      <c r="C149" s="54" t="n"/>
      <c r="D149" s="54" t="n"/>
      <c r="E149" s="55" t="n"/>
      <c r="F149" s="56">
        <f>IF(OR($B149="",N($E149)=0),"",INT((TODAY()-$E149)/365.25))</f>
        <v/>
      </c>
      <c r="G149" s="53" t="n"/>
      <c r="H149" s="57">
        <f>IF($B149="","",IF(COUNTIF(CONSULTAS!$C$7:$C$506,$B149)=0,"",SUMPRODUCT(MAX((CONSULTAS!$C$7:$C$506=$B149)*CONSULTAS!$B$7:$B$506))))</f>
        <v/>
      </c>
      <c r="I149" s="55" t="n"/>
      <c r="J149" s="58">
        <f>IF($B149="","",IF(AND(N($I149)&gt;=TODAY(),$I149&lt;&gt;""),"Cita agendada",IF($H149="","Sin consultas",IF(TODAY()-$H149&gt;DiasControl,"Control pendiente","Al día"))))</f>
        <v/>
      </c>
    </row>
    <row r="150">
      <c r="B150" s="53" t="n"/>
      <c r="C150" s="54" t="n"/>
      <c r="D150" s="54" t="n"/>
      <c r="E150" s="55" t="n"/>
      <c r="F150" s="56">
        <f>IF(OR($B150="",N($E150)=0),"",INT((TODAY()-$E150)/365.25))</f>
        <v/>
      </c>
      <c r="G150" s="53" t="n"/>
      <c r="H150" s="57">
        <f>IF($B150="","",IF(COUNTIF(CONSULTAS!$C$7:$C$506,$B150)=0,"",SUMPRODUCT(MAX((CONSULTAS!$C$7:$C$506=$B150)*CONSULTAS!$B$7:$B$506))))</f>
        <v/>
      </c>
      <c r="I150" s="55" t="n"/>
      <c r="J150" s="58">
        <f>IF($B150="","",IF(AND(N($I150)&gt;=TODAY(),$I150&lt;&gt;""),"Cita agendada",IF($H150="","Sin consultas",IF(TODAY()-$H150&gt;DiasControl,"Control pendiente","Al día"))))</f>
        <v/>
      </c>
    </row>
    <row r="151">
      <c r="B151" s="53" t="n"/>
      <c r="C151" s="54" t="n"/>
      <c r="D151" s="54" t="n"/>
      <c r="E151" s="55" t="n"/>
      <c r="F151" s="56">
        <f>IF(OR($B151="",N($E151)=0),"",INT((TODAY()-$E151)/365.25))</f>
        <v/>
      </c>
      <c r="G151" s="53" t="n"/>
      <c r="H151" s="57">
        <f>IF($B151="","",IF(COUNTIF(CONSULTAS!$C$7:$C$506,$B151)=0,"",SUMPRODUCT(MAX((CONSULTAS!$C$7:$C$506=$B151)*CONSULTAS!$B$7:$B$506))))</f>
        <v/>
      </c>
      <c r="I151" s="55" t="n"/>
      <c r="J151" s="58">
        <f>IF($B151="","",IF(AND(N($I151)&gt;=TODAY(),$I151&lt;&gt;""),"Cita agendada",IF($H151="","Sin consultas",IF(TODAY()-$H151&gt;DiasControl,"Control pendiente","Al día"))))</f>
        <v/>
      </c>
    </row>
    <row r="152">
      <c r="B152" s="53" t="n"/>
      <c r="C152" s="54" t="n"/>
      <c r="D152" s="54" t="n"/>
      <c r="E152" s="55" t="n"/>
      <c r="F152" s="56">
        <f>IF(OR($B152="",N($E152)=0),"",INT((TODAY()-$E152)/365.25))</f>
        <v/>
      </c>
      <c r="G152" s="53" t="n"/>
      <c r="H152" s="57">
        <f>IF($B152="","",IF(COUNTIF(CONSULTAS!$C$7:$C$506,$B152)=0,"",SUMPRODUCT(MAX((CONSULTAS!$C$7:$C$506=$B152)*CONSULTAS!$B$7:$B$506))))</f>
        <v/>
      </c>
      <c r="I152" s="55" t="n"/>
      <c r="J152" s="58">
        <f>IF($B152="","",IF(AND(N($I152)&gt;=TODAY(),$I152&lt;&gt;""),"Cita agendada",IF($H152="","Sin consultas",IF(TODAY()-$H152&gt;DiasControl,"Control pendiente","Al día"))))</f>
        <v/>
      </c>
    </row>
    <row r="153">
      <c r="B153" s="53" t="n"/>
      <c r="C153" s="54" t="n"/>
      <c r="D153" s="54" t="n"/>
      <c r="E153" s="55" t="n"/>
      <c r="F153" s="56">
        <f>IF(OR($B153="",N($E153)=0),"",INT((TODAY()-$E153)/365.25))</f>
        <v/>
      </c>
      <c r="G153" s="53" t="n"/>
      <c r="H153" s="57">
        <f>IF($B153="","",IF(COUNTIF(CONSULTAS!$C$7:$C$506,$B153)=0,"",SUMPRODUCT(MAX((CONSULTAS!$C$7:$C$506=$B153)*CONSULTAS!$B$7:$B$506))))</f>
        <v/>
      </c>
      <c r="I153" s="55" t="n"/>
      <c r="J153" s="58">
        <f>IF($B153="","",IF(AND(N($I153)&gt;=TODAY(),$I153&lt;&gt;""),"Cita agendada",IF($H153="","Sin consultas",IF(TODAY()-$H153&gt;DiasControl,"Control pendiente","Al día"))))</f>
        <v/>
      </c>
    </row>
    <row r="154">
      <c r="B154" s="53" t="n"/>
      <c r="C154" s="54" t="n"/>
      <c r="D154" s="54" t="n"/>
      <c r="E154" s="55" t="n"/>
      <c r="F154" s="56">
        <f>IF(OR($B154="",N($E154)=0),"",INT((TODAY()-$E154)/365.25))</f>
        <v/>
      </c>
      <c r="G154" s="53" t="n"/>
      <c r="H154" s="57">
        <f>IF($B154="","",IF(COUNTIF(CONSULTAS!$C$7:$C$506,$B154)=0,"",SUMPRODUCT(MAX((CONSULTAS!$C$7:$C$506=$B154)*CONSULTAS!$B$7:$B$506))))</f>
        <v/>
      </c>
      <c r="I154" s="55" t="n"/>
      <c r="J154" s="58">
        <f>IF($B154="","",IF(AND(N($I154)&gt;=TODAY(),$I154&lt;&gt;""),"Cita agendada",IF($H154="","Sin consultas",IF(TODAY()-$H154&gt;DiasControl,"Control pendiente","Al día"))))</f>
        <v/>
      </c>
    </row>
    <row r="155">
      <c r="B155" s="53" t="n"/>
      <c r="C155" s="54" t="n"/>
      <c r="D155" s="54" t="n"/>
      <c r="E155" s="55" t="n"/>
      <c r="F155" s="56">
        <f>IF(OR($B155="",N($E155)=0),"",INT((TODAY()-$E155)/365.25))</f>
        <v/>
      </c>
      <c r="G155" s="53" t="n"/>
      <c r="H155" s="57">
        <f>IF($B155="","",IF(COUNTIF(CONSULTAS!$C$7:$C$506,$B155)=0,"",SUMPRODUCT(MAX((CONSULTAS!$C$7:$C$506=$B155)*CONSULTAS!$B$7:$B$506))))</f>
        <v/>
      </c>
      <c r="I155" s="55" t="n"/>
      <c r="J155" s="58">
        <f>IF($B155="","",IF(AND(N($I155)&gt;=TODAY(),$I155&lt;&gt;""),"Cita agendada",IF($H155="","Sin consultas",IF(TODAY()-$H155&gt;DiasControl,"Control pendiente","Al día"))))</f>
        <v/>
      </c>
    </row>
    <row r="156">
      <c r="B156" s="53" t="n"/>
      <c r="C156" s="54" t="n"/>
      <c r="D156" s="54" t="n"/>
      <c r="E156" s="55" t="n"/>
      <c r="F156" s="56">
        <f>IF(OR($B156="",N($E156)=0),"",INT((TODAY()-$E156)/365.25))</f>
        <v/>
      </c>
      <c r="G156" s="53" t="n"/>
      <c r="H156" s="57">
        <f>IF($B156="","",IF(COUNTIF(CONSULTAS!$C$7:$C$506,$B156)=0,"",SUMPRODUCT(MAX((CONSULTAS!$C$7:$C$506=$B156)*CONSULTAS!$B$7:$B$506))))</f>
        <v/>
      </c>
      <c r="I156" s="55" t="n"/>
      <c r="J156" s="58">
        <f>IF($B156="","",IF(AND(N($I156)&gt;=TODAY(),$I156&lt;&gt;""),"Cita agendada",IF($H156="","Sin consultas",IF(TODAY()-$H156&gt;DiasControl,"Control pendiente","Al día"))))</f>
        <v/>
      </c>
    </row>
    <row r="157">
      <c r="B157" s="53" t="n"/>
      <c r="C157" s="54" t="n"/>
      <c r="D157" s="54" t="n"/>
      <c r="E157" s="55" t="n"/>
      <c r="F157" s="56">
        <f>IF(OR($B157="",N($E157)=0),"",INT((TODAY()-$E157)/365.25))</f>
        <v/>
      </c>
      <c r="G157" s="53" t="n"/>
      <c r="H157" s="57">
        <f>IF($B157="","",IF(COUNTIF(CONSULTAS!$C$7:$C$506,$B157)=0,"",SUMPRODUCT(MAX((CONSULTAS!$C$7:$C$506=$B157)*CONSULTAS!$B$7:$B$506))))</f>
        <v/>
      </c>
      <c r="I157" s="55" t="n"/>
      <c r="J157" s="58">
        <f>IF($B157="","",IF(AND(N($I157)&gt;=TODAY(),$I157&lt;&gt;""),"Cita agendada",IF($H157="","Sin consultas",IF(TODAY()-$H157&gt;DiasControl,"Control pendiente","Al día"))))</f>
        <v/>
      </c>
    </row>
    <row r="158">
      <c r="B158" s="53" t="n"/>
      <c r="C158" s="54" t="n"/>
      <c r="D158" s="54" t="n"/>
      <c r="E158" s="55" t="n"/>
      <c r="F158" s="56">
        <f>IF(OR($B158="",N($E158)=0),"",INT((TODAY()-$E158)/365.25))</f>
        <v/>
      </c>
      <c r="G158" s="53" t="n"/>
      <c r="H158" s="57">
        <f>IF($B158="","",IF(COUNTIF(CONSULTAS!$C$7:$C$506,$B158)=0,"",SUMPRODUCT(MAX((CONSULTAS!$C$7:$C$506=$B158)*CONSULTAS!$B$7:$B$506))))</f>
        <v/>
      </c>
      <c r="I158" s="55" t="n"/>
      <c r="J158" s="58">
        <f>IF($B158="","",IF(AND(N($I158)&gt;=TODAY(),$I158&lt;&gt;""),"Cita agendada",IF($H158="","Sin consultas",IF(TODAY()-$H158&gt;DiasControl,"Control pendiente","Al día"))))</f>
        <v/>
      </c>
    </row>
    <row r="159">
      <c r="B159" s="53" t="n"/>
      <c r="C159" s="54" t="n"/>
      <c r="D159" s="54" t="n"/>
      <c r="E159" s="55" t="n"/>
      <c r="F159" s="56">
        <f>IF(OR($B159="",N($E159)=0),"",INT((TODAY()-$E159)/365.25))</f>
        <v/>
      </c>
      <c r="G159" s="53" t="n"/>
      <c r="H159" s="57">
        <f>IF($B159="","",IF(COUNTIF(CONSULTAS!$C$7:$C$506,$B159)=0,"",SUMPRODUCT(MAX((CONSULTAS!$C$7:$C$506=$B159)*CONSULTAS!$B$7:$B$506))))</f>
        <v/>
      </c>
      <c r="I159" s="55" t="n"/>
      <c r="J159" s="58">
        <f>IF($B159="","",IF(AND(N($I159)&gt;=TODAY(),$I159&lt;&gt;""),"Cita agendada",IF($H159="","Sin consultas",IF(TODAY()-$H159&gt;DiasControl,"Control pendiente","Al día"))))</f>
        <v/>
      </c>
    </row>
    <row r="160">
      <c r="B160" s="53" t="n"/>
      <c r="C160" s="54" t="n"/>
      <c r="D160" s="54" t="n"/>
      <c r="E160" s="55" t="n"/>
      <c r="F160" s="56">
        <f>IF(OR($B160="",N($E160)=0),"",INT((TODAY()-$E160)/365.25))</f>
        <v/>
      </c>
      <c r="G160" s="53" t="n"/>
      <c r="H160" s="57">
        <f>IF($B160="","",IF(COUNTIF(CONSULTAS!$C$7:$C$506,$B160)=0,"",SUMPRODUCT(MAX((CONSULTAS!$C$7:$C$506=$B160)*CONSULTAS!$B$7:$B$506))))</f>
        <v/>
      </c>
      <c r="I160" s="55" t="n"/>
      <c r="J160" s="58">
        <f>IF($B160="","",IF(AND(N($I160)&gt;=TODAY(),$I160&lt;&gt;""),"Cita agendada",IF($H160="","Sin consultas",IF(TODAY()-$H160&gt;DiasControl,"Control pendiente","Al día"))))</f>
        <v/>
      </c>
    </row>
    <row r="161">
      <c r="B161" s="53" t="n"/>
      <c r="C161" s="54" t="n"/>
      <c r="D161" s="54" t="n"/>
      <c r="E161" s="55" t="n"/>
      <c r="F161" s="56">
        <f>IF(OR($B161="",N($E161)=0),"",INT((TODAY()-$E161)/365.25))</f>
        <v/>
      </c>
      <c r="G161" s="53" t="n"/>
      <c r="H161" s="57">
        <f>IF($B161="","",IF(COUNTIF(CONSULTAS!$C$7:$C$506,$B161)=0,"",SUMPRODUCT(MAX((CONSULTAS!$C$7:$C$506=$B161)*CONSULTAS!$B$7:$B$506))))</f>
        <v/>
      </c>
      <c r="I161" s="55" t="n"/>
      <c r="J161" s="58">
        <f>IF($B161="","",IF(AND(N($I161)&gt;=TODAY(),$I161&lt;&gt;""),"Cita agendada",IF($H161="","Sin consultas",IF(TODAY()-$H161&gt;DiasControl,"Control pendiente","Al día"))))</f>
        <v/>
      </c>
    </row>
    <row r="162">
      <c r="B162" s="53" t="n"/>
      <c r="C162" s="54" t="n"/>
      <c r="D162" s="54" t="n"/>
      <c r="E162" s="55" t="n"/>
      <c r="F162" s="56">
        <f>IF(OR($B162="",N($E162)=0),"",INT((TODAY()-$E162)/365.25))</f>
        <v/>
      </c>
      <c r="G162" s="53" t="n"/>
      <c r="H162" s="57">
        <f>IF($B162="","",IF(COUNTIF(CONSULTAS!$C$7:$C$506,$B162)=0,"",SUMPRODUCT(MAX((CONSULTAS!$C$7:$C$506=$B162)*CONSULTAS!$B$7:$B$506))))</f>
        <v/>
      </c>
      <c r="I162" s="55" t="n"/>
      <c r="J162" s="58">
        <f>IF($B162="","",IF(AND(N($I162)&gt;=TODAY(),$I162&lt;&gt;""),"Cita agendada",IF($H162="","Sin consultas",IF(TODAY()-$H162&gt;DiasControl,"Control pendiente","Al día"))))</f>
        <v/>
      </c>
    </row>
    <row r="163">
      <c r="B163" s="53" t="n"/>
      <c r="C163" s="54" t="n"/>
      <c r="D163" s="54" t="n"/>
      <c r="E163" s="55" t="n"/>
      <c r="F163" s="56">
        <f>IF(OR($B163="",N($E163)=0),"",INT((TODAY()-$E163)/365.25))</f>
        <v/>
      </c>
      <c r="G163" s="53" t="n"/>
      <c r="H163" s="57">
        <f>IF($B163="","",IF(COUNTIF(CONSULTAS!$C$7:$C$506,$B163)=0,"",SUMPRODUCT(MAX((CONSULTAS!$C$7:$C$506=$B163)*CONSULTAS!$B$7:$B$506))))</f>
        <v/>
      </c>
      <c r="I163" s="55" t="n"/>
      <c r="J163" s="58">
        <f>IF($B163="","",IF(AND(N($I163)&gt;=TODAY(),$I163&lt;&gt;""),"Cita agendada",IF($H163="","Sin consultas",IF(TODAY()-$H163&gt;DiasControl,"Control pendiente","Al día"))))</f>
        <v/>
      </c>
    </row>
    <row r="164">
      <c r="B164" s="53" t="n"/>
      <c r="C164" s="54" t="n"/>
      <c r="D164" s="54" t="n"/>
      <c r="E164" s="55" t="n"/>
      <c r="F164" s="56">
        <f>IF(OR($B164="",N($E164)=0),"",INT((TODAY()-$E164)/365.25))</f>
        <v/>
      </c>
      <c r="G164" s="53" t="n"/>
      <c r="H164" s="57">
        <f>IF($B164="","",IF(COUNTIF(CONSULTAS!$C$7:$C$506,$B164)=0,"",SUMPRODUCT(MAX((CONSULTAS!$C$7:$C$506=$B164)*CONSULTAS!$B$7:$B$506))))</f>
        <v/>
      </c>
      <c r="I164" s="55" t="n"/>
      <c r="J164" s="58">
        <f>IF($B164="","",IF(AND(N($I164)&gt;=TODAY(),$I164&lt;&gt;""),"Cita agendada",IF($H164="","Sin consultas",IF(TODAY()-$H164&gt;DiasControl,"Control pendiente","Al día"))))</f>
        <v/>
      </c>
    </row>
    <row r="165">
      <c r="B165" s="53" t="n"/>
      <c r="C165" s="54" t="n"/>
      <c r="D165" s="54" t="n"/>
      <c r="E165" s="55" t="n"/>
      <c r="F165" s="56">
        <f>IF(OR($B165="",N($E165)=0),"",INT((TODAY()-$E165)/365.25))</f>
        <v/>
      </c>
      <c r="G165" s="53" t="n"/>
      <c r="H165" s="57">
        <f>IF($B165="","",IF(COUNTIF(CONSULTAS!$C$7:$C$506,$B165)=0,"",SUMPRODUCT(MAX((CONSULTAS!$C$7:$C$506=$B165)*CONSULTAS!$B$7:$B$506))))</f>
        <v/>
      </c>
      <c r="I165" s="55" t="n"/>
      <c r="J165" s="58">
        <f>IF($B165="","",IF(AND(N($I165)&gt;=TODAY(),$I165&lt;&gt;""),"Cita agendada",IF($H165="","Sin consultas",IF(TODAY()-$H165&gt;DiasControl,"Control pendiente","Al día"))))</f>
        <v/>
      </c>
    </row>
    <row r="166">
      <c r="B166" s="53" t="n"/>
      <c r="C166" s="54" t="n"/>
      <c r="D166" s="54" t="n"/>
      <c r="E166" s="55" t="n"/>
      <c r="F166" s="56">
        <f>IF(OR($B166="",N($E166)=0),"",INT((TODAY()-$E166)/365.25))</f>
        <v/>
      </c>
      <c r="G166" s="53" t="n"/>
      <c r="H166" s="57">
        <f>IF($B166="","",IF(COUNTIF(CONSULTAS!$C$7:$C$506,$B166)=0,"",SUMPRODUCT(MAX((CONSULTAS!$C$7:$C$506=$B166)*CONSULTAS!$B$7:$B$506))))</f>
        <v/>
      </c>
      <c r="I166" s="55" t="n"/>
      <c r="J166" s="58">
        <f>IF($B166="","",IF(AND(N($I166)&gt;=TODAY(),$I166&lt;&gt;""),"Cita agendada",IF($H166="","Sin consultas",IF(TODAY()-$H166&gt;DiasControl,"Control pendiente","Al día"))))</f>
        <v/>
      </c>
    </row>
    <row r="167">
      <c r="B167" s="53" t="n"/>
      <c r="C167" s="54" t="n"/>
      <c r="D167" s="54" t="n"/>
      <c r="E167" s="55" t="n"/>
      <c r="F167" s="56">
        <f>IF(OR($B167="",N($E167)=0),"",INT((TODAY()-$E167)/365.25))</f>
        <v/>
      </c>
      <c r="G167" s="53" t="n"/>
      <c r="H167" s="57">
        <f>IF($B167="","",IF(COUNTIF(CONSULTAS!$C$7:$C$506,$B167)=0,"",SUMPRODUCT(MAX((CONSULTAS!$C$7:$C$506=$B167)*CONSULTAS!$B$7:$B$506))))</f>
        <v/>
      </c>
      <c r="I167" s="55" t="n"/>
      <c r="J167" s="58">
        <f>IF($B167="","",IF(AND(N($I167)&gt;=TODAY(),$I167&lt;&gt;""),"Cita agendada",IF($H167="","Sin consultas",IF(TODAY()-$H167&gt;DiasControl,"Control pendiente","Al día"))))</f>
        <v/>
      </c>
    </row>
    <row r="168">
      <c r="B168" s="53" t="n"/>
      <c r="C168" s="54" t="n"/>
      <c r="D168" s="54" t="n"/>
      <c r="E168" s="55" t="n"/>
      <c r="F168" s="56">
        <f>IF(OR($B168="",N($E168)=0),"",INT((TODAY()-$E168)/365.25))</f>
        <v/>
      </c>
      <c r="G168" s="53" t="n"/>
      <c r="H168" s="57">
        <f>IF($B168="","",IF(COUNTIF(CONSULTAS!$C$7:$C$506,$B168)=0,"",SUMPRODUCT(MAX((CONSULTAS!$C$7:$C$506=$B168)*CONSULTAS!$B$7:$B$506))))</f>
        <v/>
      </c>
      <c r="I168" s="55" t="n"/>
      <c r="J168" s="58">
        <f>IF($B168="","",IF(AND(N($I168)&gt;=TODAY(),$I168&lt;&gt;""),"Cita agendada",IF($H168="","Sin consultas",IF(TODAY()-$H168&gt;DiasControl,"Control pendiente","Al día"))))</f>
        <v/>
      </c>
    </row>
    <row r="169">
      <c r="B169" s="53" t="n"/>
      <c r="C169" s="54" t="n"/>
      <c r="D169" s="54" t="n"/>
      <c r="E169" s="55" t="n"/>
      <c r="F169" s="56">
        <f>IF(OR($B169="",N($E169)=0),"",INT((TODAY()-$E169)/365.25))</f>
        <v/>
      </c>
      <c r="G169" s="53" t="n"/>
      <c r="H169" s="57">
        <f>IF($B169="","",IF(COUNTIF(CONSULTAS!$C$7:$C$506,$B169)=0,"",SUMPRODUCT(MAX((CONSULTAS!$C$7:$C$506=$B169)*CONSULTAS!$B$7:$B$506))))</f>
        <v/>
      </c>
      <c r="I169" s="55" t="n"/>
      <c r="J169" s="58">
        <f>IF($B169="","",IF(AND(N($I169)&gt;=TODAY(),$I169&lt;&gt;""),"Cita agendada",IF($H169="","Sin consultas",IF(TODAY()-$H169&gt;DiasControl,"Control pendiente","Al día"))))</f>
        <v/>
      </c>
    </row>
    <row r="170">
      <c r="B170" s="53" t="n"/>
      <c r="C170" s="54" t="n"/>
      <c r="D170" s="54" t="n"/>
      <c r="E170" s="55" t="n"/>
      <c r="F170" s="56">
        <f>IF(OR($B170="",N($E170)=0),"",INT((TODAY()-$E170)/365.25))</f>
        <v/>
      </c>
      <c r="G170" s="53" t="n"/>
      <c r="H170" s="57">
        <f>IF($B170="","",IF(COUNTIF(CONSULTAS!$C$7:$C$506,$B170)=0,"",SUMPRODUCT(MAX((CONSULTAS!$C$7:$C$506=$B170)*CONSULTAS!$B$7:$B$506))))</f>
        <v/>
      </c>
      <c r="I170" s="55" t="n"/>
      <c r="J170" s="58">
        <f>IF($B170="","",IF(AND(N($I170)&gt;=TODAY(),$I170&lt;&gt;""),"Cita agendada",IF($H170="","Sin consultas",IF(TODAY()-$H170&gt;DiasControl,"Control pendiente","Al día"))))</f>
        <v/>
      </c>
    </row>
    <row r="171">
      <c r="B171" s="53" t="n"/>
      <c r="C171" s="54" t="n"/>
      <c r="D171" s="54" t="n"/>
      <c r="E171" s="55" t="n"/>
      <c r="F171" s="56">
        <f>IF(OR($B171="",N($E171)=0),"",INT((TODAY()-$E171)/365.25))</f>
        <v/>
      </c>
      <c r="G171" s="53" t="n"/>
      <c r="H171" s="57">
        <f>IF($B171="","",IF(COUNTIF(CONSULTAS!$C$7:$C$506,$B171)=0,"",SUMPRODUCT(MAX((CONSULTAS!$C$7:$C$506=$B171)*CONSULTAS!$B$7:$B$506))))</f>
        <v/>
      </c>
      <c r="I171" s="55" t="n"/>
      <c r="J171" s="58">
        <f>IF($B171="","",IF(AND(N($I171)&gt;=TODAY(),$I171&lt;&gt;""),"Cita agendada",IF($H171="","Sin consultas",IF(TODAY()-$H171&gt;DiasControl,"Control pendiente","Al día"))))</f>
        <v/>
      </c>
    </row>
    <row r="172">
      <c r="B172" s="53" t="n"/>
      <c r="C172" s="54" t="n"/>
      <c r="D172" s="54" t="n"/>
      <c r="E172" s="55" t="n"/>
      <c r="F172" s="56">
        <f>IF(OR($B172="",N($E172)=0),"",INT((TODAY()-$E172)/365.25))</f>
        <v/>
      </c>
      <c r="G172" s="53" t="n"/>
      <c r="H172" s="57">
        <f>IF($B172="","",IF(COUNTIF(CONSULTAS!$C$7:$C$506,$B172)=0,"",SUMPRODUCT(MAX((CONSULTAS!$C$7:$C$506=$B172)*CONSULTAS!$B$7:$B$506))))</f>
        <v/>
      </c>
      <c r="I172" s="55" t="n"/>
      <c r="J172" s="58">
        <f>IF($B172="","",IF(AND(N($I172)&gt;=TODAY(),$I172&lt;&gt;""),"Cita agendada",IF($H172="","Sin consultas",IF(TODAY()-$H172&gt;DiasControl,"Control pendiente","Al día"))))</f>
        <v/>
      </c>
    </row>
    <row r="173">
      <c r="B173" s="53" t="n"/>
      <c r="C173" s="54" t="n"/>
      <c r="D173" s="54" t="n"/>
      <c r="E173" s="55" t="n"/>
      <c r="F173" s="56">
        <f>IF(OR($B173="",N($E173)=0),"",INT((TODAY()-$E173)/365.25))</f>
        <v/>
      </c>
      <c r="G173" s="53" t="n"/>
      <c r="H173" s="57">
        <f>IF($B173="","",IF(COUNTIF(CONSULTAS!$C$7:$C$506,$B173)=0,"",SUMPRODUCT(MAX((CONSULTAS!$C$7:$C$506=$B173)*CONSULTAS!$B$7:$B$506))))</f>
        <v/>
      </c>
      <c r="I173" s="55" t="n"/>
      <c r="J173" s="58">
        <f>IF($B173="","",IF(AND(N($I173)&gt;=TODAY(),$I173&lt;&gt;""),"Cita agendada",IF($H173="","Sin consultas",IF(TODAY()-$H173&gt;DiasControl,"Control pendiente","Al día"))))</f>
        <v/>
      </c>
    </row>
    <row r="174">
      <c r="B174" s="53" t="n"/>
      <c r="C174" s="54" t="n"/>
      <c r="D174" s="54" t="n"/>
      <c r="E174" s="55" t="n"/>
      <c r="F174" s="56">
        <f>IF(OR($B174="",N($E174)=0),"",INT((TODAY()-$E174)/365.25))</f>
        <v/>
      </c>
      <c r="G174" s="53" t="n"/>
      <c r="H174" s="57">
        <f>IF($B174="","",IF(COUNTIF(CONSULTAS!$C$7:$C$506,$B174)=0,"",SUMPRODUCT(MAX((CONSULTAS!$C$7:$C$506=$B174)*CONSULTAS!$B$7:$B$506))))</f>
        <v/>
      </c>
      <c r="I174" s="55" t="n"/>
      <c r="J174" s="58">
        <f>IF($B174="","",IF(AND(N($I174)&gt;=TODAY(),$I174&lt;&gt;""),"Cita agendada",IF($H174="","Sin consultas",IF(TODAY()-$H174&gt;DiasControl,"Control pendiente","Al día"))))</f>
        <v/>
      </c>
    </row>
    <row r="175">
      <c r="B175" s="53" t="n"/>
      <c r="C175" s="54" t="n"/>
      <c r="D175" s="54" t="n"/>
      <c r="E175" s="55" t="n"/>
      <c r="F175" s="56">
        <f>IF(OR($B175="",N($E175)=0),"",INT((TODAY()-$E175)/365.25))</f>
        <v/>
      </c>
      <c r="G175" s="53" t="n"/>
      <c r="H175" s="57">
        <f>IF($B175="","",IF(COUNTIF(CONSULTAS!$C$7:$C$506,$B175)=0,"",SUMPRODUCT(MAX((CONSULTAS!$C$7:$C$506=$B175)*CONSULTAS!$B$7:$B$506))))</f>
        <v/>
      </c>
      <c r="I175" s="55" t="n"/>
      <c r="J175" s="58">
        <f>IF($B175="","",IF(AND(N($I175)&gt;=TODAY(),$I175&lt;&gt;""),"Cita agendada",IF($H175="","Sin consultas",IF(TODAY()-$H175&gt;DiasControl,"Control pendiente","Al día"))))</f>
        <v/>
      </c>
    </row>
    <row r="176">
      <c r="B176" s="53" t="n"/>
      <c r="C176" s="54" t="n"/>
      <c r="D176" s="54" t="n"/>
      <c r="E176" s="55" t="n"/>
      <c r="F176" s="56">
        <f>IF(OR($B176="",N($E176)=0),"",INT((TODAY()-$E176)/365.25))</f>
        <v/>
      </c>
      <c r="G176" s="53" t="n"/>
      <c r="H176" s="57">
        <f>IF($B176="","",IF(COUNTIF(CONSULTAS!$C$7:$C$506,$B176)=0,"",SUMPRODUCT(MAX((CONSULTAS!$C$7:$C$506=$B176)*CONSULTAS!$B$7:$B$506))))</f>
        <v/>
      </c>
      <c r="I176" s="55" t="n"/>
      <c r="J176" s="58">
        <f>IF($B176="","",IF(AND(N($I176)&gt;=TODAY(),$I176&lt;&gt;""),"Cita agendada",IF($H176="","Sin consultas",IF(TODAY()-$H176&gt;DiasControl,"Control pendiente","Al día"))))</f>
        <v/>
      </c>
    </row>
    <row r="177">
      <c r="B177" s="53" t="n"/>
      <c r="C177" s="54" t="n"/>
      <c r="D177" s="54" t="n"/>
      <c r="E177" s="55" t="n"/>
      <c r="F177" s="56">
        <f>IF(OR($B177="",N($E177)=0),"",INT((TODAY()-$E177)/365.25))</f>
        <v/>
      </c>
      <c r="G177" s="53" t="n"/>
      <c r="H177" s="57">
        <f>IF($B177="","",IF(COUNTIF(CONSULTAS!$C$7:$C$506,$B177)=0,"",SUMPRODUCT(MAX((CONSULTAS!$C$7:$C$506=$B177)*CONSULTAS!$B$7:$B$506))))</f>
        <v/>
      </c>
      <c r="I177" s="55" t="n"/>
      <c r="J177" s="58">
        <f>IF($B177="","",IF(AND(N($I177)&gt;=TODAY(),$I177&lt;&gt;""),"Cita agendada",IF($H177="","Sin consultas",IF(TODAY()-$H177&gt;DiasControl,"Control pendiente","Al día"))))</f>
        <v/>
      </c>
    </row>
    <row r="178">
      <c r="B178" s="53" t="n"/>
      <c r="C178" s="54" t="n"/>
      <c r="D178" s="54" t="n"/>
      <c r="E178" s="55" t="n"/>
      <c r="F178" s="56">
        <f>IF(OR($B178="",N($E178)=0),"",INT((TODAY()-$E178)/365.25))</f>
        <v/>
      </c>
      <c r="G178" s="53" t="n"/>
      <c r="H178" s="57">
        <f>IF($B178="","",IF(COUNTIF(CONSULTAS!$C$7:$C$506,$B178)=0,"",SUMPRODUCT(MAX((CONSULTAS!$C$7:$C$506=$B178)*CONSULTAS!$B$7:$B$506))))</f>
        <v/>
      </c>
      <c r="I178" s="55" t="n"/>
      <c r="J178" s="58">
        <f>IF($B178="","",IF(AND(N($I178)&gt;=TODAY(),$I178&lt;&gt;""),"Cita agendada",IF($H178="","Sin consultas",IF(TODAY()-$H178&gt;DiasControl,"Control pendiente","Al día"))))</f>
        <v/>
      </c>
    </row>
    <row r="179">
      <c r="B179" s="53" t="n"/>
      <c r="C179" s="54" t="n"/>
      <c r="D179" s="54" t="n"/>
      <c r="E179" s="55" t="n"/>
      <c r="F179" s="56">
        <f>IF(OR($B179="",N($E179)=0),"",INT((TODAY()-$E179)/365.25))</f>
        <v/>
      </c>
      <c r="G179" s="53" t="n"/>
      <c r="H179" s="57">
        <f>IF($B179="","",IF(COUNTIF(CONSULTAS!$C$7:$C$506,$B179)=0,"",SUMPRODUCT(MAX((CONSULTAS!$C$7:$C$506=$B179)*CONSULTAS!$B$7:$B$506))))</f>
        <v/>
      </c>
      <c r="I179" s="55" t="n"/>
      <c r="J179" s="58">
        <f>IF($B179="","",IF(AND(N($I179)&gt;=TODAY(),$I179&lt;&gt;""),"Cita agendada",IF($H179="","Sin consultas",IF(TODAY()-$H179&gt;DiasControl,"Control pendiente","Al día"))))</f>
        <v/>
      </c>
    </row>
    <row r="180">
      <c r="B180" s="53" t="n"/>
      <c r="C180" s="54" t="n"/>
      <c r="D180" s="54" t="n"/>
      <c r="E180" s="55" t="n"/>
      <c r="F180" s="56">
        <f>IF(OR($B180="",N($E180)=0),"",INT((TODAY()-$E180)/365.25))</f>
        <v/>
      </c>
      <c r="G180" s="53" t="n"/>
      <c r="H180" s="57">
        <f>IF($B180="","",IF(COUNTIF(CONSULTAS!$C$7:$C$506,$B180)=0,"",SUMPRODUCT(MAX((CONSULTAS!$C$7:$C$506=$B180)*CONSULTAS!$B$7:$B$506))))</f>
        <v/>
      </c>
      <c r="I180" s="55" t="n"/>
      <c r="J180" s="58">
        <f>IF($B180="","",IF(AND(N($I180)&gt;=TODAY(),$I180&lt;&gt;""),"Cita agendada",IF($H180="","Sin consultas",IF(TODAY()-$H180&gt;DiasControl,"Control pendiente","Al día"))))</f>
        <v/>
      </c>
    </row>
    <row r="181">
      <c r="B181" s="53" t="n"/>
      <c r="C181" s="54" t="n"/>
      <c r="D181" s="54" t="n"/>
      <c r="E181" s="55" t="n"/>
      <c r="F181" s="56">
        <f>IF(OR($B181="",N($E181)=0),"",INT((TODAY()-$E181)/365.25))</f>
        <v/>
      </c>
      <c r="G181" s="53" t="n"/>
      <c r="H181" s="57">
        <f>IF($B181="","",IF(COUNTIF(CONSULTAS!$C$7:$C$506,$B181)=0,"",SUMPRODUCT(MAX((CONSULTAS!$C$7:$C$506=$B181)*CONSULTAS!$B$7:$B$506))))</f>
        <v/>
      </c>
      <c r="I181" s="55" t="n"/>
      <c r="J181" s="58">
        <f>IF($B181="","",IF(AND(N($I181)&gt;=TODAY(),$I181&lt;&gt;""),"Cita agendada",IF($H181="","Sin consultas",IF(TODAY()-$H181&gt;DiasControl,"Control pendiente","Al día"))))</f>
        <v/>
      </c>
    </row>
    <row r="182">
      <c r="B182" s="53" t="n"/>
      <c r="C182" s="54" t="n"/>
      <c r="D182" s="54" t="n"/>
      <c r="E182" s="55" t="n"/>
      <c r="F182" s="56">
        <f>IF(OR($B182="",N($E182)=0),"",INT((TODAY()-$E182)/365.25))</f>
        <v/>
      </c>
      <c r="G182" s="53" t="n"/>
      <c r="H182" s="57">
        <f>IF($B182="","",IF(COUNTIF(CONSULTAS!$C$7:$C$506,$B182)=0,"",SUMPRODUCT(MAX((CONSULTAS!$C$7:$C$506=$B182)*CONSULTAS!$B$7:$B$506))))</f>
        <v/>
      </c>
      <c r="I182" s="55" t="n"/>
      <c r="J182" s="58">
        <f>IF($B182="","",IF(AND(N($I182)&gt;=TODAY(),$I182&lt;&gt;""),"Cita agendada",IF($H182="","Sin consultas",IF(TODAY()-$H182&gt;DiasControl,"Control pendiente","Al día"))))</f>
        <v/>
      </c>
    </row>
    <row r="183">
      <c r="B183" s="53" t="n"/>
      <c r="C183" s="54" t="n"/>
      <c r="D183" s="54" t="n"/>
      <c r="E183" s="55" t="n"/>
      <c r="F183" s="56">
        <f>IF(OR($B183="",N($E183)=0),"",INT((TODAY()-$E183)/365.25))</f>
        <v/>
      </c>
      <c r="G183" s="53" t="n"/>
      <c r="H183" s="57">
        <f>IF($B183="","",IF(COUNTIF(CONSULTAS!$C$7:$C$506,$B183)=0,"",SUMPRODUCT(MAX((CONSULTAS!$C$7:$C$506=$B183)*CONSULTAS!$B$7:$B$506))))</f>
        <v/>
      </c>
      <c r="I183" s="55" t="n"/>
      <c r="J183" s="58">
        <f>IF($B183="","",IF(AND(N($I183)&gt;=TODAY(),$I183&lt;&gt;""),"Cita agendada",IF($H183="","Sin consultas",IF(TODAY()-$H183&gt;DiasControl,"Control pendiente","Al día"))))</f>
        <v/>
      </c>
    </row>
    <row r="184">
      <c r="B184" s="53" t="n"/>
      <c r="C184" s="54" t="n"/>
      <c r="D184" s="54" t="n"/>
      <c r="E184" s="55" t="n"/>
      <c r="F184" s="56">
        <f>IF(OR($B184="",N($E184)=0),"",INT((TODAY()-$E184)/365.25))</f>
        <v/>
      </c>
      <c r="G184" s="53" t="n"/>
      <c r="H184" s="57">
        <f>IF($B184="","",IF(COUNTIF(CONSULTAS!$C$7:$C$506,$B184)=0,"",SUMPRODUCT(MAX((CONSULTAS!$C$7:$C$506=$B184)*CONSULTAS!$B$7:$B$506))))</f>
        <v/>
      </c>
      <c r="I184" s="55" t="n"/>
      <c r="J184" s="58">
        <f>IF($B184="","",IF(AND(N($I184)&gt;=TODAY(),$I184&lt;&gt;""),"Cita agendada",IF($H184="","Sin consultas",IF(TODAY()-$H184&gt;DiasControl,"Control pendiente","Al día"))))</f>
        <v/>
      </c>
    </row>
    <row r="185">
      <c r="B185" s="53" t="n"/>
      <c r="C185" s="54" t="n"/>
      <c r="D185" s="54" t="n"/>
      <c r="E185" s="55" t="n"/>
      <c r="F185" s="56">
        <f>IF(OR($B185="",N($E185)=0),"",INT((TODAY()-$E185)/365.25))</f>
        <v/>
      </c>
      <c r="G185" s="53" t="n"/>
      <c r="H185" s="57">
        <f>IF($B185="","",IF(COUNTIF(CONSULTAS!$C$7:$C$506,$B185)=0,"",SUMPRODUCT(MAX((CONSULTAS!$C$7:$C$506=$B185)*CONSULTAS!$B$7:$B$506))))</f>
        <v/>
      </c>
      <c r="I185" s="55" t="n"/>
      <c r="J185" s="58">
        <f>IF($B185="","",IF(AND(N($I185)&gt;=TODAY(),$I185&lt;&gt;""),"Cita agendada",IF($H185="","Sin consultas",IF(TODAY()-$H185&gt;DiasControl,"Control pendiente","Al día"))))</f>
        <v/>
      </c>
    </row>
    <row r="186">
      <c r="B186" s="53" t="n"/>
      <c r="C186" s="54" t="n"/>
      <c r="D186" s="54" t="n"/>
      <c r="E186" s="55" t="n"/>
      <c r="F186" s="56">
        <f>IF(OR($B186="",N($E186)=0),"",INT((TODAY()-$E186)/365.25))</f>
        <v/>
      </c>
      <c r="G186" s="53" t="n"/>
      <c r="H186" s="57">
        <f>IF($B186="","",IF(COUNTIF(CONSULTAS!$C$7:$C$506,$B186)=0,"",SUMPRODUCT(MAX((CONSULTAS!$C$7:$C$506=$B186)*CONSULTAS!$B$7:$B$506))))</f>
        <v/>
      </c>
      <c r="I186" s="55" t="n"/>
      <c r="J186" s="58">
        <f>IF($B186="","",IF(AND(N($I186)&gt;=TODAY(),$I186&lt;&gt;""),"Cita agendada",IF($H186="","Sin consultas",IF(TODAY()-$H186&gt;DiasControl,"Control pendiente","Al día"))))</f>
        <v/>
      </c>
    </row>
    <row r="187">
      <c r="B187" s="53" t="n"/>
      <c r="C187" s="54" t="n"/>
      <c r="D187" s="54" t="n"/>
      <c r="E187" s="55" t="n"/>
      <c r="F187" s="56">
        <f>IF(OR($B187="",N($E187)=0),"",INT((TODAY()-$E187)/365.25))</f>
        <v/>
      </c>
      <c r="G187" s="53" t="n"/>
      <c r="H187" s="57">
        <f>IF($B187="","",IF(COUNTIF(CONSULTAS!$C$7:$C$506,$B187)=0,"",SUMPRODUCT(MAX((CONSULTAS!$C$7:$C$506=$B187)*CONSULTAS!$B$7:$B$506))))</f>
        <v/>
      </c>
      <c r="I187" s="55" t="n"/>
      <c r="J187" s="58">
        <f>IF($B187="","",IF(AND(N($I187)&gt;=TODAY(),$I187&lt;&gt;""),"Cita agendada",IF($H187="","Sin consultas",IF(TODAY()-$H187&gt;DiasControl,"Control pendiente","Al día"))))</f>
        <v/>
      </c>
    </row>
    <row r="188">
      <c r="B188" s="53" t="n"/>
      <c r="C188" s="54" t="n"/>
      <c r="D188" s="54" t="n"/>
      <c r="E188" s="55" t="n"/>
      <c r="F188" s="56">
        <f>IF(OR($B188="",N($E188)=0),"",INT((TODAY()-$E188)/365.25))</f>
        <v/>
      </c>
      <c r="G188" s="53" t="n"/>
      <c r="H188" s="57">
        <f>IF($B188="","",IF(COUNTIF(CONSULTAS!$C$7:$C$506,$B188)=0,"",SUMPRODUCT(MAX((CONSULTAS!$C$7:$C$506=$B188)*CONSULTAS!$B$7:$B$506))))</f>
        <v/>
      </c>
      <c r="I188" s="55" t="n"/>
      <c r="J188" s="58">
        <f>IF($B188="","",IF(AND(N($I188)&gt;=TODAY(),$I188&lt;&gt;""),"Cita agendada",IF($H188="","Sin consultas",IF(TODAY()-$H188&gt;DiasControl,"Control pendiente","Al día"))))</f>
        <v/>
      </c>
    </row>
    <row r="189">
      <c r="B189" s="53" t="n"/>
      <c r="C189" s="54" t="n"/>
      <c r="D189" s="54" t="n"/>
      <c r="E189" s="55" t="n"/>
      <c r="F189" s="56">
        <f>IF(OR($B189="",N($E189)=0),"",INT((TODAY()-$E189)/365.25))</f>
        <v/>
      </c>
      <c r="G189" s="53" t="n"/>
      <c r="H189" s="57">
        <f>IF($B189="","",IF(COUNTIF(CONSULTAS!$C$7:$C$506,$B189)=0,"",SUMPRODUCT(MAX((CONSULTAS!$C$7:$C$506=$B189)*CONSULTAS!$B$7:$B$506))))</f>
        <v/>
      </c>
      <c r="I189" s="55" t="n"/>
      <c r="J189" s="58">
        <f>IF($B189="","",IF(AND(N($I189)&gt;=TODAY(),$I189&lt;&gt;""),"Cita agendada",IF($H189="","Sin consultas",IF(TODAY()-$H189&gt;DiasControl,"Control pendiente","Al día"))))</f>
        <v/>
      </c>
    </row>
    <row r="190">
      <c r="B190" s="53" t="n"/>
      <c r="C190" s="54" t="n"/>
      <c r="D190" s="54" t="n"/>
      <c r="E190" s="55" t="n"/>
      <c r="F190" s="56">
        <f>IF(OR($B190="",N($E190)=0),"",INT((TODAY()-$E190)/365.25))</f>
        <v/>
      </c>
      <c r="G190" s="53" t="n"/>
      <c r="H190" s="57">
        <f>IF($B190="","",IF(COUNTIF(CONSULTAS!$C$7:$C$506,$B190)=0,"",SUMPRODUCT(MAX((CONSULTAS!$C$7:$C$506=$B190)*CONSULTAS!$B$7:$B$506))))</f>
        <v/>
      </c>
      <c r="I190" s="55" t="n"/>
      <c r="J190" s="58">
        <f>IF($B190="","",IF(AND(N($I190)&gt;=TODAY(),$I190&lt;&gt;""),"Cita agendada",IF($H190="","Sin consultas",IF(TODAY()-$H190&gt;DiasControl,"Control pendiente","Al día"))))</f>
        <v/>
      </c>
    </row>
    <row r="191">
      <c r="B191" s="53" t="n"/>
      <c r="C191" s="54" t="n"/>
      <c r="D191" s="54" t="n"/>
      <c r="E191" s="55" t="n"/>
      <c r="F191" s="56">
        <f>IF(OR($B191="",N($E191)=0),"",INT((TODAY()-$E191)/365.25))</f>
        <v/>
      </c>
      <c r="G191" s="53" t="n"/>
      <c r="H191" s="57">
        <f>IF($B191="","",IF(COUNTIF(CONSULTAS!$C$7:$C$506,$B191)=0,"",SUMPRODUCT(MAX((CONSULTAS!$C$7:$C$506=$B191)*CONSULTAS!$B$7:$B$506))))</f>
        <v/>
      </c>
      <c r="I191" s="55" t="n"/>
      <c r="J191" s="58">
        <f>IF($B191="","",IF(AND(N($I191)&gt;=TODAY(),$I191&lt;&gt;""),"Cita agendada",IF($H191="","Sin consultas",IF(TODAY()-$H191&gt;DiasControl,"Control pendiente","Al día"))))</f>
        <v/>
      </c>
    </row>
    <row r="192">
      <c r="B192" s="53" t="n"/>
      <c r="C192" s="54" t="n"/>
      <c r="D192" s="54" t="n"/>
      <c r="E192" s="55" t="n"/>
      <c r="F192" s="56">
        <f>IF(OR($B192="",N($E192)=0),"",INT((TODAY()-$E192)/365.25))</f>
        <v/>
      </c>
      <c r="G192" s="53" t="n"/>
      <c r="H192" s="57">
        <f>IF($B192="","",IF(COUNTIF(CONSULTAS!$C$7:$C$506,$B192)=0,"",SUMPRODUCT(MAX((CONSULTAS!$C$7:$C$506=$B192)*CONSULTAS!$B$7:$B$506))))</f>
        <v/>
      </c>
      <c r="I192" s="55" t="n"/>
      <c r="J192" s="58">
        <f>IF($B192="","",IF(AND(N($I192)&gt;=TODAY(),$I192&lt;&gt;""),"Cita agendada",IF($H192="","Sin consultas",IF(TODAY()-$H192&gt;DiasControl,"Control pendiente","Al día"))))</f>
        <v/>
      </c>
    </row>
    <row r="193">
      <c r="B193" s="53" t="n"/>
      <c r="C193" s="54" t="n"/>
      <c r="D193" s="54" t="n"/>
      <c r="E193" s="55" t="n"/>
      <c r="F193" s="56">
        <f>IF(OR($B193="",N($E193)=0),"",INT((TODAY()-$E193)/365.25))</f>
        <v/>
      </c>
      <c r="G193" s="53" t="n"/>
      <c r="H193" s="57">
        <f>IF($B193="","",IF(COUNTIF(CONSULTAS!$C$7:$C$506,$B193)=0,"",SUMPRODUCT(MAX((CONSULTAS!$C$7:$C$506=$B193)*CONSULTAS!$B$7:$B$506))))</f>
        <v/>
      </c>
      <c r="I193" s="55" t="n"/>
      <c r="J193" s="58">
        <f>IF($B193="","",IF(AND(N($I193)&gt;=TODAY(),$I193&lt;&gt;""),"Cita agendada",IF($H193="","Sin consultas",IF(TODAY()-$H193&gt;DiasControl,"Control pendiente","Al día"))))</f>
        <v/>
      </c>
    </row>
    <row r="194">
      <c r="B194" s="53" t="n"/>
      <c r="C194" s="54" t="n"/>
      <c r="D194" s="54" t="n"/>
      <c r="E194" s="55" t="n"/>
      <c r="F194" s="56">
        <f>IF(OR($B194="",N($E194)=0),"",INT((TODAY()-$E194)/365.25))</f>
        <v/>
      </c>
      <c r="G194" s="53" t="n"/>
      <c r="H194" s="57">
        <f>IF($B194="","",IF(COUNTIF(CONSULTAS!$C$7:$C$506,$B194)=0,"",SUMPRODUCT(MAX((CONSULTAS!$C$7:$C$506=$B194)*CONSULTAS!$B$7:$B$506))))</f>
        <v/>
      </c>
      <c r="I194" s="55" t="n"/>
      <c r="J194" s="58">
        <f>IF($B194="","",IF(AND(N($I194)&gt;=TODAY(),$I194&lt;&gt;""),"Cita agendada",IF($H194="","Sin consultas",IF(TODAY()-$H194&gt;DiasControl,"Control pendiente","Al día"))))</f>
        <v/>
      </c>
    </row>
    <row r="195">
      <c r="B195" s="53" t="n"/>
      <c r="C195" s="54" t="n"/>
      <c r="D195" s="54" t="n"/>
      <c r="E195" s="55" t="n"/>
      <c r="F195" s="56">
        <f>IF(OR($B195="",N($E195)=0),"",INT((TODAY()-$E195)/365.25))</f>
        <v/>
      </c>
      <c r="G195" s="53" t="n"/>
      <c r="H195" s="57">
        <f>IF($B195="","",IF(COUNTIF(CONSULTAS!$C$7:$C$506,$B195)=0,"",SUMPRODUCT(MAX((CONSULTAS!$C$7:$C$506=$B195)*CONSULTAS!$B$7:$B$506))))</f>
        <v/>
      </c>
      <c r="I195" s="55" t="n"/>
      <c r="J195" s="58">
        <f>IF($B195="","",IF(AND(N($I195)&gt;=TODAY(),$I195&lt;&gt;""),"Cita agendada",IF($H195="","Sin consultas",IF(TODAY()-$H195&gt;DiasControl,"Control pendiente","Al día"))))</f>
        <v/>
      </c>
    </row>
    <row r="196">
      <c r="B196" s="53" t="n"/>
      <c r="C196" s="54" t="n"/>
      <c r="D196" s="54" t="n"/>
      <c r="E196" s="55" t="n"/>
      <c r="F196" s="56">
        <f>IF(OR($B196="",N($E196)=0),"",INT((TODAY()-$E196)/365.25))</f>
        <v/>
      </c>
      <c r="G196" s="53" t="n"/>
      <c r="H196" s="57">
        <f>IF($B196="","",IF(COUNTIF(CONSULTAS!$C$7:$C$506,$B196)=0,"",SUMPRODUCT(MAX((CONSULTAS!$C$7:$C$506=$B196)*CONSULTAS!$B$7:$B$506))))</f>
        <v/>
      </c>
      <c r="I196" s="55" t="n"/>
      <c r="J196" s="58">
        <f>IF($B196="","",IF(AND(N($I196)&gt;=TODAY(),$I196&lt;&gt;""),"Cita agendada",IF($H196="","Sin consultas",IF(TODAY()-$H196&gt;DiasControl,"Control pendiente","Al día"))))</f>
        <v/>
      </c>
    </row>
    <row r="197">
      <c r="B197" s="53" t="n"/>
      <c r="C197" s="54" t="n"/>
      <c r="D197" s="54" t="n"/>
      <c r="E197" s="55" t="n"/>
      <c r="F197" s="56">
        <f>IF(OR($B197="",N($E197)=0),"",INT((TODAY()-$E197)/365.25))</f>
        <v/>
      </c>
      <c r="G197" s="53" t="n"/>
      <c r="H197" s="57">
        <f>IF($B197="","",IF(COUNTIF(CONSULTAS!$C$7:$C$506,$B197)=0,"",SUMPRODUCT(MAX((CONSULTAS!$C$7:$C$506=$B197)*CONSULTAS!$B$7:$B$506))))</f>
        <v/>
      </c>
      <c r="I197" s="55" t="n"/>
      <c r="J197" s="58">
        <f>IF($B197="","",IF(AND(N($I197)&gt;=TODAY(),$I197&lt;&gt;""),"Cita agendada",IF($H197="","Sin consultas",IF(TODAY()-$H197&gt;DiasControl,"Control pendiente","Al día"))))</f>
        <v/>
      </c>
    </row>
    <row r="198">
      <c r="B198" s="53" t="n"/>
      <c r="C198" s="54" t="n"/>
      <c r="D198" s="54" t="n"/>
      <c r="E198" s="55" t="n"/>
      <c r="F198" s="56">
        <f>IF(OR($B198="",N($E198)=0),"",INT((TODAY()-$E198)/365.25))</f>
        <v/>
      </c>
      <c r="G198" s="53" t="n"/>
      <c r="H198" s="57">
        <f>IF($B198="","",IF(COUNTIF(CONSULTAS!$C$7:$C$506,$B198)=0,"",SUMPRODUCT(MAX((CONSULTAS!$C$7:$C$506=$B198)*CONSULTAS!$B$7:$B$506))))</f>
        <v/>
      </c>
      <c r="I198" s="55" t="n"/>
      <c r="J198" s="58">
        <f>IF($B198="","",IF(AND(N($I198)&gt;=TODAY(),$I198&lt;&gt;""),"Cita agendada",IF($H198="","Sin consultas",IF(TODAY()-$H198&gt;DiasControl,"Control pendiente","Al día"))))</f>
        <v/>
      </c>
    </row>
    <row r="199">
      <c r="B199" s="53" t="n"/>
      <c r="C199" s="54" t="n"/>
      <c r="D199" s="54" t="n"/>
      <c r="E199" s="55" t="n"/>
      <c r="F199" s="56">
        <f>IF(OR($B199="",N($E199)=0),"",INT((TODAY()-$E199)/365.25))</f>
        <v/>
      </c>
      <c r="G199" s="53" t="n"/>
      <c r="H199" s="57">
        <f>IF($B199="","",IF(COUNTIF(CONSULTAS!$C$7:$C$506,$B199)=0,"",SUMPRODUCT(MAX((CONSULTAS!$C$7:$C$506=$B199)*CONSULTAS!$B$7:$B$506))))</f>
        <v/>
      </c>
      <c r="I199" s="55" t="n"/>
      <c r="J199" s="58">
        <f>IF($B199="","",IF(AND(N($I199)&gt;=TODAY(),$I199&lt;&gt;""),"Cita agendada",IF($H199="","Sin consultas",IF(TODAY()-$H199&gt;DiasControl,"Control pendiente","Al día"))))</f>
        <v/>
      </c>
    </row>
    <row r="200">
      <c r="B200" s="53" t="n"/>
      <c r="C200" s="54" t="n"/>
      <c r="D200" s="54" t="n"/>
      <c r="E200" s="55" t="n"/>
      <c r="F200" s="56">
        <f>IF(OR($B200="",N($E200)=0),"",INT((TODAY()-$E200)/365.25))</f>
        <v/>
      </c>
      <c r="G200" s="53" t="n"/>
      <c r="H200" s="57">
        <f>IF($B200="","",IF(COUNTIF(CONSULTAS!$C$7:$C$506,$B200)=0,"",SUMPRODUCT(MAX((CONSULTAS!$C$7:$C$506=$B200)*CONSULTAS!$B$7:$B$506))))</f>
        <v/>
      </c>
      <c r="I200" s="55" t="n"/>
      <c r="J200" s="58">
        <f>IF($B200="","",IF(AND(N($I200)&gt;=TODAY(),$I200&lt;&gt;""),"Cita agendada",IF($H200="","Sin consultas",IF(TODAY()-$H200&gt;DiasControl,"Control pendiente","Al día"))))</f>
        <v/>
      </c>
    </row>
    <row r="201">
      <c r="B201" s="53" t="n"/>
      <c r="C201" s="54" t="n"/>
      <c r="D201" s="54" t="n"/>
      <c r="E201" s="55" t="n"/>
      <c r="F201" s="56">
        <f>IF(OR($B201="",N($E201)=0),"",INT((TODAY()-$E201)/365.25))</f>
        <v/>
      </c>
      <c r="G201" s="53" t="n"/>
      <c r="H201" s="57">
        <f>IF($B201="","",IF(COUNTIF(CONSULTAS!$C$7:$C$506,$B201)=0,"",SUMPRODUCT(MAX((CONSULTAS!$C$7:$C$506=$B201)*CONSULTAS!$B$7:$B$506))))</f>
        <v/>
      </c>
      <c r="I201" s="55" t="n"/>
      <c r="J201" s="58">
        <f>IF($B201="","",IF(AND(N($I201)&gt;=TODAY(),$I201&lt;&gt;""),"Cita agendada",IF($H201="","Sin consultas",IF(TODAY()-$H201&gt;DiasControl,"Control pendiente","Al día"))))</f>
        <v/>
      </c>
    </row>
    <row r="202">
      <c r="B202" s="53" t="n"/>
      <c r="C202" s="54" t="n"/>
      <c r="D202" s="54" t="n"/>
      <c r="E202" s="55" t="n"/>
      <c r="F202" s="56">
        <f>IF(OR($B202="",N($E202)=0),"",INT((TODAY()-$E202)/365.25))</f>
        <v/>
      </c>
      <c r="G202" s="53" t="n"/>
      <c r="H202" s="57">
        <f>IF($B202="","",IF(COUNTIF(CONSULTAS!$C$7:$C$506,$B202)=0,"",SUMPRODUCT(MAX((CONSULTAS!$C$7:$C$506=$B202)*CONSULTAS!$B$7:$B$506))))</f>
        <v/>
      </c>
      <c r="I202" s="55" t="n"/>
      <c r="J202" s="58">
        <f>IF($B202="","",IF(AND(N($I202)&gt;=TODAY(),$I202&lt;&gt;""),"Cita agendada",IF($H202="","Sin consultas",IF(TODAY()-$H202&gt;DiasControl,"Control pendiente","Al día"))))</f>
        <v/>
      </c>
    </row>
    <row r="203">
      <c r="B203" s="53" t="n"/>
      <c r="C203" s="54" t="n"/>
      <c r="D203" s="54" t="n"/>
      <c r="E203" s="55" t="n"/>
      <c r="F203" s="56">
        <f>IF(OR($B203="",N($E203)=0),"",INT((TODAY()-$E203)/365.25))</f>
        <v/>
      </c>
      <c r="G203" s="53" t="n"/>
      <c r="H203" s="57">
        <f>IF($B203="","",IF(COUNTIF(CONSULTAS!$C$7:$C$506,$B203)=0,"",SUMPRODUCT(MAX((CONSULTAS!$C$7:$C$506=$B203)*CONSULTAS!$B$7:$B$506))))</f>
        <v/>
      </c>
      <c r="I203" s="55" t="n"/>
      <c r="J203" s="58">
        <f>IF($B203="","",IF(AND(N($I203)&gt;=TODAY(),$I203&lt;&gt;""),"Cita agendada",IF($H203="","Sin consultas",IF(TODAY()-$H203&gt;DiasControl,"Control pendiente","Al día"))))</f>
        <v/>
      </c>
    </row>
    <row r="204">
      <c r="B204" s="53" t="n"/>
      <c r="C204" s="54" t="n"/>
      <c r="D204" s="54" t="n"/>
      <c r="E204" s="55" t="n"/>
      <c r="F204" s="56">
        <f>IF(OR($B204="",N($E204)=0),"",INT((TODAY()-$E204)/365.25))</f>
        <v/>
      </c>
      <c r="G204" s="53" t="n"/>
      <c r="H204" s="57">
        <f>IF($B204="","",IF(COUNTIF(CONSULTAS!$C$7:$C$506,$B204)=0,"",SUMPRODUCT(MAX((CONSULTAS!$C$7:$C$506=$B204)*CONSULTAS!$B$7:$B$506))))</f>
        <v/>
      </c>
      <c r="I204" s="55" t="n"/>
      <c r="J204" s="58">
        <f>IF($B204="","",IF(AND(N($I204)&gt;=TODAY(),$I204&lt;&gt;""),"Cita agendada",IF($H204="","Sin consultas",IF(TODAY()-$H204&gt;DiasControl,"Control pendiente","Al día"))))</f>
        <v/>
      </c>
    </row>
    <row r="205">
      <c r="B205" s="53" t="n"/>
      <c r="C205" s="54" t="n"/>
      <c r="D205" s="54" t="n"/>
      <c r="E205" s="55" t="n"/>
      <c r="F205" s="56">
        <f>IF(OR($B205="",N($E205)=0),"",INT((TODAY()-$E205)/365.25))</f>
        <v/>
      </c>
      <c r="G205" s="53" t="n"/>
      <c r="H205" s="57">
        <f>IF($B205="","",IF(COUNTIF(CONSULTAS!$C$7:$C$506,$B205)=0,"",SUMPRODUCT(MAX((CONSULTAS!$C$7:$C$506=$B205)*CONSULTAS!$B$7:$B$506))))</f>
        <v/>
      </c>
      <c r="I205" s="55" t="n"/>
      <c r="J205" s="58">
        <f>IF($B205="","",IF(AND(N($I205)&gt;=TODAY(),$I205&lt;&gt;""),"Cita agendada",IF($H205="","Sin consultas",IF(TODAY()-$H205&gt;DiasControl,"Control pendiente","Al día"))))</f>
        <v/>
      </c>
    </row>
    <row r="206">
      <c r="B206" s="53" t="n"/>
      <c r="C206" s="54" t="n"/>
      <c r="D206" s="54" t="n"/>
      <c r="E206" s="55" t="n"/>
      <c r="F206" s="56">
        <f>IF(OR($B206="",N($E206)=0),"",INT((TODAY()-$E206)/365.25))</f>
        <v/>
      </c>
      <c r="G206" s="53" t="n"/>
      <c r="H206" s="57">
        <f>IF($B206="","",IF(COUNTIF(CONSULTAS!$C$7:$C$506,$B206)=0,"",SUMPRODUCT(MAX((CONSULTAS!$C$7:$C$506=$B206)*CONSULTAS!$B$7:$B$506))))</f>
        <v/>
      </c>
      <c r="I206" s="55" t="n"/>
      <c r="J206" s="58">
        <f>IF($B206="","",IF(AND(N($I206)&gt;=TODAY(),$I206&lt;&gt;""),"Cita agendada",IF($H206="","Sin consultas",IF(TODAY()-$H206&gt;DiasControl,"Control pendiente","Al día"))))</f>
        <v/>
      </c>
    </row>
    <row r="208" ht="8" customHeight="1">
      <c r="B208" s="48" t="n"/>
    </row>
    <row r="209" ht="16" customHeight="1">
      <c r="B209" s="25" t="inlineStr">
        <is>
          <t>MIX SHOP DIGITAL  ·  Herramientas inteligentes que simplifican tu vida.</t>
        </is>
      </c>
    </row>
    <row r="210" ht="16" customHeight="1">
      <c r="B210" s="49" t="inlineStr">
        <is>
          <t>Versión gratuita  ·  Para gestionar todo tu consultorio en un solo lugar, conocé ODONTO SMART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950"/>
  <autoFilter ref="B6:J206"/>
  <mergeCells count="10">
    <mergeCell ref="C4:J4"/>
    <mergeCell ref="B209:J209"/>
    <mergeCell ref="B3:J3"/>
    <mergeCell ref="B2:C2"/>
    <mergeCell ref="B5:J5"/>
    <mergeCell ref="B208:J208"/>
    <mergeCell ref="D2:J2"/>
    <mergeCell ref="D1:J1"/>
    <mergeCell ref="B1:C1"/>
    <mergeCell ref="B210:J210"/>
  </mergeCells>
  <conditionalFormatting sqref="J7:J206">
    <cfRule type="expression" priority="1" dxfId="0">
      <formula>$J7="Control pendiente"</formula>
    </cfRule>
    <cfRule type="expression" priority="2" dxfId="2">
      <formula>$J7="Cita agendada"</formula>
    </cfRule>
    <cfRule type="expression" priority="3" dxfId="3">
      <formula>$J7="Al día"</formula>
    </cfRule>
    <cfRule type="expression" priority="4" dxfId="4">
      <formula>$J7="Sin consultas"</formula>
    </cfRule>
  </conditionalFormatting>
  <conditionalFormatting sqref="I7:I206">
    <cfRule type="expression" priority="5" dxfId="1">
      <formula>AND($I7&lt;&gt;"",$I7&gt;=TODAY(),$I7&lt;=TODAY()+7)</formula>
    </cfRule>
  </conditionalFormatting>
  <conditionalFormatting sqref="G7:G206">
    <cfRule type="expression" priority="6" dxfId="5">
      <formula>$G7&lt;&gt;""</formula>
    </cfRule>
  </conditionalFormatting>
  <dataValidations count="1">
    <dataValidation sqref="E7:E206 I7:I206" showDropDown="0" showInputMessage="1" showErrorMessage="1" allowBlank="1" errorTitle="Fecha no válida" error="Escribí una fecha válida. Ej.: 15/03/1990" promptTitle="Fecha" prompt="Ej.: 15/03/1990" type="date" operator="between">
      <formula1>1</formula1>
      <formula2>73415</formula2>
    </dataValidation>
  </dataValidations>
  <hyperlinks>
    <hyperlink ref="B4" location="'PANEL'!A1" display="← VOLVER"/>
    <hyperlink xmlns:r="http://schemas.openxmlformats.org/officeDocument/2006/relationships" ref="B210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&amp;K0B3C5DMIX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CCBB0"/>
    <outlinePr summaryBelow="1" summaryRight="1"/>
    <pageSetUpPr fitToPage="1"/>
  </sheetPr>
  <dimension ref="B1:F51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32" customWidth="1" min="3" max="3"/>
    <col width="28" customWidth="1" min="4" max="4"/>
    <col width="16" customWidth="1" min="5" max="5"/>
    <col width="38" customWidth="1" min="6" max="6"/>
  </cols>
  <sheetData>
    <row r="1" ht="30" customHeight="1">
      <c r="B1" s="1" t="inlineStr">
        <is>
          <t>MIX SHOP DIGITAL</t>
        </is>
      </c>
      <c r="D1" s="2" t="inlineStr">
        <is>
          <t>CONSULTAS</t>
        </is>
      </c>
    </row>
    <row r="2" ht="18" customHeight="1">
      <c r="B2" s="3" t="inlineStr">
        <is>
          <t>Herramientas inteligentes que simplifican tu vida.</t>
        </is>
      </c>
      <c r="D2" s="4" t="inlineStr">
        <is>
          <t>Anotá cada atención</t>
        </is>
      </c>
    </row>
    <row r="3" ht="4" customHeight="1">
      <c r="B3" s="5" t="n"/>
    </row>
    <row r="4" ht="20" customHeight="1">
      <c r="B4" s="50" t="inlineStr">
        <is>
          <t>← VOLVER</t>
        </is>
      </c>
      <c r="C4" s="6" t="inlineStr">
        <is>
          <t>Una fila por atención. Elegí el paciente y el tratamiento de las listas. Podés ordenar y filtrar con la fila de títulos.</t>
        </is>
      </c>
    </row>
    <row r="5">
      <c r="B5" s="51">
        <f>"Atenciones cargadas: "&amp;COUNT(B7:B506)&amp;" de 500   ·   Ingresos del año: "&amp;FIXED(PANEL!D28,0)&amp;" "&amp;Moneda</f>
        <v/>
      </c>
    </row>
    <row r="6" ht="24" customHeight="1">
      <c r="B6" s="9" t="inlineStr">
        <is>
          <t>Fecha</t>
        </is>
      </c>
      <c r="C6" s="9" t="inlineStr">
        <is>
          <t>Paciente</t>
        </is>
      </c>
      <c r="D6" s="9" t="inlineStr">
        <is>
          <t>Tratamiento</t>
        </is>
      </c>
      <c r="E6" s="9" t="inlineStr">
        <is>
          <t>Monto cobrado</t>
        </is>
      </c>
      <c r="F6" s="9" t="inlineStr">
        <is>
          <t>Observación (opcional)</t>
        </is>
      </c>
    </row>
    <row r="7">
      <c r="B7" s="55" t="n">
        <v>46023</v>
      </c>
      <c r="C7" s="53" t="inlineStr">
        <is>
          <t>Pablo Acosta</t>
        </is>
      </c>
      <c r="D7" s="53" t="inlineStr">
        <is>
          <t>Control de ortodoncia</t>
        </is>
      </c>
      <c r="E7" s="59" t="n">
        <v>195000</v>
      </c>
      <c r="F7" s="53" t="n"/>
    </row>
    <row r="8">
      <c r="B8" s="55" t="n">
        <v>46023</v>
      </c>
      <c r="C8" s="53" t="inlineStr">
        <is>
          <t>Daniel Samudio</t>
        </is>
      </c>
      <c r="D8" s="53" t="inlineStr">
        <is>
          <t>Extracción</t>
        </is>
      </c>
      <c r="E8" s="59" t="n">
        <v>280000</v>
      </c>
      <c r="F8" s="53" t="n"/>
    </row>
    <row r="9">
      <c r="B9" s="55" t="n">
        <v>46024</v>
      </c>
      <c r="C9" s="53" t="inlineStr">
        <is>
          <t>Óscar Noguera</t>
        </is>
      </c>
      <c r="D9" s="53" t="inlineStr">
        <is>
          <t>Control de ortodoncia</t>
        </is>
      </c>
      <c r="E9" s="59" t="n">
        <v>220000</v>
      </c>
      <c r="F9" s="53" t="n"/>
    </row>
    <row r="10">
      <c r="B10" s="55" t="n">
        <v>46025</v>
      </c>
      <c r="C10" s="53" t="inlineStr">
        <is>
          <t>Óscar Noguera</t>
        </is>
      </c>
      <c r="D10" s="53" t="inlineStr">
        <is>
          <t>Obturación (arreglo)</t>
        </is>
      </c>
      <c r="E10" s="59" t="n">
        <v>225000</v>
      </c>
      <c r="F10" s="53" t="n"/>
    </row>
    <row r="11">
      <c r="B11" s="55" t="n">
        <v>46026</v>
      </c>
      <c r="C11" s="53" t="inlineStr">
        <is>
          <t>Tomás Giménez</t>
        </is>
      </c>
      <c r="D11" s="53" t="inlineStr">
        <is>
          <t>Limpieza dental</t>
        </is>
      </c>
      <c r="E11" s="59" t="n">
        <v>200000</v>
      </c>
      <c r="F11" s="53" t="n"/>
    </row>
    <row r="12">
      <c r="B12" s="55" t="n">
        <v>46029</v>
      </c>
      <c r="C12" s="53" t="inlineStr">
        <is>
          <t>Elena Báez</t>
        </is>
      </c>
      <c r="D12" s="53" t="inlineStr">
        <is>
          <t>Endodoncia</t>
        </is>
      </c>
      <c r="E12" s="59" t="n">
        <v>800000</v>
      </c>
      <c r="F12" s="53" t="n"/>
    </row>
    <row r="13">
      <c r="B13" s="55" t="n">
        <v>46029</v>
      </c>
      <c r="C13" s="53" t="inlineStr">
        <is>
          <t>Patricia Delvalle</t>
        </is>
      </c>
      <c r="D13" s="53" t="inlineStr">
        <is>
          <t>Consulta</t>
        </is>
      </c>
      <c r="E13" s="59" t="n">
        <v>100000</v>
      </c>
      <c r="F13" s="53" t="n"/>
    </row>
    <row r="14">
      <c r="B14" s="55" t="n">
        <v>46030</v>
      </c>
      <c r="C14" s="53" t="inlineStr">
        <is>
          <t>Valeria Ríos</t>
        </is>
      </c>
      <c r="D14" s="53" t="inlineStr">
        <is>
          <t>Limpieza dental</t>
        </is>
      </c>
      <c r="E14" s="59" t="n">
        <v>190000</v>
      </c>
      <c r="F14" s="53" t="n"/>
    </row>
    <row r="15">
      <c r="B15" s="55" t="n">
        <v>46030</v>
      </c>
      <c r="C15" s="53" t="inlineStr">
        <is>
          <t>Natalia Peralta</t>
        </is>
      </c>
      <c r="D15" s="53" t="inlineStr">
        <is>
          <t>Urgencia</t>
        </is>
      </c>
      <c r="E15" s="59" t="n">
        <v>160000</v>
      </c>
      <c r="F15" s="53" t="n"/>
    </row>
    <row r="16">
      <c r="B16" s="55" t="n">
        <v>46030</v>
      </c>
      <c r="C16" s="53" t="inlineStr">
        <is>
          <t>Liz Cardozo</t>
        </is>
      </c>
      <c r="D16" s="53" t="inlineStr">
        <is>
          <t>Urgencia</t>
        </is>
      </c>
      <c r="E16" s="59" t="n">
        <v>155000</v>
      </c>
      <c r="F16" s="53" t="n"/>
    </row>
    <row r="17">
      <c r="B17" s="55" t="n">
        <v>46031</v>
      </c>
      <c r="C17" s="53" t="inlineStr">
        <is>
          <t>Andrés Insfrán</t>
        </is>
      </c>
      <c r="D17" s="53" t="inlineStr">
        <is>
          <t>Urgencia</t>
        </is>
      </c>
      <c r="E17" s="59" t="n">
        <v>165000</v>
      </c>
      <c r="F17" s="53" t="n"/>
    </row>
    <row r="18">
      <c r="B18" s="55" t="n">
        <v>46031</v>
      </c>
      <c r="C18" s="53" t="inlineStr">
        <is>
          <t>Daniel Samudio</t>
        </is>
      </c>
      <c r="D18" s="53" t="inlineStr">
        <is>
          <t>Extracción</t>
        </is>
      </c>
      <c r="E18" s="59" t="n">
        <v>240000</v>
      </c>
      <c r="F18" s="53" t="n"/>
    </row>
    <row r="19">
      <c r="B19" s="55" t="n">
        <v>46032</v>
      </c>
      <c r="C19" s="53" t="inlineStr">
        <is>
          <t>Teresa Rolón</t>
        </is>
      </c>
      <c r="D19" s="53" t="inlineStr">
        <is>
          <t>Obturación (arreglo)</t>
        </is>
      </c>
      <c r="E19" s="59" t="n">
        <v>235000</v>
      </c>
      <c r="F19" s="53" t="n"/>
    </row>
    <row r="20">
      <c r="B20" s="55" t="n">
        <v>46036</v>
      </c>
      <c r="C20" s="53" t="inlineStr">
        <is>
          <t>Iván Sosa</t>
        </is>
      </c>
      <c r="D20" s="53" t="inlineStr">
        <is>
          <t>Obturación (arreglo)</t>
        </is>
      </c>
      <c r="E20" s="59" t="n">
        <v>205000</v>
      </c>
      <c r="F20" s="53" t="n"/>
    </row>
    <row r="21">
      <c r="B21" s="55" t="n">
        <v>46038</v>
      </c>
      <c r="C21" s="53" t="inlineStr">
        <is>
          <t>Diego Cabrera</t>
        </is>
      </c>
      <c r="D21" s="53" t="inlineStr">
        <is>
          <t>Endodoncia</t>
        </is>
      </c>
      <c r="E21" s="59" t="n">
        <v>810000</v>
      </c>
      <c r="F21" s="53" t="n"/>
    </row>
    <row r="22">
      <c r="B22" s="55" t="n">
        <v>46038</v>
      </c>
      <c r="C22" s="53" t="inlineStr">
        <is>
          <t>Mónica Ayala</t>
        </is>
      </c>
      <c r="D22" s="53" t="inlineStr">
        <is>
          <t>Consulta</t>
        </is>
      </c>
      <c r="E22" s="59" t="n">
        <v>110000</v>
      </c>
      <c r="F22" s="53" t="n"/>
    </row>
    <row r="23">
      <c r="B23" s="55" t="n">
        <v>46044</v>
      </c>
      <c r="C23" s="53" t="inlineStr">
        <is>
          <t>Camila Franco</t>
        </is>
      </c>
      <c r="D23" s="53" t="inlineStr">
        <is>
          <t>Control de ortodoncia</t>
        </is>
      </c>
      <c r="E23" s="59" t="n">
        <v>210000</v>
      </c>
      <c r="F23" s="53" t="n"/>
    </row>
    <row r="24">
      <c r="B24" s="55" t="n">
        <v>46047</v>
      </c>
      <c r="C24" s="53" t="inlineStr">
        <is>
          <t>Pablo Acosta</t>
        </is>
      </c>
      <c r="D24" s="53" t="inlineStr">
        <is>
          <t>Limpieza dental</t>
        </is>
      </c>
      <c r="E24" s="59" t="n">
        <v>170000</v>
      </c>
      <c r="F24" s="53" t="n"/>
    </row>
    <row r="25">
      <c r="B25" s="55" t="n">
        <v>46048</v>
      </c>
      <c r="C25" s="53" t="inlineStr">
        <is>
          <t>Gabriela Lezcano</t>
        </is>
      </c>
      <c r="D25" s="53" t="inlineStr">
        <is>
          <t>Limpieza dental</t>
        </is>
      </c>
      <c r="E25" s="59" t="n">
        <v>180000</v>
      </c>
      <c r="F25" s="53" t="n"/>
    </row>
    <row r="26">
      <c r="B26" s="55" t="n">
        <v>46050</v>
      </c>
      <c r="C26" s="53" t="inlineStr">
        <is>
          <t>Diego Cabrera</t>
        </is>
      </c>
      <c r="D26" s="53" t="inlineStr">
        <is>
          <t>Limpieza dental</t>
        </is>
      </c>
      <c r="E26" s="59" t="n">
        <v>205000</v>
      </c>
      <c r="F26" s="53" t="n"/>
    </row>
    <row r="27">
      <c r="B27" s="55" t="n">
        <v>46057</v>
      </c>
      <c r="C27" s="53" t="inlineStr">
        <is>
          <t>Elena Báez</t>
        </is>
      </c>
      <c r="D27" s="53" t="inlineStr">
        <is>
          <t>Consulta</t>
        </is>
      </c>
      <c r="E27" s="59" t="n">
        <v>100000</v>
      </c>
      <c r="F27" s="53" t="n"/>
    </row>
    <row r="28">
      <c r="B28" s="55" t="n">
        <v>46057</v>
      </c>
      <c r="C28" s="53" t="inlineStr">
        <is>
          <t>Pablo Acosta</t>
        </is>
      </c>
      <c r="D28" s="53" t="inlineStr">
        <is>
          <t>Control de ortodoncia</t>
        </is>
      </c>
      <c r="E28" s="59" t="n">
        <v>215000</v>
      </c>
      <c r="F28" s="53" t="n"/>
    </row>
    <row r="29">
      <c r="B29" s="55" t="n">
        <v>46058</v>
      </c>
      <c r="C29" s="53" t="inlineStr">
        <is>
          <t>Mónica Ayala</t>
        </is>
      </c>
      <c r="D29" s="53" t="inlineStr">
        <is>
          <t>Control de ortodoncia</t>
        </is>
      </c>
      <c r="E29" s="59" t="n">
        <v>220000</v>
      </c>
      <c r="F29" s="53" t="n"/>
    </row>
    <row r="30">
      <c r="B30" s="55" t="n">
        <v>46058</v>
      </c>
      <c r="C30" s="53" t="inlineStr">
        <is>
          <t>Patricia Delvalle</t>
        </is>
      </c>
      <c r="D30" s="53" t="inlineStr">
        <is>
          <t>Blanqueamiento</t>
        </is>
      </c>
      <c r="E30" s="59" t="n">
        <v>955000</v>
      </c>
      <c r="F30" s="53" t="n"/>
    </row>
    <row r="31">
      <c r="B31" s="55" t="n">
        <v>46058</v>
      </c>
      <c r="C31" s="53" t="inlineStr">
        <is>
          <t>Fabián Romero</t>
        </is>
      </c>
      <c r="D31" s="53" t="inlineStr">
        <is>
          <t>Obturación (arreglo)</t>
        </is>
      </c>
      <c r="E31" s="59" t="n">
        <v>235000</v>
      </c>
      <c r="F31" s="53" t="n"/>
    </row>
    <row r="32">
      <c r="B32" s="55" t="n">
        <v>46059</v>
      </c>
      <c r="C32" s="53" t="inlineStr">
        <is>
          <t>Liz Cardozo</t>
        </is>
      </c>
      <c r="D32" s="53" t="inlineStr">
        <is>
          <t>Extracción</t>
        </is>
      </c>
      <c r="E32" s="59" t="n">
        <v>235000</v>
      </c>
      <c r="F32" s="53" t="n"/>
    </row>
    <row r="33">
      <c r="B33" s="55" t="n">
        <v>46059</v>
      </c>
      <c r="C33" s="53" t="inlineStr">
        <is>
          <t>Daniel Samudio</t>
        </is>
      </c>
      <c r="D33" s="53" t="inlineStr">
        <is>
          <t>Urgencia</t>
        </is>
      </c>
      <c r="E33" s="59" t="n">
        <v>150000</v>
      </c>
      <c r="F33" s="53" t="n"/>
    </row>
    <row r="34">
      <c r="B34" s="55" t="n">
        <v>46063</v>
      </c>
      <c r="C34" s="53" t="inlineStr">
        <is>
          <t>Liz Cardozo</t>
        </is>
      </c>
      <c r="D34" s="53" t="inlineStr">
        <is>
          <t>Endodoncia</t>
        </is>
      </c>
      <c r="E34" s="59" t="n">
        <v>775000</v>
      </c>
      <c r="F34" s="53" t="n"/>
    </row>
    <row r="35">
      <c r="B35" s="55" t="n">
        <v>46064</v>
      </c>
      <c r="C35" s="53" t="inlineStr">
        <is>
          <t>Silvia Britez</t>
        </is>
      </c>
      <c r="D35" s="53" t="inlineStr">
        <is>
          <t>Extracción</t>
        </is>
      </c>
      <c r="E35" s="59" t="n">
        <v>280000</v>
      </c>
      <c r="F35" s="53" t="n"/>
    </row>
    <row r="36">
      <c r="B36" s="55" t="n">
        <v>46065</v>
      </c>
      <c r="C36" s="53" t="inlineStr">
        <is>
          <t>Liz Cardozo</t>
        </is>
      </c>
      <c r="D36" s="53" t="inlineStr">
        <is>
          <t>Obturación (arreglo)</t>
        </is>
      </c>
      <c r="E36" s="59" t="n">
        <v>200000</v>
      </c>
      <c r="F36" s="53" t="n"/>
    </row>
    <row r="37">
      <c r="B37" s="55" t="n">
        <v>46067</v>
      </c>
      <c r="C37" s="53" t="inlineStr">
        <is>
          <t>Silvia Britez</t>
        </is>
      </c>
      <c r="D37" s="53" t="inlineStr">
        <is>
          <t>Limpieza dental</t>
        </is>
      </c>
      <c r="E37" s="59" t="n">
        <v>195000</v>
      </c>
      <c r="F37" s="53" t="n"/>
    </row>
    <row r="38">
      <c r="B38" s="55" t="n">
        <v>46067</v>
      </c>
      <c r="C38" s="53" t="inlineStr">
        <is>
          <t>Daniel Samudio</t>
        </is>
      </c>
      <c r="D38" s="53" t="inlineStr">
        <is>
          <t>Control de ortodoncia</t>
        </is>
      </c>
      <c r="E38" s="59" t="n">
        <v>195000</v>
      </c>
      <c r="F38" s="53" t="n"/>
    </row>
    <row r="39">
      <c r="B39" s="55" t="n">
        <v>46068</v>
      </c>
      <c r="C39" s="53" t="inlineStr">
        <is>
          <t>Silvia Britez</t>
        </is>
      </c>
      <c r="D39" s="53" t="inlineStr">
        <is>
          <t>Control de ortodoncia</t>
        </is>
      </c>
      <c r="E39" s="59" t="n">
        <v>185000</v>
      </c>
      <c r="F39" s="53" t="n"/>
    </row>
    <row r="40">
      <c r="B40" s="55" t="n">
        <v>46070</v>
      </c>
      <c r="C40" s="53" t="inlineStr">
        <is>
          <t>Ramón Ferreira</t>
        </is>
      </c>
      <c r="D40" s="53" t="inlineStr">
        <is>
          <t>Urgencia</t>
        </is>
      </c>
      <c r="E40" s="59" t="n">
        <v>170000</v>
      </c>
      <c r="F40" s="53" t="n"/>
    </row>
    <row r="41">
      <c r="B41" s="55" t="n">
        <v>46071</v>
      </c>
      <c r="C41" s="53" t="inlineStr">
        <is>
          <t>Patricia Delvalle</t>
        </is>
      </c>
      <c r="D41" s="53" t="inlineStr">
        <is>
          <t>Prótesis</t>
        </is>
      </c>
      <c r="E41" s="59" t="n">
        <v>1540000</v>
      </c>
      <c r="F41" s="53" t="n"/>
    </row>
    <row r="42">
      <c r="B42" s="55" t="n">
        <v>46071</v>
      </c>
      <c r="C42" s="53" t="inlineStr">
        <is>
          <t>Rosa Villalba</t>
        </is>
      </c>
      <c r="D42" s="53" t="inlineStr">
        <is>
          <t>Limpieza dental</t>
        </is>
      </c>
      <c r="E42" s="59" t="n">
        <v>175000</v>
      </c>
      <c r="F42" s="53" t="n"/>
    </row>
    <row r="43">
      <c r="B43" s="55" t="n">
        <v>46073</v>
      </c>
      <c r="C43" s="53" t="inlineStr">
        <is>
          <t>Rosa Villalba</t>
        </is>
      </c>
      <c r="D43" s="53" t="inlineStr">
        <is>
          <t>Blanqueamiento</t>
        </is>
      </c>
      <c r="E43" s="59" t="n">
        <v>900000</v>
      </c>
      <c r="F43" s="53" t="n"/>
    </row>
    <row r="44">
      <c r="B44" s="55" t="n">
        <v>46080</v>
      </c>
      <c r="C44" s="53" t="inlineStr">
        <is>
          <t>Liz Cardozo</t>
        </is>
      </c>
      <c r="D44" s="53" t="inlineStr">
        <is>
          <t>Endodoncia</t>
        </is>
      </c>
      <c r="E44" s="59" t="n">
        <v>810000</v>
      </c>
      <c r="F44" s="53" t="n"/>
    </row>
    <row r="45">
      <c r="B45" s="55" t="n">
        <v>46080</v>
      </c>
      <c r="C45" s="53" t="inlineStr">
        <is>
          <t>Marcos Ortiz</t>
        </is>
      </c>
      <c r="D45" s="53" t="inlineStr">
        <is>
          <t>Prótesis</t>
        </is>
      </c>
      <c r="E45" s="59" t="n">
        <v>1690000</v>
      </c>
      <c r="F45" s="53" t="n"/>
    </row>
    <row r="46">
      <c r="B46" s="55" t="n">
        <v>46080</v>
      </c>
      <c r="C46" s="53" t="inlineStr">
        <is>
          <t>Sofía Giménez</t>
        </is>
      </c>
      <c r="D46" s="53" t="inlineStr">
        <is>
          <t>Obturación (arreglo)</t>
        </is>
      </c>
      <c r="E46" s="59" t="n">
        <v>240000</v>
      </c>
      <c r="F46" s="53" t="n"/>
    </row>
    <row r="47">
      <c r="B47" s="55" t="n">
        <v>46081</v>
      </c>
      <c r="C47" s="53" t="inlineStr">
        <is>
          <t>Natalia Peralta</t>
        </is>
      </c>
      <c r="D47" s="53" t="inlineStr">
        <is>
          <t>Obturación (arreglo)</t>
        </is>
      </c>
      <c r="E47" s="59" t="n">
        <v>230000</v>
      </c>
      <c r="F47" s="53" t="n"/>
    </row>
    <row r="48">
      <c r="B48" s="55" t="n">
        <v>46083</v>
      </c>
      <c r="C48" s="53" t="inlineStr">
        <is>
          <t>Liz Cardozo</t>
        </is>
      </c>
      <c r="D48" s="53" t="inlineStr">
        <is>
          <t>Consulta</t>
        </is>
      </c>
      <c r="E48" s="59" t="n">
        <v>110000</v>
      </c>
      <c r="F48" s="53" t="n"/>
    </row>
    <row r="49">
      <c r="B49" s="55" t="n">
        <v>46087</v>
      </c>
      <c r="C49" s="53" t="inlineStr">
        <is>
          <t>Óscar Noguera</t>
        </is>
      </c>
      <c r="D49" s="53" t="inlineStr">
        <is>
          <t>Obturación (arreglo)</t>
        </is>
      </c>
      <c r="E49" s="59" t="n">
        <v>235000</v>
      </c>
      <c r="F49" s="53" t="n"/>
    </row>
    <row r="50">
      <c r="B50" s="55" t="n">
        <v>46087</v>
      </c>
      <c r="C50" s="53" t="inlineStr">
        <is>
          <t>Héctor Aguilera</t>
        </is>
      </c>
      <c r="D50" s="53" t="inlineStr">
        <is>
          <t>Prótesis</t>
        </is>
      </c>
      <c r="E50" s="59" t="n">
        <v>1715000</v>
      </c>
      <c r="F50" s="53" t="n"/>
    </row>
    <row r="51">
      <c r="B51" s="55" t="n">
        <v>46088</v>
      </c>
      <c r="C51" s="53" t="inlineStr">
        <is>
          <t>Teresa Rolón</t>
        </is>
      </c>
      <c r="D51" s="53" t="inlineStr">
        <is>
          <t>Limpieza dental</t>
        </is>
      </c>
      <c r="E51" s="59" t="n">
        <v>190000</v>
      </c>
      <c r="F51" s="53" t="n"/>
    </row>
    <row r="52">
      <c r="B52" s="55" t="n">
        <v>46089</v>
      </c>
      <c r="C52" s="53" t="inlineStr">
        <is>
          <t>Patricia Delvalle</t>
        </is>
      </c>
      <c r="D52" s="53" t="inlineStr">
        <is>
          <t>Consulta</t>
        </is>
      </c>
      <c r="E52" s="59" t="n">
        <v>95000</v>
      </c>
      <c r="F52" s="53" t="n"/>
    </row>
    <row r="53">
      <c r="B53" s="55" t="n">
        <v>46089</v>
      </c>
      <c r="C53" s="53" t="inlineStr">
        <is>
          <t>Pablo Acosta</t>
        </is>
      </c>
      <c r="D53" s="53" t="inlineStr">
        <is>
          <t>Limpieza dental</t>
        </is>
      </c>
      <c r="E53" s="59" t="n">
        <v>175000</v>
      </c>
      <c r="F53" s="53" t="n"/>
    </row>
    <row r="54">
      <c r="B54" s="55" t="n">
        <v>46091</v>
      </c>
      <c r="C54" s="53" t="inlineStr">
        <is>
          <t>Óscar Noguera</t>
        </is>
      </c>
      <c r="D54" s="53" t="inlineStr">
        <is>
          <t>Obturación (arreglo)</t>
        </is>
      </c>
      <c r="E54" s="59" t="n">
        <v>205000</v>
      </c>
      <c r="F54" s="53" t="n"/>
    </row>
    <row r="55">
      <c r="B55" s="55" t="n">
        <v>46091</v>
      </c>
      <c r="C55" s="53" t="inlineStr">
        <is>
          <t>Óscar Noguera</t>
        </is>
      </c>
      <c r="D55" s="53" t="inlineStr">
        <is>
          <t>Limpieza dental</t>
        </is>
      </c>
      <c r="E55" s="59" t="n">
        <v>200000</v>
      </c>
      <c r="F55" s="53" t="n"/>
    </row>
    <row r="56">
      <c r="B56" s="55" t="n">
        <v>46093</v>
      </c>
      <c r="C56" s="53" t="inlineStr">
        <is>
          <t>Daniel Samudio</t>
        </is>
      </c>
      <c r="D56" s="53" t="inlineStr">
        <is>
          <t>Extracción</t>
        </is>
      </c>
      <c r="E56" s="59" t="n">
        <v>285000</v>
      </c>
      <c r="F56" s="53" t="n"/>
    </row>
    <row r="57">
      <c r="B57" s="55" t="n">
        <v>46093</v>
      </c>
      <c r="C57" s="53" t="inlineStr">
        <is>
          <t>Julián Vera</t>
        </is>
      </c>
      <c r="D57" s="53" t="inlineStr">
        <is>
          <t>Limpieza dental</t>
        </is>
      </c>
      <c r="E57" s="59" t="n">
        <v>180000</v>
      </c>
      <c r="F57" s="53" t="n"/>
    </row>
    <row r="58">
      <c r="B58" s="55" t="n">
        <v>46093</v>
      </c>
      <c r="C58" s="53" t="inlineStr">
        <is>
          <t>Fabián Romero</t>
        </is>
      </c>
      <c r="D58" s="53" t="inlineStr">
        <is>
          <t>Urgencia</t>
        </is>
      </c>
      <c r="E58" s="59" t="n">
        <v>155000</v>
      </c>
      <c r="F58" s="53" t="n"/>
    </row>
    <row r="59">
      <c r="B59" s="55" t="n">
        <v>46093</v>
      </c>
      <c r="C59" s="53" t="inlineStr">
        <is>
          <t>Óscar Noguera</t>
        </is>
      </c>
      <c r="D59" s="53" t="inlineStr">
        <is>
          <t>Obturación (arreglo)</t>
        </is>
      </c>
      <c r="E59" s="59" t="n">
        <v>225000</v>
      </c>
      <c r="F59" s="53" t="n"/>
    </row>
    <row r="60">
      <c r="B60" s="55" t="n">
        <v>46094</v>
      </c>
      <c r="C60" s="53" t="inlineStr">
        <is>
          <t>Tomás Giménez</t>
        </is>
      </c>
      <c r="D60" s="53" t="inlineStr">
        <is>
          <t>Limpieza dental</t>
        </is>
      </c>
      <c r="E60" s="59" t="n">
        <v>185000</v>
      </c>
      <c r="F60" s="53" t="n"/>
    </row>
    <row r="61">
      <c r="B61" s="55" t="n">
        <v>46094</v>
      </c>
      <c r="C61" s="53" t="inlineStr">
        <is>
          <t>Pablo Acosta</t>
        </is>
      </c>
      <c r="D61" s="53" t="inlineStr">
        <is>
          <t>Urgencia</t>
        </is>
      </c>
      <c r="E61" s="59" t="n">
        <v>165000</v>
      </c>
      <c r="F61" s="53" t="n"/>
    </row>
    <row r="62">
      <c r="B62" s="55" t="n">
        <v>46096</v>
      </c>
      <c r="C62" s="53" t="inlineStr">
        <is>
          <t>Julián Vera</t>
        </is>
      </c>
      <c r="D62" s="53" t="inlineStr">
        <is>
          <t>Urgencia</t>
        </is>
      </c>
      <c r="E62" s="59" t="n">
        <v>150000</v>
      </c>
      <c r="F62" s="53" t="n"/>
    </row>
    <row r="63">
      <c r="B63" s="55" t="n">
        <v>46097</v>
      </c>
      <c r="C63" s="53" t="inlineStr">
        <is>
          <t>Elena Báez</t>
        </is>
      </c>
      <c r="D63" s="53" t="inlineStr">
        <is>
          <t>Limpieza dental</t>
        </is>
      </c>
      <c r="E63" s="59" t="n">
        <v>180000</v>
      </c>
      <c r="F63" s="53" t="n"/>
    </row>
    <row r="64">
      <c r="B64" s="55" t="n">
        <v>46102</v>
      </c>
      <c r="C64" s="53" t="inlineStr">
        <is>
          <t>Sofía Giménez</t>
        </is>
      </c>
      <c r="D64" s="53" t="inlineStr">
        <is>
          <t>Consulta</t>
        </is>
      </c>
      <c r="E64" s="59" t="n">
        <v>105000</v>
      </c>
      <c r="F64" s="53" t="n"/>
    </row>
    <row r="65">
      <c r="B65" s="55" t="n">
        <v>46103</v>
      </c>
      <c r="C65" s="53" t="inlineStr">
        <is>
          <t>Sofía Giménez</t>
        </is>
      </c>
      <c r="D65" s="53" t="inlineStr">
        <is>
          <t>Extracción</t>
        </is>
      </c>
      <c r="E65" s="59" t="n">
        <v>230000</v>
      </c>
      <c r="F65" s="53" t="n"/>
    </row>
    <row r="66">
      <c r="B66" s="55" t="n">
        <v>46114</v>
      </c>
      <c r="C66" s="53" t="inlineStr">
        <is>
          <t>Diego Cabrera</t>
        </is>
      </c>
      <c r="D66" s="53" t="inlineStr">
        <is>
          <t>Obturación (arreglo)</t>
        </is>
      </c>
      <c r="E66" s="59" t="n">
        <v>250000</v>
      </c>
      <c r="F66" s="53" t="n"/>
    </row>
    <row r="67">
      <c r="B67" s="55" t="n">
        <v>46114</v>
      </c>
      <c r="C67" s="53" t="inlineStr">
        <is>
          <t>Tomás Giménez</t>
        </is>
      </c>
      <c r="D67" s="53" t="inlineStr">
        <is>
          <t>Consulta</t>
        </is>
      </c>
      <c r="E67" s="59" t="n">
        <v>100000</v>
      </c>
      <c r="F67" s="53" t="n"/>
    </row>
    <row r="68">
      <c r="B68" s="55" t="n">
        <v>46116</v>
      </c>
      <c r="C68" s="53" t="inlineStr">
        <is>
          <t>Mónica Ayala</t>
        </is>
      </c>
      <c r="D68" s="53" t="inlineStr">
        <is>
          <t>Consulta</t>
        </is>
      </c>
      <c r="E68" s="59" t="n">
        <v>110000</v>
      </c>
      <c r="F68" s="53" t="n"/>
    </row>
    <row r="69">
      <c r="B69" s="55" t="n">
        <v>46121</v>
      </c>
      <c r="C69" s="53" t="inlineStr">
        <is>
          <t>Valeria Ríos</t>
        </is>
      </c>
      <c r="D69" s="53" t="inlineStr">
        <is>
          <t>Limpieza dental</t>
        </is>
      </c>
      <c r="E69" s="59" t="n">
        <v>205000</v>
      </c>
      <c r="F69" s="53" t="n"/>
    </row>
    <row r="70">
      <c r="B70" s="55" t="n">
        <v>46121</v>
      </c>
      <c r="C70" s="53" t="inlineStr">
        <is>
          <t>Sergio Maidana</t>
        </is>
      </c>
      <c r="D70" s="53" t="inlineStr">
        <is>
          <t>Limpieza dental</t>
        </is>
      </c>
      <c r="E70" s="59" t="n">
        <v>200000</v>
      </c>
      <c r="F70" s="53" t="n"/>
    </row>
    <row r="71">
      <c r="B71" s="55" t="n">
        <v>46122</v>
      </c>
      <c r="C71" s="53" t="inlineStr">
        <is>
          <t>Tomás Giménez</t>
        </is>
      </c>
      <c r="D71" s="53" t="inlineStr">
        <is>
          <t>Limpieza dental</t>
        </is>
      </c>
      <c r="E71" s="59" t="n">
        <v>205000</v>
      </c>
      <c r="F71" s="53" t="n"/>
    </row>
    <row r="72">
      <c r="B72" s="55" t="n">
        <v>46124</v>
      </c>
      <c r="C72" s="53" t="inlineStr">
        <is>
          <t>Marcos Ortiz</t>
        </is>
      </c>
      <c r="D72" s="53" t="inlineStr">
        <is>
          <t>Consulta</t>
        </is>
      </c>
      <c r="E72" s="59" t="n">
        <v>115000</v>
      </c>
      <c r="F72" s="53" t="n"/>
    </row>
    <row r="73">
      <c r="B73" s="55" t="n">
        <v>46125</v>
      </c>
      <c r="C73" s="53" t="inlineStr">
        <is>
          <t>Pablo Acosta</t>
        </is>
      </c>
      <c r="D73" s="53" t="inlineStr">
        <is>
          <t>Control de ortodoncia</t>
        </is>
      </c>
      <c r="E73" s="59" t="n">
        <v>195000</v>
      </c>
      <c r="F73" s="53" t="n"/>
    </row>
    <row r="74">
      <c r="B74" s="55" t="n">
        <v>46127</v>
      </c>
      <c r="C74" s="53" t="inlineStr">
        <is>
          <t>Ramón Ferreira</t>
        </is>
      </c>
      <c r="D74" s="53" t="inlineStr">
        <is>
          <t>Consulta</t>
        </is>
      </c>
      <c r="E74" s="59" t="n">
        <v>105000</v>
      </c>
      <c r="F74" s="53" t="n"/>
    </row>
    <row r="75">
      <c r="B75" s="55" t="n">
        <v>46127</v>
      </c>
      <c r="C75" s="53" t="inlineStr">
        <is>
          <t>Mónica Ayala</t>
        </is>
      </c>
      <c r="D75" s="53" t="inlineStr">
        <is>
          <t>Limpieza dental</t>
        </is>
      </c>
      <c r="E75" s="59" t="n">
        <v>190000</v>
      </c>
      <c r="F75" s="53" t="n"/>
    </row>
    <row r="76">
      <c r="B76" s="55" t="n">
        <v>46127</v>
      </c>
      <c r="C76" s="53" t="inlineStr">
        <is>
          <t>Natalia Peralta</t>
        </is>
      </c>
      <c r="D76" s="53" t="inlineStr">
        <is>
          <t>Limpieza dental</t>
        </is>
      </c>
      <c r="E76" s="59" t="n">
        <v>190000</v>
      </c>
      <c r="F76" s="53" t="n"/>
    </row>
    <row r="77">
      <c r="B77" s="55" t="n">
        <v>46128</v>
      </c>
      <c r="C77" s="53" t="inlineStr">
        <is>
          <t>Natalia Peralta</t>
        </is>
      </c>
      <c r="D77" s="53" t="inlineStr">
        <is>
          <t>Consulta</t>
        </is>
      </c>
      <c r="E77" s="59" t="n">
        <v>115000</v>
      </c>
      <c r="F77" s="53" t="n"/>
    </row>
    <row r="78">
      <c r="B78" s="55" t="n">
        <v>46129</v>
      </c>
      <c r="C78" s="53" t="inlineStr">
        <is>
          <t>Roberto Duarte</t>
        </is>
      </c>
      <c r="D78" s="53" t="inlineStr">
        <is>
          <t>Obturación (arreglo)</t>
        </is>
      </c>
      <c r="E78" s="59" t="n">
        <v>225000</v>
      </c>
      <c r="F78" s="53" t="n"/>
    </row>
    <row r="79">
      <c r="B79" s="55" t="n">
        <v>46130</v>
      </c>
      <c r="C79" s="53" t="inlineStr">
        <is>
          <t>Andrés Insfrán</t>
        </is>
      </c>
      <c r="D79" s="53" t="inlineStr">
        <is>
          <t>Obturación (arreglo)</t>
        </is>
      </c>
      <c r="E79" s="59" t="n">
        <v>200000</v>
      </c>
      <c r="F79" s="53" t="n"/>
    </row>
    <row r="80">
      <c r="B80" s="55" t="n">
        <v>46131</v>
      </c>
      <c r="C80" s="53" t="inlineStr">
        <is>
          <t>Elena Báez</t>
        </is>
      </c>
      <c r="D80" s="53" t="inlineStr">
        <is>
          <t>Obturación (arreglo)</t>
        </is>
      </c>
      <c r="E80" s="59" t="n">
        <v>230000</v>
      </c>
      <c r="F80" s="53" t="n"/>
    </row>
    <row r="81">
      <c r="B81" s="55" t="n">
        <v>46131</v>
      </c>
      <c r="C81" s="53" t="inlineStr">
        <is>
          <t>Roberto Duarte</t>
        </is>
      </c>
      <c r="D81" s="53" t="inlineStr">
        <is>
          <t>Consulta</t>
        </is>
      </c>
      <c r="E81" s="59" t="n">
        <v>90000</v>
      </c>
      <c r="F81" s="53" t="n"/>
    </row>
    <row r="82">
      <c r="B82" s="55" t="n">
        <v>46135</v>
      </c>
      <c r="C82" s="53" t="inlineStr">
        <is>
          <t>Lucía Martínez</t>
        </is>
      </c>
      <c r="D82" s="53" t="inlineStr">
        <is>
          <t>Obturación (arreglo)</t>
        </is>
      </c>
      <c r="E82" s="59" t="n">
        <v>230000</v>
      </c>
      <c r="F82" s="53" t="n"/>
    </row>
    <row r="83">
      <c r="B83" s="55" t="n">
        <v>46136</v>
      </c>
      <c r="C83" s="53" t="inlineStr">
        <is>
          <t>Sofía Giménez</t>
        </is>
      </c>
      <c r="D83" s="53" t="inlineStr">
        <is>
          <t>Extracción</t>
        </is>
      </c>
      <c r="E83" s="59" t="n">
        <v>265000</v>
      </c>
      <c r="F83" s="53" t="n"/>
    </row>
    <row r="84">
      <c r="B84" s="55" t="n">
        <v>46137</v>
      </c>
      <c r="C84" s="53" t="inlineStr">
        <is>
          <t>Tomás Giménez</t>
        </is>
      </c>
      <c r="D84" s="53" t="inlineStr">
        <is>
          <t>Blanqueamiento</t>
        </is>
      </c>
      <c r="E84" s="59" t="n">
        <v>915000</v>
      </c>
      <c r="F84" s="53" t="n"/>
    </row>
    <row r="85">
      <c r="B85" s="55" t="n">
        <v>46139</v>
      </c>
      <c r="C85" s="53" t="inlineStr">
        <is>
          <t>Gabriela Lezcano</t>
        </is>
      </c>
      <c r="D85" s="53" t="inlineStr">
        <is>
          <t>Control de ortodoncia</t>
        </is>
      </c>
      <c r="E85" s="59" t="n">
        <v>205000</v>
      </c>
      <c r="F85" s="53" t="n"/>
    </row>
    <row r="86">
      <c r="B86" s="55" t="n">
        <v>46140</v>
      </c>
      <c r="C86" s="53" t="inlineStr">
        <is>
          <t>Patricia Delvalle</t>
        </is>
      </c>
      <c r="D86" s="53" t="inlineStr">
        <is>
          <t>Otro tratamiento</t>
        </is>
      </c>
      <c r="E86" s="59" t="n">
        <v>110000</v>
      </c>
      <c r="F86" s="53" t="n"/>
    </row>
    <row r="87">
      <c r="B87" s="55" t="n">
        <v>46140</v>
      </c>
      <c r="C87" s="53" t="inlineStr">
        <is>
          <t>Rosa Villalba</t>
        </is>
      </c>
      <c r="D87" s="53" t="inlineStr">
        <is>
          <t>Limpieza dental</t>
        </is>
      </c>
      <c r="E87" s="59" t="n">
        <v>165000</v>
      </c>
      <c r="F87" s="53" t="n"/>
    </row>
    <row r="88">
      <c r="B88" s="55" t="n">
        <v>46144</v>
      </c>
      <c r="C88" s="53" t="inlineStr">
        <is>
          <t>Sergio Maidana</t>
        </is>
      </c>
      <c r="D88" s="53" t="inlineStr">
        <is>
          <t>Otro tratamiento</t>
        </is>
      </c>
      <c r="E88" s="59" t="n">
        <v>135000</v>
      </c>
      <c r="F88" s="53" t="n"/>
    </row>
    <row r="89">
      <c r="B89" s="55" t="n">
        <v>46144</v>
      </c>
      <c r="C89" s="53" t="inlineStr">
        <is>
          <t>Roberto Duarte</t>
        </is>
      </c>
      <c r="D89" s="53" t="inlineStr">
        <is>
          <t>Limpieza dental</t>
        </is>
      </c>
      <c r="E89" s="59" t="n">
        <v>170000</v>
      </c>
      <c r="F89" s="53" t="n"/>
    </row>
    <row r="90">
      <c r="B90" s="55" t="n">
        <v>46145</v>
      </c>
      <c r="C90" s="53" t="inlineStr">
        <is>
          <t>Andrés Insfrán</t>
        </is>
      </c>
      <c r="D90" s="53" t="inlineStr">
        <is>
          <t>Consulta</t>
        </is>
      </c>
      <c r="E90" s="59" t="n">
        <v>90000</v>
      </c>
      <c r="F90" s="53" t="n"/>
    </row>
    <row r="91">
      <c r="B91" s="55" t="n">
        <v>46146</v>
      </c>
      <c r="C91" s="53" t="inlineStr">
        <is>
          <t>Sergio Maidana</t>
        </is>
      </c>
      <c r="D91" s="53" t="inlineStr">
        <is>
          <t>Blanqueamiento</t>
        </is>
      </c>
      <c r="E91" s="59" t="n">
        <v>965000</v>
      </c>
      <c r="F91" s="53" t="n"/>
    </row>
    <row r="92">
      <c r="B92" s="55" t="n">
        <v>46147</v>
      </c>
      <c r="C92" s="53" t="inlineStr">
        <is>
          <t>Ana Gómez</t>
        </is>
      </c>
      <c r="D92" s="53" t="inlineStr">
        <is>
          <t>Obturación (arreglo)</t>
        </is>
      </c>
      <c r="E92" s="59" t="n">
        <v>230000</v>
      </c>
      <c r="F92" s="53" t="n"/>
    </row>
    <row r="93">
      <c r="B93" s="55" t="n">
        <v>46151</v>
      </c>
      <c r="C93" s="53" t="inlineStr">
        <is>
          <t>Rosa Villalba</t>
        </is>
      </c>
      <c r="D93" s="53" t="inlineStr">
        <is>
          <t>Consulta</t>
        </is>
      </c>
      <c r="E93" s="59" t="n">
        <v>95000</v>
      </c>
      <c r="F93" s="53" t="n"/>
    </row>
    <row r="94">
      <c r="B94" s="55" t="n">
        <v>46154</v>
      </c>
      <c r="C94" s="53" t="inlineStr">
        <is>
          <t>Natalia Peralta</t>
        </is>
      </c>
      <c r="D94" s="53" t="inlineStr">
        <is>
          <t>Extracción</t>
        </is>
      </c>
      <c r="E94" s="59" t="n">
        <v>230000</v>
      </c>
      <c r="F94" s="53" t="n"/>
    </row>
    <row r="95">
      <c r="B95" s="55" t="n">
        <v>46155</v>
      </c>
      <c r="C95" s="53" t="inlineStr">
        <is>
          <t>Tomás Giménez</t>
        </is>
      </c>
      <c r="D95" s="53" t="inlineStr">
        <is>
          <t>Obturación (arreglo)</t>
        </is>
      </c>
      <c r="E95" s="59" t="n">
        <v>225000</v>
      </c>
      <c r="F95" s="53" t="n"/>
    </row>
    <row r="96">
      <c r="B96" s="55" t="n">
        <v>46158</v>
      </c>
      <c r="C96" s="53" t="inlineStr">
        <is>
          <t>Fabián Romero</t>
        </is>
      </c>
      <c r="D96" s="53" t="inlineStr">
        <is>
          <t>Consulta</t>
        </is>
      </c>
      <c r="E96" s="59" t="n">
        <v>110000</v>
      </c>
      <c r="F96" s="53" t="n"/>
    </row>
    <row r="97">
      <c r="B97" s="55" t="n">
        <v>46159</v>
      </c>
      <c r="C97" s="53" t="inlineStr">
        <is>
          <t>Valeria Ríos</t>
        </is>
      </c>
      <c r="D97" s="53" t="inlineStr">
        <is>
          <t>Obturación (arreglo)</t>
        </is>
      </c>
      <c r="E97" s="59" t="n">
        <v>240000</v>
      </c>
      <c r="F97" s="53" t="n"/>
    </row>
    <row r="98">
      <c r="B98" s="55" t="n">
        <v>46160</v>
      </c>
      <c r="C98" s="53" t="inlineStr">
        <is>
          <t>Héctor Aguilera</t>
        </is>
      </c>
      <c r="D98" s="53" t="inlineStr">
        <is>
          <t>Control de ortodoncia</t>
        </is>
      </c>
      <c r="E98" s="59" t="n">
        <v>230000</v>
      </c>
      <c r="F98" s="53" t="n"/>
    </row>
    <row r="99">
      <c r="B99" s="55" t="n">
        <v>46162</v>
      </c>
      <c r="C99" s="53" t="inlineStr">
        <is>
          <t>Sergio Maidana</t>
        </is>
      </c>
      <c r="D99" s="53" t="inlineStr">
        <is>
          <t>Obturación (arreglo)</t>
        </is>
      </c>
      <c r="E99" s="59" t="n">
        <v>210000</v>
      </c>
      <c r="F99" s="53" t="n"/>
    </row>
    <row r="100">
      <c r="B100" s="55" t="n">
        <v>46163</v>
      </c>
      <c r="C100" s="53" t="inlineStr">
        <is>
          <t>Diego Cabrera</t>
        </is>
      </c>
      <c r="D100" s="53" t="inlineStr">
        <is>
          <t>Obturación (arreglo)</t>
        </is>
      </c>
      <c r="E100" s="59" t="n">
        <v>245000</v>
      </c>
      <c r="F100" s="53" t="n"/>
    </row>
    <row r="101">
      <c r="B101" s="55" t="n">
        <v>46167</v>
      </c>
      <c r="C101" s="53" t="inlineStr">
        <is>
          <t>Sofía Giménez</t>
        </is>
      </c>
      <c r="D101" s="53" t="inlineStr">
        <is>
          <t>Limpieza dental</t>
        </is>
      </c>
      <c r="E101" s="59" t="n">
        <v>200000</v>
      </c>
      <c r="F101" s="53" t="n"/>
    </row>
    <row r="102">
      <c r="B102" s="55" t="n">
        <v>46169</v>
      </c>
      <c r="C102" s="53" t="inlineStr">
        <is>
          <t>Pablo Acosta</t>
        </is>
      </c>
      <c r="D102" s="53" t="inlineStr">
        <is>
          <t>Limpieza dental</t>
        </is>
      </c>
      <c r="E102" s="59" t="n">
        <v>195000</v>
      </c>
      <c r="F102" s="53" t="n"/>
    </row>
    <row r="103">
      <c r="B103" s="55" t="n">
        <v>46169</v>
      </c>
      <c r="C103" s="53" t="inlineStr">
        <is>
          <t>Ana Gómez</t>
        </is>
      </c>
      <c r="D103" s="53" t="inlineStr">
        <is>
          <t>Endodoncia</t>
        </is>
      </c>
      <c r="E103" s="59" t="n">
        <v>790000</v>
      </c>
      <c r="F103" s="53" t="n"/>
    </row>
    <row r="104">
      <c r="B104" s="55" t="n">
        <v>46180</v>
      </c>
      <c r="C104" s="53" t="inlineStr">
        <is>
          <t>Sofía Giménez</t>
        </is>
      </c>
      <c r="D104" s="53" t="inlineStr">
        <is>
          <t>Control de ortodoncia</t>
        </is>
      </c>
      <c r="E104" s="59" t="n">
        <v>215000</v>
      </c>
      <c r="F104" s="53" t="n"/>
    </row>
    <row r="105">
      <c r="B105" s="55" t="n">
        <v>46181</v>
      </c>
      <c r="C105" s="53" t="inlineStr">
        <is>
          <t>Sofía Giménez</t>
        </is>
      </c>
      <c r="D105" s="53" t="inlineStr">
        <is>
          <t>Control de ortodoncia</t>
        </is>
      </c>
      <c r="E105" s="59" t="n">
        <v>185000</v>
      </c>
      <c r="F105" s="53" t="n"/>
    </row>
    <row r="106">
      <c r="B106" s="55" t="n">
        <v>46182</v>
      </c>
      <c r="C106" s="53" t="inlineStr">
        <is>
          <t>Carlos Benítez</t>
        </is>
      </c>
      <c r="D106" s="53" t="inlineStr">
        <is>
          <t>Control de ortodoncia</t>
        </is>
      </c>
      <c r="E106" s="59" t="n">
        <v>215000</v>
      </c>
      <c r="F106" s="53" t="n"/>
    </row>
    <row r="107">
      <c r="B107" s="55" t="n">
        <v>46183</v>
      </c>
      <c r="C107" s="53" t="inlineStr">
        <is>
          <t>Gabriela Lezcano</t>
        </is>
      </c>
      <c r="D107" s="53" t="inlineStr">
        <is>
          <t>Control de ortodoncia</t>
        </is>
      </c>
      <c r="E107" s="59" t="n">
        <v>225000</v>
      </c>
      <c r="F107" s="53" t="n"/>
    </row>
    <row r="108">
      <c r="B108" s="55" t="n">
        <v>46184</v>
      </c>
      <c r="C108" s="53" t="inlineStr">
        <is>
          <t>Patricia Delvalle</t>
        </is>
      </c>
      <c r="D108" s="53" t="inlineStr">
        <is>
          <t>Limpieza dental</t>
        </is>
      </c>
      <c r="E108" s="59" t="n">
        <v>170000</v>
      </c>
      <c r="F108" s="53" t="n"/>
    </row>
    <row r="109">
      <c r="B109" s="55" t="n">
        <v>46185</v>
      </c>
      <c r="C109" s="53" t="inlineStr">
        <is>
          <t>Gabriela Lezcano</t>
        </is>
      </c>
      <c r="D109" s="53" t="inlineStr">
        <is>
          <t>Limpieza dental</t>
        </is>
      </c>
      <c r="E109" s="59" t="n">
        <v>195000</v>
      </c>
      <c r="F109" s="53" t="n"/>
    </row>
    <row r="110">
      <c r="B110" s="55" t="n">
        <v>46187</v>
      </c>
      <c r="C110" s="53" t="inlineStr">
        <is>
          <t>Patricia Delvalle</t>
        </is>
      </c>
      <c r="D110" s="53" t="inlineStr">
        <is>
          <t>Extracción</t>
        </is>
      </c>
      <c r="E110" s="59" t="n">
        <v>260000</v>
      </c>
      <c r="F110" s="53" t="n"/>
    </row>
    <row r="111">
      <c r="B111" s="55" t="n">
        <v>46187</v>
      </c>
      <c r="C111" s="53" t="inlineStr">
        <is>
          <t>Julián Vera</t>
        </is>
      </c>
      <c r="D111" s="53" t="inlineStr">
        <is>
          <t>Urgencia</t>
        </is>
      </c>
      <c r="E111" s="59" t="n">
        <v>155000</v>
      </c>
      <c r="F111" s="53" t="n"/>
    </row>
    <row r="112">
      <c r="B112" s="55" t="n">
        <v>46191</v>
      </c>
      <c r="C112" s="53" t="inlineStr">
        <is>
          <t>Patricia Delvalle</t>
        </is>
      </c>
      <c r="D112" s="53" t="inlineStr">
        <is>
          <t>Extracción</t>
        </is>
      </c>
      <c r="E112" s="59" t="n">
        <v>235000</v>
      </c>
      <c r="F112" s="53" t="n"/>
    </row>
    <row r="113">
      <c r="B113" s="55" t="n">
        <v>46192</v>
      </c>
      <c r="C113" s="53" t="inlineStr">
        <is>
          <t>Elena Báez</t>
        </is>
      </c>
      <c r="D113" s="53" t="inlineStr">
        <is>
          <t>Otro tratamiento</t>
        </is>
      </c>
      <c r="E113" s="59" t="n">
        <v>120000</v>
      </c>
      <c r="F113" s="53" t="n"/>
    </row>
    <row r="114">
      <c r="B114" s="55" t="n">
        <v>46196</v>
      </c>
      <c r="C114" s="53" t="inlineStr">
        <is>
          <t>Rosa Villalba</t>
        </is>
      </c>
      <c r="D114" s="53" t="inlineStr">
        <is>
          <t>Control de ortodoncia</t>
        </is>
      </c>
      <c r="E114" s="59" t="n">
        <v>225000</v>
      </c>
      <c r="F114" s="53" t="n"/>
    </row>
    <row r="115">
      <c r="B115" s="55" t="n">
        <v>46198</v>
      </c>
      <c r="C115" s="53" t="inlineStr">
        <is>
          <t>Gabriela Lezcano</t>
        </is>
      </c>
      <c r="D115" s="53" t="inlineStr">
        <is>
          <t>Limpieza dental</t>
        </is>
      </c>
      <c r="E115" s="59" t="n">
        <v>175000</v>
      </c>
      <c r="F115" s="53" t="n"/>
    </row>
    <row r="116">
      <c r="B116" s="55" t="n">
        <v>46199</v>
      </c>
      <c r="C116" s="53" t="inlineStr">
        <is>
          <t>Natalia Peralta</t>
        </is>
      </c>
      <c r="D116" s="53" t="inlineStr">
        <is>
          <t>Limpieza dental</t>
        </is>
      </c>
      <c r="E116" s="59" t="n">
        <v>200000</v>
      </c>
      <c r="F116" s="53" t="n"/>
    </row>
    <row r="117">
      <c r="B117" s="55" t="n">
        <v>46199</v>
      </c>
      <c r="C117" s="53" t="inlineStr">
        <is>
          <t>Tomás Giménez</t>
        </is>
      </c>
      <c r="D117" s="53" t="inlineStr">
        <is>
          <t>Prótesis</t>
        </is>
      </c>
      <c r="E117" s="59" t="n">
        <v>1440000</v>
      </c>
      <c r="F117" s="53" t="n"/>
    </row>
    <row r="118">
      <c r="B118" s="55" t="n">
        <v>46200</v>
      </c>
      <c r="C118" s="53" t="inlineStr">
        <is>
          <t>Carlos Benítez</t>
        </is>
      </c>
      <c r="D118" s="53" t="inlineStr">
        <is>
          <t>Extracción</t>
        </is>
      </c>
      <c r="E118" s="59" t="n">
        <v>275000</v>
      </c>
      <c r="F118" s="53" t="n"/>
    </row>
    <row r="119">
      <c r="B119" s="55" t="n">
        <v>46201</v>
      </c>
      <c r="C119" s="53" t="inlineStr">
        <is>
          <t>Mónica Ayala</t>
        </is>
      </c>
      <c r="D119" s="53" t="inlineStr">
        <is>
          <t>Endodoncia</t>
        </is>
      </c>
      <c r="E119" s="59" t="n">
        <v>860000</v>
      </c>
      <c r="F119" s="53" t="n"/>
    </row>
    <row r="120">
      <c r="B120" s="55" t="n">
        <v>46204</v>
      </c>
      <c r="C120" s="53" t="inlineStr">
        <is>
          <t>Julián Vera</t>
        </is>
      </c>
      <c r="D120" s="53" t="inlineStr">
        <is>
          <t>Limpieza dental</t>
        </is>
      </c>
      <c r="E120" s="59" t="n">
        <v>195000</v>
      </c>
      <c r="F120" s="53" t="n"/>
    </row>
    <row r="121">
      <c r="B121" s="55" t="n">
        <v>46204</v>
      </c>
      <c r="C121" s="53" t="inlineStr">
        <is>
          <t>Valeria Ríos</t>
        </is>
      </c>
      <c r="D121" s="53" t="inlineStr">
        <is>
          <t>Control de ortodoncia</t>
        </is>
      </c>
      <c r="E121" s="59" t="n">
        <v>215000</v>
      </c>
      <c r="F121" s="53" t="n"/>
    </row>
    <row r="122">
      <c r="B122" s="55" t="n">
        <v>46205</v>
      </c>
      <c r="C122" s="53" t="inlineStr">
        <is>
          <t>Héctor Aguilera</t>
        </is>
      </c>
      <c r="D122" s="53" t="inlineStr">
        <is>
          <t>Endodoncia</t>
        </is>
      </c>
      <c r="E122" s="59" t="n">
        <v>820000</v>
      </c>
      <c r="F122" s="53" t="n"/>
    </row>
    <row r="123">
      <c r="B123" s="55" t="n">
        <v>46207</v>
      </c>
      <c r="C123" s="53" t="inlineStr">
        <is>
          <t>Camila Franco</t>
        </is>
      </c>
      <c r="D123" s="53" t="inlineStr">
        <is>
          <t>Obturación (arreglo)</t>
        </is>
      </c>
      <c r="E123" s="59" t="n">
        <v>245000</v>
      </c>
      <c r="F123" s="53" t="n"/>
    </row>
    <row r="124">
      <c r="B124" s="55" t="n">
        <v>46209</v>
      </c>
      <c r="C124" s="53" t="inlineStr">
        <is>
          <t>Clara Esquivel</t>
        </is>
      </c>
      <c r="D124" s="53" t="inlineStr">
        <is>
          <t>Blanqueamiento</t>
        </is>
      </c>
      <c r="E124" s="59" t="n">
        <v>910000</v>
      </c>
      <c r="F124" s="53" t="n"/>
    </row>
    <row r="125">
      <c r="B125" s="55" t="n">
        <v>46210</v>
      </c>
      <c r="C125" s="53" t="inlineStr">
        <is>
          <t>Sergio Maidana</t>
        </is>
      </c>
      <c r="D125" s="53" t="inlineStr">
        <is>
          <t>Consulta</t>
        </is>
      </c>
      <c r="E125" s="59" t="n">
        <v>100000</v>
      </c>
      <c r="F125" s="53" t="n"/>
    </row>
    <row r="126">
      <c r="B126" s="55" t="n">
        <v>46213</v>
      </c>
      <c r="C126" s="53" t="inlineStr">
        <is>
          <t>Mónica Ayala</t>
        </is>
      </c>
      <c r="D126" s="53" t="inlineStr">
        <is>
          <t>Obturación (arreglo)</t>
        </is>
      </c>
      <c r="E126" s="59" t="n">
        <v>210000</v>
      </c>
      <c r="F126" s="53" t="n"/>
    </row>
    <row r="127">
      <c r="B127" s="55" t="n">
        <v>46217</v>
      </c>
      <c r="C127" s="53" t="inlineStr">
        <is>
          <t>Andrés Insfrán</t>
        </is>
      </c>
      <c r="D127" s="53" t="inlineStr">
        <is>
          <t>Extracción</t>
        </is>
      </c>
      <c r="E127" s="59" t="n">
        <v>280000</v>
      </c>
      <c r="F127" s="53" t="n"/>
    </row>
    <row r="128">
      <c r="B128" s="55" t="n">
        <v>46219</v>
      </c>
      <c r="C128" s="53" t="inlineStr">
        <is>
          <t>Héctor Aguilera</t>
        </is>
      </c>
      <c r="D128" s="53" t="inlineStr">
        <is>
          <t>Obturación (arreglo)</t>
        </is>
      </c>
      <c r="E128" s="59" t="n">
        <v>220000</v>
      </c>
      <c r="F128" s="53" t="n"/>
    </row>
    <row r="129">
      <c r="B129" s="55" t="n">
        <v>46223</v>
      </c>
      <c r="C129" s="53" t="inlineStr">
        <is>
          <t>Clara Esquivel</t>
        </is>
      </c>
      <c r="D129" s="53" t="inlineStr">
        <is>
          <t>Extracción</t>
        </is>
      </c>
      <c r="E129" s="59" t="n">
        <v>235000</v>
      </c>
      <c r="F129" s="53" t="n"/>
    </row>
    <row r="130">
      <c r="B130" s="55" t="n">
        <v>46223</v>
      </c>
      <c r="C130" s="53" t="inlineStr">
        <is>
          <t>Andrés Insfrán</t>
        </is>
      </c>
      <c r="D130" s="53" t="inlineStr">
        <is>
          <t>Urgencia</t>
        </is>
      </c>
      <c r="E130" s="59" t="n">
        <v>145000</v>
      </c>
      <c r="F130" s="53" t="n"/>
    </row>
    <row r="131">
      <c r="B131" s="55" t="n">
        <v>46224</v>
      </c>
      <c r="C131" s="53" t="inlineStr">
        <is>
          <t>Natalia Peralta</t>
        </is>
      </c>
      <c r="D131" s="53" t="inlineStr">
        <is>
          <t>Consulta</t>
        </is>
      </c>
      <c r="E131" s="59" t="n">
        <v>90000</v>
      </c>
      <c r="F131" s="53" t="n"/>
    </row>
    <row r="132">
      <c r="B132" s="55" t="n">
        <v>46224</v>
      </c>
      <c r="C132" s="53" t="inlineStr">
        <is>
          <t>Pablo Acosta</t>
        </is>
      </c>
      <c r="D132" s="53" t="inlineStr">
        <is>
          <t>Extracción</t>
        </is>
      </c>
      <c r="E132" s="59" t="n">
        <v>265000</v>
      </c>
      <c r="F132" s="53" t="n"/>
    </row>
    <row r="133">
      <c r="B133" s="55" t="n">
        <v>46225</v>
      </c>
      <c r="C133" s="53" t="inlineStr">
        <is>
          <t>Valeria Ríos</t>
        </is>
      </c>
      <c r="D133" s="53" t="inlineStr">
        <is>
          <t>Obturación (arreglo)</t>
        </is>
      </c>
      <c r="E133" s="59" t="n">
        <v>250000</v>
      </c>
      <c r="F133" s="53" t="n"/>
    </row>
    <row r="134">
      <c r="B134" s="55" t="n">
        <v>46226</v>
      </c>
      <c r="C134" s="53" t="inlineStr">
        <is>
          <t>Héctor Aguilera</t>
        </is>
      </c>
      <c r="D134" s="53" t="inlineStr">
        <is>
          <t>Obturación (arreglo)</t>
        </is>
      </c>
      <c r="E134" s="59" t="n">
        <v>225000</v>
      </c>
      <c r="F134" s="53" t="n"/>
    </row>
    <row r="135">
      <c r="B135" s="55" t="n">
        <v>46227</v>
      </c>
      <c r="C135" s="53" t="inlineStr">
        <is>
          <t>Lucía Martínez</t>
        </is>
      </c>
      <c r="D135" s="53" t="inlineStr">
        <is>
          <t>Extracción</t>
        </is>
      </c>
      <c r="E135" s="59" t="n">
        <v>245000</v>
      </c>
      <c r="F135" s="53" t="n"/>
    </row>
    <row r="136">
      <c r="B136" s="55" t="n">
        <v>46227</v>
      </c>
      <c r="C136" s="53" t="inlineStr">
        <is>
          <t>Sergio Maidana</t>
        </is>
      </c>
      <c r="D136" s="53" t="inlineStr">
        <is>
          <t>Control de ortodoncia</t>
        </is>
      </c>
      <c r="E136" s="59" t="n">
        <v>185000</v>
      </c>
      <c r="F136" s="53" t="n"/>
    </row>
    <row r="137">
      <c r="B137" s="55" t="n">
        <v>46230</v>
      </c>
      <c r="C137" s="53" t="inlineStr">
        <is>
          <t>Camila Franco</t>
        </is>
      </c>
      <c r="D137" s="53" t="inlineStr">
        <is>
          <t>Control de ortodoncia</t>
        </is>
      </c>
      <c r="E137" s="59" t="n">
        <v>190000</v>
      </c>
      <c r="F137" s="53" t="n"/>
    </row>
    <row r="138">
      <c r="B138" s="55" t="n">
        <v>46230</v>
      </c>
      <c r="C138" s="53" t="inlineStr">
        <is>
          <t>Mónica Ayala</t>
        </is>
      </c>
      <c r="D138" s="53" t="inlineStr">
        <is>
          <t>Consulta</t>
        </is>
      </c>
      <c r="E138" s="59" t="n">
        <v>90000</v>
      </c>
      <c r="F138" s="53" t="n"/>
    </row>
    <row r="139">
      <c r="B139" s="55" t="n">
        <v>46231</v>
      </c>
      <c r="C139" s="53" t="inlineStr">
        <is>
          <t>Natalia Peralta</t>
        </is>
      </c>
      <c r="D139" s="53" t="inlineStr">
        <is>
          <t>Obturación (arreglo)</t>
        </is>
      </c>
      <c r="E139" s="59" t="n">
        <v>240000</v>
      </c>
      <c r="F139" s="53" t="n"/>
    </row>
    <row r="140">
      <c r="B140" s="55" t="n">
        <v>46231</v>
      </c>
      <c r="C140" s="53" t="inlineStr">
        <is>
          <t>Ramón Ferreira</t>
        </is>
      </c>
      <c r="D140" s="53" t="inlineStr">
        <is>
          <t>Consulta</t>
        </is>
      </c>
      <c r="E140" s="59" t="n">
        <v>110000</v>
      </c>
      <c r="F140" s="53" t="n"/>
    </row>
    <row r="141">
      <c r="B141" s="55" t="n">
        <v>46236</v>
      </c>
      <c r="C141" s="53" t="inlineStr">
        <is>
          <t>Ana Gómez</t>
        </is>
      </c>
      <c r="D141" s="53" t="inlineStr">
        <is>
          <t>Obturación (arreglo)</t>
        </is>
      </c>
      <c r="E141" s="59" t="n">
        <v>205000</v>
      </c>
      <c r="F141" s="53" t="n"/>
    </row>
    <row r="142">
      <c r="B142" s="55" t="n">
        <v>46236</v>
      </c>
      <c r="C142" s="53" t="inlineStr">
        <is>
          <t>Héctor Aguilera</t>
        </is>
      </c>
      <c r="D142" s="53" t="inlineStr">
        <is>
          <t>Blanqueamiento</t>
        </is>
      </c>
      <c r="E142" s="59" t="n">
        <v>960000</v>
      </c>
      <c r="F142" s="53" t="n"/>
    </row>
    <row r="143">
      <c r="B143" s="55" t="n">
        <v>46237</v>
      </c>
      <c r="C143" s="53" t="inlineStr">
        <is>
          <t>Valeria Ríos</t>
        </is>
      </c>
      <c r="D143" s="53" t="inlineStr">
        <is>
          <t>Limpieza dental</t>
        </is>
      </c>
      <c r="E143" s="59" t="n">
        <v>190000</v>
      </c>
      <c r="F143" s="53" t="n"/>
    </row>
    <row r="144">
      <c r="B144" s="55" t="n">
        <v>46239</v>
      </c>
      <c r="C144" s="53" t="inlineStr">
        <is>
          <t>Gabriela Lezcano</t>
        </is>
      </c>
      <c r="D144" s="53" t="inlineStr">
        <is>
          <t>Limpieza dental</t>
        </is>
      </c>
      <c r="E144" s="59" t="n">
        <v>175000</v>
      </c>
      <c r="F144" s="53" t="n"/>
    </row>
    <row r="145">
      <c r="B145" s="55" t="n">
        <v>46239</v>
      </c>
      <c r="C145" s="53" t="inlineStr">
        <is>
          <t>Camila Franco</t>
        </is>
      </c>
      <c r="D145" s="53" t="inlineStr">
        <is>
          <t>Limpieza dental</t>
        </is>
      </c>
      <c r="E145" s="59" t="n">
        <v>200000</v>
      </c>
      <c r="F145" s="53" t="n"/>
    </row>
    <row r="146">
      <c r="B146" s="55" t="n">
        <v>46241</v>
      </c>
      <c r="C146" s="53" t="inlineStr">
        <is>
          <t>Fabián Romero</t>
        </is>
      </c>
      <c r="D146" s="53" t="inlineStr">
        <is>
          <t>Blanqueamiento</t>
        </is>
      </c>
      <c r="E146" s="59" t="n">
        <v>865000</v>
      </c>
      <c r="F146" s="53" t="n"/>
    </row>
    <row r="147">
      <c r="B147" s="55" t="n">
        <v>46246</v>
      </c>
      <c r="C147" s="53" t="inlineStr">
        <is>
          <t>Pablo Acosta</t>
        </is>
      </c>
      <c r="D147" s="53" t="inlineStr">
        <is>
          <t>Obturación (arreglo)</t>
        </is>
      </c>
      <c r="E147" s="59" t="n">
        <v>205000</v>
      </c>
      <c r="F147" s="53" t="n"/>
    </row>
    <row r="148">
      <c r="B148" s="55" t="n">
        <v>46246</v>
      </c>
      <c r="C148" s="53" t="inlineStr">
        <is>
          <t>Fabián Romero</t>
        </is>
      </c>
      <c r="D148" s="53" t="inlineStr">
        <is>
          <t>Limpieza dental</t>
        </is>
      </c>
      <c r="E148" s="59" t="n">
        <v>185000</v>
      </c>
      <c r="F148" s="53" t="n"/>
    </row>
    <row r="149">
      <c r="B149" s="55" t="n">
        <v>46246</v>
      </c>
      <c r="C149" s="53" t="inlineStr">
        <is>
          <t>Patricia Delvalle</t>
        </is>
      </c>
      <c r="D149" s="53" t="inlineStr">
        <is>
          <t>Consulta</t>
        </is>
      </c>
      <c r="E149" s="59" t="n">
        <v>115000</v>
      </c>
      <c r="F149" s="53" t="n"/>
    </row>
    <row r="150">
      <c r="B150" s="55" t="n">
        <v>46246</v>
      </c>
      <c r="C150" s="53" t="inlineStr">
        <is>
          <t>Pablo Acosta</t>
        </is>
      </c>
      <c r="D150" s="53" t="inlineStr">
        <is>
          <t>Extracción</t>
        </is>
      </c>
      <c r="E150" s="59" t="n">
        <v>235000</v>
      </c>
      <c r="F150" s="53" t="n"/>
    </row>
    <row r="151">
      <c r="B151" s="55" t="n">
        <v>46247</v>
      </c>
      <c r="C151" s="53" t="inlineStr">
        <is>
          <t>Tomás Giménez</t>
        </is>
      </c>
      <c r="D151" s="53" t="inlineStr">
        <is>
          <t>Limpieza dental</t>
        </is>
      </c>
      <c r="E151" s="59" t="n">
        <v>185000</v>
      </c>
      <c r="F151" s="53" t="n"/>
    </row>
    <row r="152">
      <c r="B152" s="55" t="n">
        <v>46249</v>
      </c>
      <c r="C152" s="53" t="inlineStr">
        <is>
          <t>Natalia Peralta</t>
        </is>
      </c>
      <c r="D152" s="53" t="inlineStr">
        <is>
          <t>Consulta</t>
        </is>
      </c>
      <c r="E152" s="59" t="n">
        <v>105000</v>
      </c>
      <c r="F152" s="53" t="n"/>
    </row>
    <row r="153">
      <c r="B153" s="55" t="n">
        <v>46250</v>
      </c>
      <c r="C153" s="53" t="inlineStr">
        <is>
          <t>Elena Báez</t>
        </is>
      </c>
      <c r="D153" s="53" t="inlineStr">
        <is>
          <t>Endodoncia</t>
        </is>
      </c>
      <c r="E153" s="59" t="n">
        <v>720000</v>
      </c>
      <c r="F153" s="53" t="n"/>
    </row>
    <row r="154">
      <c r="B154" s="55" t="n">
        <v>46252</v>
      </c>
      <c r="C154" s="53" t="inlineStr">
        <is>
          <t>Clara Esquivel</t>
        </is>
      </c>
      <c r="D154" s="53" t="inlineStr">
        <is>
          <t>Prótesis</t>
        </is>
      </c>
      <c r="E154" s="59" t="n">
        <v>1715000</v>
      </c>
      <c r="F154" s="53" t="n"/>
    </row>
    <row r="155">
      <c r="B155" s="55" t="n">
        <v>46253</v>
      </c>
      <c r="C155" s="53" t="inlineStr">
        <is>
          <t>Elena Báez</t>
        </is>
      </c>
      <c r="D155" s="53" t="inlineStr">
        <is>
          <t>Limpieza dental</t>
        </is>
      </c>
      <c r="E155" s="59" t="n">
        <v>185000</v>
      </c>
      <c r="F155" s="53" t="n"/>
    </row>
    <row r="156">
      <c r="B156" s="55" t="n">
        <v>46257</v>
      </c>
      <c r="C156" s="53" t="inlineStr">
        <is>
          <t>Pablo Acosta</t>
        </is>
      </c>
      <c r="D156" s="53" t="inlineStr">
        <is>
          <t>Control de ortodoncia</t>
        </is>
      </c>
      <c r="E156" s="59" t="n">
        <v>195000</v>
      </c>
      <c r="F156" s="53" t="n"/>
    </row>
    <row r="157">
      <c r="B157" s="55" t="n">
        <v>46257</v>
      </c>
      <c r="C157" s="53" t="inlineStr">
        <is>
          <t>Sofía Giménez</t>
        </is>
      </c>
      <c r="D157" s="53" t="inlineStr">
        <is>
          <t>Control de ortodoncia</t>
        </is>
      </c>
      <c r="E157" s="59" t="n">
        <v>220000</v>
      </c>
      <c r="F157" s="53" t="n"/>
    </row>
    <row r="158">
      <c r="B158" s="55" t="n">
        <v>46260</v>
      </c>
      <c r="C158" s="53" t="inlineStr">
        <is>
          <t>Julián Vera</t>
        </is>
      </c>
      <c r="D158" s="53" t="inlineStr">
        <is>
          <t>Obturación (arreglo)</t>
        </is>
      </c>
      <c r="E158" s="59" t="n">
        <v>235000</v>
      </c>
      <c r="F158" s="53" t="n"/>
    </row>
    <row r="159">
      <c r="B159" s="55" t="n">
        <v>46261</v>
      </c>
      <c r="C159" s="53" t="inlineStr">
        <is>
          <t>Diego Cabrera</t>
        </is>
      </c>
      <c r="D159" s="53" t="inlineStr">
        <is>
          <t>Extracción</t>
        </is>
      </c>
      <c r="E159" s="59" t="n">
        <v>270000</v>
      </c>
      <c r="F159" s="53" t="n"/>
    </row>
    <row r="160">
      <c r="B160" s="55" t="n">
        <v>46261</v>
      </c>
      <c r="C160" s="53" t="inlineStr">
        <is>
          <t>Patricia Delvalle</t>
        </is>
      </c>
      <c r="D160" s="53" t="inlineStr">
        <is>
          <t>Limpieza dental</t>
        </is>
      </c>
      <c r="E160" s="59" t="n">
        <v>190000</v>
      </c>
      <c r="F160" s="53" t="n"/>
    </row>
    <row r="161">
      <c r="B161" s="55" t="n">
        <v>46267</v>
      </c>
      <c r="C161" s="53" t="inlineStr">
        <is>
          <t>Julián Vera</t>
        </is>
      </c>
      <c r="D161" s="53" t="inlineStr">
        <is>
          <t>Endodoncia</t>
        </is>
      </c>
      <c r="E161" s="59" t="n">
        <v>820000</v>
      </c>
      <c r="F161" s="53" t="n"/>
    </row>
    <row r="162">
      <c r="B162" s="55" t="n">
        <v>46267</v>
      </c>
      <c r="C162" s="53" t="inlineStr">
        <is>
          <t>Valeria Ríos</t>
        </is>
      </c>
      <c r="D162" s="53" t="inlineStr">
        <is>
          <t>Limpieza dental</t>
        </is>
      </c>
      <c r="E162" s="59" t="n">
        <v>180000</v>
      </c>
      <c r="F162" s="53" t="n"/>
    </row>
    <row r="163">
      <c r="B163" s="55" t="n">
        <v>46269</v>
      </c>
      <c r="C163" s="53" t="inlineStr">
        <is>
          <t>Diego Cabrera</t>
        </is>
      </c>
      <c r="D163" s="53" t="inlineStr">
        <is>
          <t>Consulta</t>
        </is>
      </c>
      <c r="E163" s="59" t="n">
        <v>105000</v>
      </c>
      <c r="F163" s="53" t="n"/>
    </row>
    <row r="164">
      <c r="B164" s="55" t="n">
        <v>46271</v>
      </c>
      <c r="C164" s="53" t="inlineStr">
        <is>
          <t>Diego Cabrera</t>
        </is>
      </c>
      <c r="D164" s="53" t="inlineStr">
        <is>
          <t>Obturación (arreglo)</t>
        </is>
      </c>
      <c r="E164" s="59" t="n">
        <v>220000</v>
      </c>
      <c r="F164" s="53" t="n"/>
    </row>
    <row r="165">
      <c r="B165" s="55" t="n">
        <v>46271</v>
      </c>
      <c r="C165" s="53" t="inlineStr">
        <is>
          <t>Fabián Romero</t>
        </is>
      </c>
      <c r="D165" s="53" t="inlineStr">
        <is>
          <t>Consulta</t>
        </is>
      </c>
      <c r="E165" s="59" t="n">
        <v>105000</v>
      </c>
      <c r="F165" s="53" t="n"/>
    </row>
    <row r="166">
      <c r="B166" s="55" t="n">
        <v>46272</v>
      </c>
      <c r="C166" s="53" t="inlineStr">
        <is>
          <t>Julián Vera</t>
        </is>
      </c>
      <c r="D166" s="53" t="inlineStr">
        <is>
          <t>Urgencia</t>
        </is>
      </c>
      <c r="E166" s="59" t="n">
        <v>140000</v>
      </c>
      <c r="F166" s="53" t="n"/>
    </row>
    <row r="167">
      <c r="B167" s="55" t="n">
        <v>46273</v>
      </c>
      <c r="C167" s="53" t="inlineStr">
        <is>
          <t>Sofía Giménez</t>
        </is>
      </c>
      <c r="D167" s="53" t="inlineStr">
        <is>
          <t>Endodoncia</t>
        </is>
      </c>
      <c r="E167" s="59" t="n">
        <v>845000</v>
      </c>
      <c r="F167" s="53" t="n"/>
    </row>
    <row r="168">
      <c r="B168" s="55" t="n">
        <v>46274</v>
      </c>
      <c r="C168" s="53" t="inlineStr">
        <is>
          <t>Rosa Villalba</t>
        </is>
      </c>
      <c r="D168" s="53" t="inlineStr">
        <is>
          <t>Obturación (arreglo)</t>
        </is>
      </c>
      <c r="E168" s="59" t="n">
        <v>200000</v>
      </c>
      <c r="F168" s="53" t="n"/>
    </row>
    <row r="169">
      <c r="B169" s="55" t="n">
        <v>46277</v>
      </c>
      <c r="C169" s="53" t="inlineStr">
        <is>
          <t>Clara Esquivel</t>
        </is>
      </c>
      <c r="D169" s="53" t="inlineStr">
        <is>
          <t>Prótesis</t>
        </is>
      </c>
      <c r="E169" s="59" t="n">
        <v>1630000</v>
      </c>
      <c r="F169" s="53" t="n"/>
    </row>
    <row r="170">
      <c r="B170" s="55" t="n">
        <v>46277</v>
      </c>
      <c r="C170" s="53" t="inlineStr">
        <is>
          <t>Sofía Giménez</t>
        </is>
      </c>
      <c r="D170" s="53" t="inlineStr">
        <is>
          <t>Urgencia</t>
        </is>
      </c>
      <c r="E170" s="59" t="n">
        <v>150000</v>
      </c>
      <c r="F170" s="53" t="n"/>
    </row>
    <row r="171">
      <c r="B171" s="55" t="n">
        <v>46282</v>
      </c>
      <c r="C171" s="53" t="inlineStr">
        <is>
          <t>Ana Gómez</t>
        </is>
      </c>
      <c r="D171" s="53" t="inlineStr">
        <is>
          <t>Prótesis</t>
        </is>
      </c>
      <c r="E171" s="59" t="n">
        <v>1590000</v>
      </c>
      <c r="F171" s="53" t="n"/>
    </row>
    <row r="172">
      <c r="B172" s="55" t="n">
        <v>46283</v>
      </c>
      <c r="C172" s="53" t="inlineStr">
        <is>
          <t>Carlos Benítez</t>
        </is>
      </c>
      <c r="D172" s="53" t="inlineStr">
        <is>
          <t>Limpieza dental</t>
        </is>
      </c>
      <c r="E172" s="59" t="n">
        <v>180000</v>
      </c>
      <c r="F172" s="53" t="n"/>
    </row>
    <row r="173">
      <c r="B173" s="55" t="n">
        <v>46284</v>
      </c>
      <c r="C173" s="53" t="inlineStr">
        <is>
          <t>Valeria Ríos</t>
        </is>
      </c>
      <c r="D173" s="53" t="inlineStr">
        <is>
          <t>Obturación (arreglo)</t>
        </is>
      </c>
      <c r="E173" s="59" t="n">
        <v>250000</v>
      </c>
      <c r="F173" s="53" t="n"/>
    </row>
    <row r="174">
      <c r="B174" s="55" t="n">
        <v>46284</v>
      </c>
      <c r="C174" s="53" t="inlineStr">
        <is>
          <t>Tomás Giménez</t>
        </is>
      </c>
      <c r="D174" s="53" t="inlineStr">
        <is>
          <t>Control de ortodoncia</t>
        </is>
      </c>
      <c r="E174" s="59" t="n">
        <v>210000</v>
      </c>
      <c r="F174" s="53" t="n"/>
    </row>
    <row r="175">
      <c r="B175" s="55" t="n">
        <v>46291</v>
      </c>
      <c r="C175" s="53" t="inlineStr">
        <is>
          <t>Ana Gómez</t>
        </is>
      </c>
      <c r="D175" s="53" t="inlineStr">
        <is>
          <t>Control de ortodoncia</t>
        </is>
      </c>
      <c r="E175" s="59" t="n">
        <v>200000</v>
      </c>
      <c r="F175" s="53" t="n"/>
    </row>
    <row r="176">
      <c r="B176" s="55" t="n">
        <v>46291</v>
      </c>
      <c r="C176" s="53" t="inlineStr">
        <is>
          <t>Mónica Ayala</t>
        </is>
      </c>
      <c r="D176" s="53" t="inlineStr">
        <is>
          <t>Consulta</t>
        </is>
      </c>
      <c r="E176" s="59" t="n">
        <v>110000</v>
      </c>
      <c r="F176" s="53" t="n"/>
    </row>
    <row r="177">
      <c r="B177" s="55" t="n">
        <v>46292</v>
      </c>
      <c r="C177" s="53" t="inlineStr">
        <is>
          <t>Ana Gómez</t>
        </is>
      </c>
      <c r="D177" s="53" t="inlineStr">
        <is>
          <t>Consulta</t>
        </is>
      </c>
      <c r="E177" s="59" t="n">
        <v>105000</v>
      </c>
      <c r="F177" s="53" t="n"/>
    </row>
    <row r="178">
      <c r="B178" s="55" t="n">
        <v>46293</v>
      </c>
      <c r="C178" s="53" t="inlineStr">
        <is>
          <t>Sergio Maidana</t>
        </is>
      </c>
      <c r="D178" s="53" t="inlineStr">
        <is>
          <t>Limpieza dental</t>
        </is>
      </c>
      <c r="E178" s="59" t="n">
        <v>185000</v>
      </c>
      <c r="F178" s="53" t="n"/>
    </row>
    <row r="179">
      <c r="B179" s="55" t="n">
        <v>46296</v>
      </c>
      <c r="C179" s="53" t="inlineStr">
        <is>
          <t>Natalia Peralta</t>
        </is>
      </c>
      <c r="D179" s="53" t="inlineStr">
        <is>
          <t>Consulta</t>
        </is>
      </c>
      <c r="E179" s="59" t="n">
        <v>110000</v>
      </c>
      <c r="F179" s="53" t="n"/>
    </row>
    <row r="180">
      <c r="B180" s="55" t="n">
        <v>46296</v>
      </c>
      <c r="C180" s="53" t="inlineStr">
        <is>
          <t>Fabián Romero</t>
        </is>
      </c>
      <c r="D180" s="53" t="inlineStr">
        <is>
          <t>Endodoncia</t>
        </is>
      </c>
      <c r="E180" s="59" t="n">
        <v>825000</v>
      </c>
      <c r="F180" s="53" t="n"/>
    </row>
    <row r="181">
      <c r="B181" s="55" t="n">
        <v>46297</v>
      </c>
      <c r="C181" s="53" t="inlineStr">
        <is>
          <t>Sergio Maidana</t>
        </is>
      </c>
      <c r="D181" s="53" t="inlineStr">
        <is>
          <t>Consulta</t>
        </is>
      </c>
      <c r="E181" s="59" t="n">
        <v>90000</v>
      </c>
      <c r="F181" s="53" t="n"/>
    </row>
    <row r="182">
      <c r="B182" s="55" t="n">
        <v>46297</v>
      </c>
      <c r="C182" s="53" t="inlineStr">
        <is>
          <t>Valeria Ríos</t>
        </is>
      </c>
      <c r="D182" s="53" t="inlineStr">
        <is>
          <t>Control de ortodoncia</t>
        </is>
      </c>
      <c r="E182" s="59" t="n">
        <v>225000</v>
      </c>
      <c r="F182" s="53" t="n"/>
    </row>
    <row r="183">
      <c r="B183" s="55" t="n">
        <v>46298</v>
      </c>
      <c r="C183" s="53" t="inlineStr">
        <is>
          <t>Tomás Giménez</t>
        </is>
      </c>
      <c r="D183" s="53" t="inlineStr">
        <is>
          <t>Extracción</t>
        </is>
      </c>
      <c r="E183" s="59" t="n">
        <v>260000</v>
      </c>
      <c r="F183" s="53" t="n"/>
    </row>
    <row r="184">
      <c r="B184" s="55" t="n">
        <v>46301</v>
      </c>
      <c r="C184" s="53" t="inlineStr">
        <is>
          <t>Andrés Insfrán</t>
        </is>
      </c>
      <c r="D184" s="53" t="inlineStr">
        <is>
          <t>Control de ortodoncia</t>
        </is>
      </c>
      <c r="E184" s="59" t="n">
        <v>225000</v>
      </c>
      <c r="F184" s="53" t="n"/>
    </row>
    <row r="185">
      <c r="B185" s="55" t="n">
        <v>46304</v>
      </c>
      <c r="C185" s="53" t="inlineStr">
        <is>
          <t>Rosa Villalba</t>
        </is>
      </c>
      <c r="D185" s="53" t="inlineStr">
        <is>
          <t>Control de ortodoncia</t>
        </is>
      </c>
      <c r="E185" s="59" t="n">
        <v>200000</v>
      </c>
      <c r="F185" s="53" t="n"/>
    </row>
    <row r="186">
      <c r="B186" s="55" t="n">
        <v>46306</v>
      </c>
      <c r="C186" s="53" t="inlineStr">
        <is>
          <t>Sofía Giménez</t>
        </is>
      </c>
      <c r="D186" s="53" t="inlineStr">
        <is>
          <t>Limpieza dental</t>
        </is>
      </c>
      <c r="E186" s="59" t="n">
        <v>175000</v>
      </c>
      <c r="F186" s="53" t="n"/>
    </row>
    <row r="187">
      <c r="B187" s="55" t="n">
        <v>46307</v>
      </c>
      <c r="C187" s="53" t="inlineStr">
        <is>
          <t>Andrés Insfrán</t>
        </is>
      </c>
      <c r="D187" s="53" t="inlineStr">
        <is>
          <t>Limpieza dental</t>
        </is>
      </c>
      <c r="E187" s="59" t="n">
        <v>200000</v>
      </c>
      <c r="F187" s="53" t="n"/>
    </row>
    <row r="188">
      <c r="B188" s="55" t="n">
        <v>46308</v>
      </c>
      <c r="C188" s="53" t="inlineStr">
        <is>
          <t>Elena Báez</t>
        </is>
      </c>
      <c r="D188" s="53" t="inlineStr">
        <is>
          <t>Control de ortodoncia</t>
        </is>
      </c>
      <c r="E188" s="59" t="n">
        <v>210000</v>
      </c>
      <c r="F188" s="53" t="n"/>
    </row>
    <row r="189">
      <c r="B189" s="55" t="n">
        <v>46309</v>
      </c>
      <c r="C189" s="53" t="inlineStr">
        <is>
          <t>Valeria Ríos</t>
        </is>
      </c>
      <c r="D189" s="53" t="inlineStr">
        <is>
          <t>Control de ortodoncia</t>
        </is>
      </c>
      <c r="E189" s="59" t="n">
        <v>180000</v>
      </c>
      <c r="F189" s="53" t="n"/>
    </row>
    <row r="190">
      <c r="B190" s="55" t="n">
        <v>46309</v>
      </c>
      <c r="C190" s="53" t="inlineStr">
        <is>
          <t>Ana Gómez</t>
        </is>
      </c>
      <c r="D190" s="53" t="inlineStr">
        <is>
          <t>Blanqueamiento</t>
        </is>
      </c>
      <c r="E190" s="59" t="n">
        <v>875000</v>
      </c>
      <c r="F190" s="53" t="n"/>
    </row>
    <row r="191">
      <c r="B191" s="55" t="n">
        <v>46310</v>
      </c>
      <c r="C191" s="53" t="inlineStr">
        <is>
          <t>Julián Vera</t>
        </is>
      </c>
      <c r="D191" s="53" t="inlineStr">
        <is>
          <t>Obturación (arreglo)</t>
        </is>
      </c>
      <c r="E191" s="59" t="n">
        <v>205000</v>
      </c>
      <c r="F191" s="53" t="n"/>
    </row>
    <row r="192">
      <c r="B192" s="55" t="n">
        <v>46311</v>
      </c>
      <c r="C192" s="53" t="inlineStr">
        <is>
          <t>Patricia Delvalle</t>
        </is>
      </c>
      <c r="D192" s="53" t="inlineStr">
        <is>
          <t>Extracción</t>
        </is>
      </c>
      <c r="E192" s="59" t="n">
        <v>275000</v>
      </c>
      <c r="F192" s="53" t="n"/>
    </row>
    <row r="193">
      <c r="B193" s="55" t="n">
        <v>46312</v>
      </c>
      <c r="C193" s="53" t="inlineStr">
        <is>
          <t>Clara Esquivel</t>
        </is>
      </c>
      <c r="D193" s="53" t="inlineStr">
        <is>
          <t>Prótesis</t>
        </is>
      </c>
      <c r="E193" s="59" t="n">
        <v>1520000</v>
      </c>
      <c r="F193" s="53" t="n"/>
    </row>
    <row r="194">
      <c r="B194" s="55" t="n">
        <v>46312</v>
      </c>
      <c r="C194" s="53" t="inlineStr">
        <is>
          <t>Sofía Giménez</t>
        </is>
      </c>
      <c r="D194" s="53" t="inlineStr">
        <is>
          <t>Urgencia</t>
        </is>
      </c>
      <c r="E194" s="59" t="n">
        <v>150000</v>
      </c>
      <c r="F194" s="53" t="n"/>
    </row>
    <row r="195">
      <c r="B195" s="55" t="n">
        <v>46313</v>
      </c>
      <c r="C195" s="53" t="inlineStr">
        <is>
          <t>Marcos Ortiz</t>
        </is>
      </c>
      <c r="D195" s="53" t="inlineStr">
        <is>
          <t>Consulta</t>
        </is>
      </c>
      <c r="E195" s="59" t="n">
        <v>95000</v>
      </c>
      <c r="F195" s="53" t="n"/>
    </row>
    <row r="196">
      <c r="B196" s="55" t="n">
        <v>46314</v>
      </c>
      <c r="C196" s="53" t="inlineStr">
        <is>
          <t>Clara Esquivel</t>
        </is>
      </c>
      <c r="D196" s="53" t="inlineStr">
        <is>
          <t>Limpieza dental</t>
        </is>
      </c>
      <c r="E196" s="59" t="n">
        <v>205000</v>
      </c>
      <c r="F196" s="53" t="n"/>
    </row>
    <row r="197">
      <c r="B197" s="55" t="n">
        <v>46316</v>
      </c>
      <c r="C197" s="53" t="inlineStr">
        <is>
          <t>Natalia Peralta</t>
        </is>
      </c>
      <c r="D197" s="53" t="inlineStr">
        <is>
          <t>Limpieza dental</t>
        </is>
      </c>
      <c r="E197" s="59" t="n">
        <v>190000</v>
      </c>
      <c r="F197" s="53" t="n"/>
    </row>
    <row r="198">
      <c r="B198" s="55" t="n">
        <v>46316</v>
      </c>
      <c r="C198" s="53" t="inlineStr">
        <is>
          <t>Ramón Ferreira</t>
        </is>
      </c>
      <c r="D198" s="53" t="inlineStr">
        <is>
          <t>Prótesis</t>
        </is>
      </c>
      <c r="E198" s="59" t="n">
        <v>1440000</v>
      </c>
      <c r="F198" s="53" t="n"/>
    </row>
    <row r="199">
      <c r="B199" s="55" t="n">
        <v>46317</v>
      </c>
      <c r="C199" s="53" t="inlineStr">
        <is>
          <t>Carlos Benítez</t>
        </is>
      </c>
      <c r="D199" s="53" t="inlineStr">
        <is>
          <t>Obturación (arreglo)</t>
        </is>
      </c>
      <c r="E199" s="59" t="n">
        <v>200000</v>
      </c>
      <c r="F199" s="53" t="n"/>
    </row>
    <row r="200">
      <c r="B200" s="55" t="n">
        <v>46318</v>
      </c>
      <c r="C200" s="53" t="inlineStr">
        <is>
          <t>Carlos Benítez</t>
        </is>
      </c>
      <c r="D200" s="53" t="inlineStr">
        <is>
          <t>Consulta</t>
        </is>
      </c>
      <c r="E200" s="59" t="n">
        <v>105000</v>
      </c>
      <c r="F200" s="53" t="n"/>
    </row>
    <row r="201">
      <c r="B201" s="55" t="n">
        <v>46319</v>
      </c>
      <c r="C201" s="53" t="inlineStr">
        <is>
          <t>Natalia Peralta</t>
        </is>
      </c>
      <c r="D201" s="53" t="inlineStr">
        <is>
          <t>Obturación (arreglo)</t>
        </is>
      </c>
      <c r="E201" s="59" t="n">
        <v>250000</v>
      </c>
      <c r="F201" s="53" t="n"/>
    </row>
    <row r="202">
      <c r="B202" s="55" t="n">
        <v>46322</v>
      </c>
      <c r="C202" s="53" t="inlineStr">
        <is>
          <t>Héctor Aguilera</t>
        </is>
      </c>
      <c r="D202" s="53" t="inlineStr">
        <is>
          <t>Consulta</t>
        </is>
      </c>
      <c r="E202" s="59" t="n">
        <v>95000</v>
      </c>
      <c r="F202" s="53" t="n"/>
    </row>
    <row r="203">
      <c r="B203" s="55" t="n"/>
      <c r="C203" s="53" t="n"/>
      <c r="D203" s="53" t="n"/>
      <c r="E203" s="59" t="n"/>
      <c r="F203" s="53" t="n"/>
    </row>
    <row r="204">
      <c r="B204" s="55" t="n"/>
      <c r="C204" s="53" t="n"/>
      <c r="D204" s="53" t="n"/>
      <c r="E204" s="59" t="n"/>
      <c r="F204" s="53" t="n"/>
    </row>
    <row r="205">
      <c r="B205" s="55" t="n"/>
      <c r="C205" s="53" t="n"/>
      <c r="D205" s="53" t="n"/>
      <c r="E205" s="59" t="n"/>
      <c r="F205" s="53" t="n"/>
    </row>
    <row r="206">
      <c r="B206" s="55" t="n"/>
      <c r="C206" s="53" t="n"/>
      <c r="D206" s="53" t="n"/>
      <c r="E206" s="59" t="n"/>
      <c r="F206" s="53" t="n"/>
    </row>
    <row r="207">
      <c r="B207" s="55" t="n"/>
      <c r="C207" s="53" t="n"/>
      <c r="D207" s="53" t="n"/>
      <c r="E207" s="59" t="n"/>
      <c r="F207" s="53" t="n"/>
    </row>
    <row r="208">
      <c r="B208" s="55" t="n"/>
      <c r="C208" s="53" t="n"/>
      <c r="D208" s="53" t="n"/>
      <c r="E208" s="59" t="n"/>
      <c r="F208" s="53" t="n"/>
    </row>
    <row r="209">
      <c r="B209" s="55" t="n"/>
      <c r="C209" s="53" t="n"/>
      <c r="D209" s="53" t="n"/>
      <c r="E209" s="59" t="n"/>
      <c r="F209" s="53" t="n"/>
    </row>
    <row r="210">
      <c r="B210" s="55" t="n"/>
      <c r="C210" s="53" t="n"/>
      <c r="D210" s="53" t="n"/>
      <c r="E210" s="59" t="n"/>
      <c r="F210" s="53" t="n"/>
    </row>
    <row r="211">
      <c r="B211" s="55" t="n"/>
      <c r="C211" s="53" t="n"/>
      <c r="D211" s="53" t="n"/>
      <c r="E211" s="59" t="n"/>
      <c r="F211" s="53" t="n"/>
    </row>
    <row r="212">
      <c r="B212" s="55" t="n"/>
      <c r="C212" s="53" t="n"/>
      <c r="D212" s="53" t="n"/>
      <c r="E212" s="59" t="n"/>
      <c r="F212" s="53" t="n"/>
    </row>
    <row r="213">
      <c r="B213" s="55" t="n"/>
      <c r="C213" s="53" t="n"/>
      <c r="D213" s="53" t="n"/>
      <c r="E213" s="59" t="n"/>
      <c r="F213" s="53" t="n"/>
    </row>
    <row r="214">
      <c r="B214" s="55" t="n"/>
      <c r="C214" s="53" t="n"/>
      <c r="D214" s="53" t="n"/>
      <c r="E214" s="59" t="n"/>
      <c r="F214" s="53" t="n"/>
    </row>
    <row r="215">
      <c r="B215" s="55" t="n"/>
      <c r="C215" s="53" t="n"/>
      <c r="D215" s="53" t="n"/>
      <c r="E215" s="59" t="n"/>
      <c r="F215" s="53" t="n"/>
    </row>
    <row r="216">
      <c r="B216" s="55" t="n"/>
      <c r="C216" s="53" t="n"/>
      <c r="D216" s="53" t="n"/>
      <c r="E216" s="59" t="n"/>
      <c r="F216" s="53" t="n"/>
    </row>
    <row r="217">
      <c r="B217" s="55" t="n"/>
      <c r="C217" s="53" t="n"/>
      <c r="D217" s="53" t="n"/>
      <c r="E217" s="59" t="n"/>
      <c r="F217" s="53" t="n"/>
    </row>
    <row r="218">
      <c r="B218" s="55" t="n"/>
      <c r="C218" s="53" t="n"/>
      <c r="D218" s="53" t="n"/>
      <c r="E218" s="59" t="n"/>
      <c r="F218" s="53" t="n"/>
    </row>
    <row r="219">
      <c r="B219" s="55" t="n"/>
      <c r="C219" s="53" t="n"/>
      <c r="D219" s="53" t="n"/>
      <c r="E219" s="59" t="n"/>
      <c r="F219" s="53" t="n"/>
    </row>
    <row r="220">
      <c r="B220" s="55" t="n"/>
      <c r="C220" s="53" t="n"/>
      <c r="D220" s="53" t="n"/>
      <c r="E220" s="59" t="n"/>
      <c r="F220" s="53" t="n"/>
    </row>
    <row r="221">
      <c r="B221" s="55" t="n"/>
      <c r="C221" s="53" t="n"/>
      <c r="D221" s="53" t="n"/>
      <c r="E221" s="59" t="n"/>
      <c r="F221" s="53" t="n"/>
    </row>
    <row r="222">
      <c r="B222" s="55" t="n"/>
      <c r="C222" s="53" t="n"/>
      <c r="D222" s="53" t="n"/>
      <c r="E222" s="59" t="n"/>
      <c r="F222" s="53" t="n"/>
    </row>
    <row r="223">
      <c r="B223" s="55" t="n"/>
      <c r="C223" s="53" t="n"/>
      <c r="D223" s="53" t="n"/>
      <c r="E223" s="59" t="n"/>
      <c r="F223" s="53" t="n"/>
    </row>
    <row r="224">
      <c r="B224" s="55" t="n"/>
      <c r="C224" s="53" t="n"/>
      <c r="D224" s="53" t="n"/>
      <c r="E224" s="59" t="n"/>
      <c r="F224" s="53" t="n"/>
    </row>
    <row r="225">
      <c r="B225" s="55" t="n"/>
      <c r="C225" s="53" t="n"/>
      <c r="D225" s="53" t="n"/>
      <c r="E225" s="59" t="n"/>
      <c r="F225" s="53" t="n"/>
    </row>
    <row r="226">
      <c r="B226" s="55" t="n"/>
      <c r="C226" s="53" t="n"/>
      <c r="D226" s="53" t="n"/>
      <c r="E226" s="59" t="n"/>
      <c r="F226" s="53" t="n"/>
    </row>
    <row r="227">
      <c r="B227" s="55" t="n"/>
      <c r="C227" s="53" t="n"/>
      <c r="D227" s="53" t="n"/>
      <c r="E227" s="59" t="n"/>
      <c r="F227" s="53" t="n"/>
    </row>
    <row r="228">
      <c r="B228" s="55" t="n"/>
      <c r="C228" s="53" t="n"/>
      <c r="D228" s="53" t="n"/>
      <c r="E228" s="59" t="n"/>
      <c r="F228" s="53" t="n"/>
    </row>
    <row r="229">
      <c r="B229" s="55" t="n"/>
      <c r="C229" s="53" t="n"/>
      <c r="D229" s="53" t="n"/>
      <c r="E229" s="59" t="n"/>
      <c r="F229" s="53" t="n"/>
    </row>
    <row r="230">
      <c r="B230" s="55" t="n"/>
      <c r="C230" s="53" t="n"/>
      <c r="D230" s="53" t="n"/>
      <c r="E230" s="59" t="n"/>
      <c r="F230" s="53" t="n"/>
    </row>
    <row r="231">
      <c r="B231" s="55" t="n"/>
      <c r="C231" s="53" t="n"/>
      <c r="D231" s="53" t="n"/>
      <c r="E231" s="59" t="n"/>
      <c r="F231" s="53" t="n"/>
    </row>
    <row r="232">
      <c r="B232" s="55" t="n"/>
      <c r="C232" s="53" t="n"/>
      <c r="D232" s="53" t="n"/>
      <c r="E232" s="59" t="n"/>
      <c r="F232" s="53" t="n"/>
    </row>
    <row r="233">
      <c r="B233" s="55" t="n"/>
      <c r="C233" s="53" t="n"/>
      <c r="D233" s="53" t="n"/>
      <c r="E233" s="59" t="n"/>
      <c r="F233" s="53" t="n"/>
    </row>
    <row r="234">
      <c r="B234" s="55" t="n"/>
      <c r="C234" s="53" t="n"/>
      <c r="D234" s="53" t="n"/>
      <c r="E234" s="59" t="n"/>
      <c r="F234" s="53" t="n"/>
    </row>
    <row r="235">
      <c r="B235" s="55" t="n"/>
      <c r="C235" s="53" t="n"/>
      <c r="D235" s="53" t="n"/>
      <c r="E235" s="59" t="n"/>
      <c r="F235" s="53" t="n"/>
    </row>
    <row r="236">
      <c r="B236" s="55" t="n"/>
      <c r="C236" s="53" t="n"/>
      <c r="D236" s="53" t="n"/>
      <c r="E236" s="59" t="n"/>
      <c r="F236" s="53" t="n"/>
    </row>
    <row r="237">
      <c r="B237" s="55" t="n"/>
      <c r="C237" s="53" t="n"/>
      <c r="D237" s="53" t="n"/>
      <c r="E237" s="59" t="n"/>
      <c r="F237" s="53" t="n"/>
    </row>
    <row r="238">
      <c r="B238" s="55" t="n"/>
      <c r="C238" s="53" t="n"/>
      <c r="D238" s="53" t="n"/>
      <c r="E238" s="59" t="n"/>
      <c r="F238" s="53" t="n"/>
    </row>
    <row r="239">
      <c r="B239" s="55" t="n"/>
      <c r="C239" s="53" t="n"/>
      <c r="D239" s="53" t="n"/>
      <c r="E239" s="59" t="n"/>
      <c r="F239" s="53" t="n"/>
    </row>
    <row r="240">
      <c r="B240" s="55" t="n"/>
      <c r="C240" s="53" t="n"/>
      <c r="D240" s="53" t="n"/>
      <c r="E240" s="59" t="n"/>
      <c r="F240" s="53" t="n"/>
    </row>
    <row r="241">
      <c r="B241" s="55" t="n"/>
      <c r="C241" s="53" t="n"/>
      <c r="D241" s="53" t="n"/>
      <c r="E241" s="59" t="n"/>
      <c r="F241" s="53" t="n"/>
    </row>
    <row r="242">
      <c r="B242" s="55" t="n"/>
      <c r="C242" s="53" t="n"/>
      <c r="D242" s="53" t="n"/>
      <c r="E242" s="59" t="n"/>
      <c r="F242" s="53" t="n"/>
    </row>
    <row r="243">
      <c r="B243" s="55" t="n"/>
      <c r="C243" s="53" t="n"/>
      <c r="D243" s="53" t="n"/>
      <c r="E243" s="59" t="n"/>
      <c r="F243" s="53" t="n"/>
    </row>
    <row r="244">
      <c r="B244" s="55" t="n"/>
      <c r="C244" s="53" t="n"/>
      <c r="D244" s="53" t="n"/>
      <c r="E244" s="59" t="n"/>
      <c r="F244" s="53" t="n"/>
    </row>
    <row r="245">
      <c r="B245" s="55" t="n"/>
      <c r="C245" s="53" t="n"/>
      <c r="D245" s="53" t="n"/>
      <c r="E245" s="59" t="n"/>
      <c r="F245" s="53" t="n"/>
    </row>
    <row r="246">
      <c r="B246" s="55" t="n"/>
      <c r="C246" s="53" t="n"/>
      <c r="D246" s="53" t="n"/>
      <c r="E246" s="59" t="n"/>
      <c r="F246" s="53" t="n"/>
    </row>
    <row r="247">
      <c r="B247" s="55" t="n"/>
      <c r="C247" s="53" t="n"/>
      <c r="D247" s="53" t="n"/>
      <c r="E247" s="59" t="n"/>
      <c r="F247" s="53" t="n"/>
    </row>
    <row r="248">
      <c r="B248" s="55" t="n"/>
      <c r="C248" s="53" t="n"/>
      <c r="D248" s="53" t="n"/>
      <c r="E248" s="59" t="n"/>
      <c r="F248" s="53" t="n"/>
    </row>
    <row r="249">
      <c r="B249" s="55" t="n"/>
      <c r="C249" s="53" t="n"/>
      <c r="D249" s="53" t="n"/>
      <c r="E249" s="59" t="n"/>
      <c r="F249" s="53" t="n"/>
    </row>
    <row r="250">
      <c r="B250" s="55" t="n"/>
      <c r="C250" s="53" t="n"/>
      <c r="D250" s="53" t="n"/>
      <c r="E250" s="59" t="n"/>
      <c r="F250" s="53" t="n"/>
    </row>
    <row r="251">
      <c r="B251" s="55" t="n"/>
      <c r="C251" s="53" t="n"/>
      <c r="D251" s="53" t="n"/>
      <c r="E251" s="59" t="n"/>
      <c r="F251" s="53" t="n"/>
    </row>
    <row r="252">
      <c r="B252" s="55" t="n"/>
      <c r="C252" s="53" t="n"/>
      <c r="D252" s="53" t="n"/>
      <c r="E252" s="59" t="n"/>
      <c r="F252" s="53" t="n"/>
    </row>
    <row r="253">
      <c r="B253" s="55" t="n"/>
      <c r="C253" s="53" t="n"/>
      <c r="D253" s="53" t="n"/>
      <c r="E253" s="59" t="n"/>
      <c r="F253" s="53" t="n"/>
    </row>
    <row r="254">
      <c r="B254" s="55" t="n"/>
      <c r="C254" s="53" t="n"/>
      <c r="D254" s="53" t="n"/>
      <c r="E254" s="59" t="n"/>
      <c r="F254" s="53" t="n"/>
    </row>
    <row r="255">
      <c r="B255" s="55" t="n"/>
      <c r="C255" s="53" t="n"/>
      <c r="D255" s="53" t="n"/>
      <c r="E255" s="59" t="n"/>
      <c r="F255" s="53" t="n"/>
    </row>
    <row r="256">
      <c r="B256" s="55" t="n"/>
      <c r="C256" s="53" t="n"/>
      <c r="D256" s="53" t="n"/>
      <c r="E256" s="59" t="n"/>
      <c r="F256" s="53" t="n"/>
    </row>
    <row r="257">
      <c r="B257" s="55" t="n"/>
      <c r="C257" s="53" t="n"/>
      <c r="D257" s="53" t="n"/>
      <c r="E257" s="59" t="n"/>
      <c r="F257" s="53" t="n"/>
    </row>
    <row r="258">
      <c r="B258" s="55" t="n"/>
      <c r="C258" s="53" t="n"/>
      <c r="D258" s="53" t="n"/>
      <c r="E258" s="59" t="n"/>
      <c r="F258" s="53" t="n"/>
    </row>
    <row r="259">
      <c r="B259" s="55" t="n"/>
      <c r="C259" s="53" t="n"/>
      <c r="D259" s="53" t="n"/>
      <c r="E259" s="59" t="n"/>
      <c r="F259" s="53" t="n"/>
    </row>
    <row r="260">
      <c r="B260" s="55" t="n"/>
      <c r="C260" s="53" t="n"/>
      <c r="D260" s="53" t="n"/>
      <c r="E260" s="59" t="n"/>
      <c r="F260" s="53" t="n"/>
    </row>
    <row r="261">
      <c r="B261" s="55" t="n"/>
      <c r="C261" s="53" t="n"/>
      <c r="D261" s="53" t="n"/>
      <c r="E261" s="59" t="n"/>
      <c r="F261" s="53" t="n"/>
    </row>
    <row r="262">
      <c r="B262" s="55" t="n"/>
      <c r="C262" s="53" t="n"/>
      <c r="D262" s="53" t="n"/>
      <c r="E262" s="59" t="n"/>
      <c r="F262" s="53" t="n"/>
    </row>
    <row r="263">
      <c r="B263" s="55" t="n"/>
      <c r="C263" s="53" t="n"/>
      <c r="D263" s="53" t="n"/>
      <c r="E263" s="59" t="n"/>
      <c r="F263" s="53" t="n"/>
    </row>
    <row r="264">
      <c r="B264" s="55" t="n"/>
      <c r="C264" s="53" t="n"/>
      <c r="D264" s="53" t="n"/>
      <c r="E264" s="59" t="n"/>
      <c r="F264" s="53" t="n"/>
    </row>
    <row r="265">
      <c r="B265" s="55" t="n"/>
      <c r="C265" s="53" t="n"/>
      <c r="D265" s="53" t="n"/>
      <c r="E265" s="59" t="n"/>
      <c r="F265" s="53" t="n"/>
    </row>
    <row r="266">
      <c r="B266" s="55" t="n"/>
      <c r="C266" s="53" t="n"/>
      <c r="D266" s="53" t="n"/>
      <c r="E266" s="59" t="n"/>
      <c r="F266" s="53" t="n"/>
    </row>
    <row r="267">
      <c r="B267" s="55" t="n"/>
      <c r="C267" s="53" t="n"/>
      <c r="D267" s="53" t="n"/>
      <c r="E267" s="59" t="n"/>
      <c r="F267" s="53" t="n"/>
    </row>
    <row r="268">
      <c r="B268" s="55" t="n"/>
      <c r="C268" s="53" t="n"/>
      <c r="D268" s="53" t="n"/>
      <c r="E268" s="59" t="n"/>
      <c r="F268" s="53" t="n"/>
    </row>
    <row r="269">
      <c r="B269" s="55" t="n"/>
      <c r="C269" s="53" t="n"/>
      <c r="D269" s="53" t="n"/>
      <c r="E269" s="59" t="n"/>
      <c r="F269" s="53" t="n"/>
    </row>
    <row r="270">
      <c r="B270" s="55" t="n"/>
      <c r="C270" s="53" t="n"/>
      <c r="D270" s="53" t="n"/>
      <c r="E270" s="59" t="n"/>
      <c r="F270" s="53" t="n"/>
    </row>
    <row r="271">
      <c r="B271" s="55" t="n"/>
      <c r="C271" s="53" t="n"/>
      <c r="D271" s="53" t="n"/>
      <c r="E271" s="59" t="n"/>
      <c r="F271" s="53" t="n"/>
    </row>
    <row r="272">
      <c r="B272" s="55" t="n"/>
      <c r="C272" s="53" t="n"/>
      <c r="D272" s="53" t="n"/>
      <c r="E272" s="59" t="n"/>
      <c r="F272" s="53" t="n"/>
    </row>
    <row r="273">
      <c r="B273" s="55" t="n"/>
      <c r="C273" s="53" t="n"/>
      <c r="D273" s="53" t="n"/>
      <c r="E273" s="59" t="n"/>
      <c r="F273" s="53" t="n"/>
    </row>
    <row r="274">
      <c r="B274" s="55" t="n"/>
      <c r="C274" s="53" t="n"/>
      <c r="D274" s="53" t="n"/>
      <c r="E274" s="59" t="n"/>
      <c r="F274" s="53" t="n"/>
    </row>
    <row r="275">
      <c r="B275" s="55" t="n"/>
      <c r="C275" s="53" t="n"/>
      <c r="D275" s="53" t="n"/>
      <c r="E275" s="59" t="n"/>
      <c r="F275" s="53" t="n"/>
    </row>
    <row r="276">
      <c r="B276" s="55" t="n"/>
      <c r="C276" s="53" t="n"/>
      <c r="D276" s="53" t="n"/>
      <c r="E276" s="59" t="n"/>
      <c r="F276" s="53" t="n"/>
    </row>
    <row r="277">
      <c r="B277" s="55" t="n"/>
      <c r="C277" s="53" t="n"/>
      <c r="D277" s="53" t="n"/>
      <c r="E277" s="59" t="n"/>
      <c r="F277" s="53" t="n"/>
    </row>
    <row r="278">
      <c r="B278" s="55" t="n"/>
      <c r="C278" s="53" t="n"/>
      <c r="D278" s="53" t="n"/>
      <c r="E278" s="59" t="n"/>
      <c r="F278" s="53" t="n"/>
    </row>
    <row r="279">
      <c r="B279" s="55" t="n"/>
      <c r="C279" s="53" t="n"/>
      <c r="D279" s="53" t="n"/>
      <c r="E279" s="59" t="n"/>
      <c r="F279" s="53" t="n"/>
    </row>
    <row r="280">
      <c r="B280" s="55" t="n"/>
      <c r="C280" s="53" t="n"/>
      <c r="D280" s="53" t="n"/>
      <c r="E280" s="59" t="n"/>
      <c r="F280" s="53" t="n"/>
    </row>
    <row r="281">
      <c r="B281" s="55" t="n"/>
      <c r="C281" s="53" t="n"/>
      <c r="D281" s="53" t="n"/>
      <c r="E281" s="59" t="n"/>
      <c r="F281" s="53" t="n"/>
    </row>
    <row r="282">
      <c r="B282" s="55" t="n"/>
      <c r="C282" s="53" t="n"/>
      <c r="D282" s="53" t="n"/>
      <c r="E282" s="59" t="n"/>
      <c r="F282" s="53" t="n"/>
    </row>
    <row r="283">
      <c r="B283" s="55" t="n"/>
      <c r="C283" s="53" t="n"/>
      <c r="D283" s="53" t="n"/>
      <c r="E283" s="59" t="n"/>
      <c r="F283" s="53" t="n"/>
    </row>
    <row r="284">
      <c r="B284" s="55" t="n"/>
      <c r="C284" s="53" t="n"/>
      <c r="D284" s="53" t="n"/>
      <c r="E284" s="59" t="n"/>
      <c r="F284" s="53" t="n"/>
    </row>
    <row r="285">
      <c r="B285" s="55" t="n"/>
      <c r="C285" s="53" t="n"/>
      <c r="D285" s="53" t="n"/>
      <c r="E285" s="59" t="n"/>
      <c r="F285" s="53" t="n"/>
    </row>
    <row r="286">
      <c r="B286" s="55" t="n"/>
      <c r="C286" s="53" t="n"/>
      <c r="D286" s="53" t="n"/>
      <c r="E286" s="59" t="n"/>
      <c r="F286" s="53" t="n"/>
    </row>
    <row r="287">
      <c r="B287" s="55" t="n"/>
      <c r="C287" s="53" t="n"/>
      <c r="D287" s="53" t="n"/>
      <c r="E287" s="59" t="n"/>
      <c r="F287" s="53" t="n"/>
    </row>
    <row r="288">
      <c r="B288" s="55" t="n"/>
      <c r="C288" s="53" t="n"/>
      <c r="D288" s="53" t="n"/>
      <c r="E288" s="59" t="n"/>
      <c r="F288" s="53" t="n"/>
    </row>
    <row r="289">
      <c r="B289" s="55" t="n"/>
      <c r="C289" s="53" t="n"/>
      <c r="D289" s="53" t="n"/>
      <c r="E289" s="59" t="n"/>
      <c r="F289" s="53" t="n"/>
    </row>
    <row r="290">
      <c r="B290" s="55" t="n"/>
      <c r="C290" s="53" t="n"/>
      <c r="D290" s="53" t="n"/>
      <c r="E290" s="59" t="n"/>
      <c r="F290" s="53" t="n"/>
    </row>
    <row r="291">
      <c r="B291" s="55" t="n"/>
      <c r="C291" s="53" t="n"/>
      <c r="D291" s="53" t="n"/>
      <c r="E291" s="59" t="n"/>
      <c r="F291" s="53" t="n"/>
    </row>
    <row r="292">
      <c r="B292" s="55" t="n"/>
      <c r="C292" s="53" t="n"/>
      <c r="D292" s="53" t="n"/>
      <c r="E292" s="59" t="n"/>
      <c r="F292" s="53" t="n"/>
    </row>
    <row r="293">
      <c r="B293" s="55" t="n"/>
      <c r="C293" s="53" t="n"/>
      <c r="D293" s="53" t="n"/>
      <c r="E293" s="59" t="n"/>
      <c r="F293" s="53" t="n"/>
    </row>
    <row r="294">
      <c r="B294" s="55" t="n"/>
      <c r="C294" s="53" t="n"/>
      <c r="D294" s="53" t="n"/>
      <c r="E294" s="59" t="n"/>
      <c r="F294" s="53" t="n"/>
    </row>
    <row r="295">
      <c r="B295" s="55" t="n"/>
      <c r="C295" s="53" t="n"/>
      <c r="D295" s="53" t="n"/>
      <c r="E295" s="59" t="n"/>
      <c r="F295" s="53" t="n"/>
    </row>
    <row r="296">
      <c r="B296" s="55" t="n"/>
      <c r="C296" s="53" t="n"/>
      <c r="D296" s="53" t="n"/>
      <c r="E296" s="59" t="n"/>
      <c r="F296" s="53" t="n"/>
    </row>
    <row r="297">
      <c r="B297" s="55" t="n"/>
      <c r="C297" s="53" t="n"/>
      <c r="D297" s="53" t="n"/>
      <c r="E297" s="59" t="n"/>
      <c r="F297" s="53" t="n"/>
    </row>
    <row r="298">
      <c r="B298" s="55" t="n"/>
      <c r="C298" s="53" t="n"/>
      <c r="D298" s="53" t="n"/>
      <c r="E298" s="59" t="n"/>
      <c r="F298" s="53" t="n"/>
    </row>
    <row r="299">
      <c r="B299" s="55" t="n"/>
      <c r="C299" s="53" t="n"/>
      <c r="D299" s="53" t="n"/>
      <c r="E299" s="59" t="n"/>
      <c r="F299" s="53" t="n"/>
    </row>
    <row r="300">
      <c r="B300" s="55" t="n"/>
      <c r="C300" s="53" t="n"/>
      <c r="D300" s="53" t="n"/>
      <c r="E300" s="59" t="n"/>
      <c r="F300" s="53" t="n"/>
    </row>
    <row r="301">
      <c r="B301" s="55" t="n"/>
      <c r="C301" s="53" t="n"/>
      <c r="D301" s="53" t="n"/>
      <c r="E301" s="59" t="n"/>
      <c r="F301" s="53" t="n"/>
    </row>
    <row r="302">
      <c r="B302" s="55" t="n"/>
      <c r="C302" s="53" t="n"/>
      <c r="D302" s="53" t="n"/>
      <c r="E302" s="59" t="n"/>
      <c r="F302" s="53" t="n"/>
    </row>
    <row r="303">
      <c r="B303" s="55" t="n"/>
      <c r="C303" s="53" t="n"/>
      <c r="D303" s="53" t="n"/>
      <c r="E303" s="59" t="n"/>
      <c r="F303" s="53" t="n"/>
    </row>
    <row r="304">
      <c r="B304" s="55" t="n"/>
      <c r="C304" s="53" t="n"/>
      <c r="D304" s="53" t="n"/>
      <c r="E304" s="59" t="n"/>
      <c r="F304" s="53" t="n"/>
    </row>
    <row r="305">
      <c r="B305" s="55" t="n"/>
      <c r="C305" s="53" t="n"/>
      <c r="D305" s="53" t="n"/>
      <c r="E305" s="59" t="n"/>
      <c r="F305" s="53" t="n"/>
    </row>
    <row r="306">
      <c r="B306" s="55" t="n"/>
      <c r="C306" s="53" t="n"/>
      <c r="D306" s="53" t="n"/>
      <c r="E306" s="59" t="n"/>
      <c r="F306" s="53" t="n"/>
    </row>
    <row r="307">
      <c r="B307" s="55" t="n"/>
      <c r="C307" s="53" t="n"/>
      <c r="D307" s="53" t="n"/>
      <c r="E307" s="59" t="n"/>
      <c r="F307" s="53" t="n"/>
    </row>
    <row r="308">
      <c r="B308" s="55" t="n"/>
      <c r="C308" s="53" t="n"/>
      <c r="D308" s="53" t="n"/>
      <c r="E308" s="59" t="n"/>
      <c r="F308" s="53" t="n"/>
    </row>
    <row r="309">
      <c r="B309" s="55" t="n"/>
      <c r="C309" s="53" t="n"/>
      <c r="D309" s="53" t="n"/>
      <c r="E309" s="59" t="n"/>
      <c r="F309" s="53" t="n"/>
    </row>
    <row r="310">
      <c r="B310" s="55" t="n"/>
      <c r="C310" s="53" t="n"/>
      <c r="D310" s="53" t="n"/>
      <c r="E310" s="59" t="n"/>
      <c r="F310" s="53" t="n"/>
    </row>
    <row r="311">
      <c r="B311" s="55" t="n"/>
      <c r="C311" s="53" t="n"/>
      <c r="D311" s="53" t="n"/>
      <c r="E311" s="59" t="n"/>
      <c r="F311" s="53" t="n"/>
    </row>
    <row r="312">
      <c r="B312" s="55" t="n"/>
      <c r="C312" s="53" t="n"/>
      <c r="D312" s="53" t="n"/>
      <c r="E312" s="59" t="n"/>
      <c r="F312" s="53" t="n"/>
    </row>
    <row r="313">
      <c r="B313" s="55" t="n"/>
      <c r="C313" s="53" t="n"/>
      <c r="D313" s="53" t="n"/>
      <c r="E313" s="59" t="n"/>
      <c r="F313" s="53" t="n"/>
    </row>
    <row r="314">
      <c r="B314" s="55" t="n"/>
      <c r="C314" s="53" t="n"/>
      <c r="D314" s="53" t="n"/>
      <c r="E314" s="59" t="n"/>
      <c r="F314" s="53" t="n"/>
    </row>
    <row r="315">
      <c r="B315" s="55" t="n"/>
      <c r="C315" s="53" t="n"/>
      <c r="D315" s="53" t="n"/>
      <c r="E315" s="59" t="n"/>
      <c r="F315" s="53" t="n"/>
    </row>
    <row r="316">
      <c r="B316" s="55" t="n"/>
      <c r="C316" s="53" t="n"/>
      <c r="D316" s="53" t="n"/>
      <c r="E316" s="59" t="n"/>
      <c r="F316" s="53" t="n"/>
    </row>
    <row r="317">
      <c r="B317" s="55" t="n"/>
      <c r="C317" s="53" t="n"/>
      <c r="D317" s="53" t="n"/>
      <c r="E317" s="59" t="n"/>
      <c r="F317" s="53" t="n"/>
    </row>
    <row r="318">
      <c r="B318" s="55" t="n"/>
      <c r="C318" s="53" t="n"/>
      <c r="D318" s="53" t="n"/>
      <c r="E318" s="59" t="n"/>
      <c r="F318" s="53" t="n"/>
    </row>
    <row r="319">
      <c r="B319" s="55" t="n"/>
      <c r="C319" s="53" t="n"/>
      <c r="D319" s="53" t="n"/>
      <c r="E319" s="59" t="n"/>
      <c r="F319" s="53" t="n"/>
    </row>
    <row r="320">
      <c r="B320" s="55" t="n"/>
      <c r="C320" s="53" t="n"/>
      <c r="D320" s="53" t="n"/>
      <c r="E320" s="59" t="n"/>
      <c r="F320" s="53" t="n"/>
    </row>
    <row r="321">
      <c r="B321" s="55" t="n"/>
      <c r="C321" s="53" t="n"/>
      <c r="D321" s="53" t="n"/>
      <c r="E321" s="59" t="n"/>
      <c r="F321" s="53" t="n"/>
    </row>
    <row r="322">
      <c r="B322" s="55" t="n"/>
      <c r="C322" s="53" t="n"/>
      <c r="D322" s="53" t="n"/>
      <c r="E322" s="59" t="n"/>
      <c r="F322" s="53" t="n"/>
    </row>
    <row r="323">
      <c r="B323" s="55" t="n"/>
      <c r="C323" s="53" t="n"/>
      <c r="D323" s="53" t="n"/>
      <c r="E323" s="59" t="n"/>
      <c r="F323" s="53" t="n"/>
    </row>
    <row r="324">
      <c r="B324" s="55" t="n"/>
      <c r="C324" s="53" t="n"/>
      <c r="D324" s="53" t="n"/>
      <c r="E324" s="59" t="n"/>
      <c r="F324" s="53" t="n"/>
    </row>
    <row r="325">
      <c r="B325" s="55" t="n"/>
      <c r="C325" s="53" t="n"/>
      <c r="D325" s="53" t="n"/>
      <c r="E325" s="59" t="n"/>
      <c r="F325" s="53" t="n"/>
    </row>
    <row r="326">
      <c r="B326" s="55" t="n"/>
      <c r="C326" s="53" t="n"/>
      <c r="D326" s="53" t="n"/>
      <c r="E326" s="59" t="n"/>
      <c r="F326" s="53" t="n"/>
    </row>
    <row r="327">
      <c r="B327" s="55" t="n"/>
      <c r="C327" s="53" t="n"/>
      <c r="D327" s="53" t="n"/>
      <c r="E327" s="59" t="n"/>
      <c r="F327" s="53" t="n"/>
    </row>
    <row r="328">
      <c r="B328" s="55" t="n"/>
      <c r="C328" s="53" t="n"/>
      <c r="D328" s="53" t="n"/>
      <c r="E328" s="59" t="n"/>
      <c r="F328" s="53" t="n"/>
    </row>
    <row r="329">
      <c r="B329" s="55" t="n"/>
      <c r="C329" s="53" t="n"/>
      <c r="D329" s="53" t="n"/>
      <c r="E329" s="59" t="n"/>
      <c r="F329" s="53" t="n"/>
    </row>
    <row r="330">
      <c r="B330" s="55" t="n"/>
      <c r="C330" s="53" t="n"/>
      <c r="D330" s="53" t="n"/>
      <c r="E330" s="59" t="n"/>
      <c r="F330" s="53" t="n"/>
    </row>
    <row r="331">
      <c r="B331" s="55" t="n"/>
      <c r="C331" s="53" t="n"/>
      <c r="D331" s="53" t="n"/>
      <c r="E331" s="59" t="n"/>
      <c r="F331" s="53" t="n"/>
    </row>
    <row r="332">
      <c r="B332" s="55" t="n"/>
      <c r="C332" s="53" t="n"/>
      <c r="D332" s="53" t="n"/>
      <c r="E332" s="59" t="n"/>
      <c r="F332" s="53" t="n"/>
    </row>
    <row r="333">
      <c r="B333" s="55" t="n"/>
      <c r="C333" s="53" t="n"/>
      <c r="D333" s="53" t="n"/>
      <c r="E333" s="59" t="n"/>
      <c r="F333" s="53" t="n"/>
    </row>
    <row r="334">
      <c r="B334" s="55" t="n"/>
      <c r="C334" s="53" t="n"/>
      <c r="D334" s="53" t="n"/>
      <c r="E334" s="59" t="n"/>
      <c r="F334" s="53" t="n"/>
    </row>
    <row r="335">
      <c r="B335" s="55" t="n"/>
      <c r="C335" s="53" t="n"/>
      <c r="D335" s="53" t="n"/>
      <c r="E335" s="59" t="n"/>
      <c r="F335" s="53" t="n"/>
    </row>
    <row r="336">
      <c r="B336" s="55" t="n"/>
      <c r="C336" s="53" t="n"/>
      <c r="D336" s="53" t="n"/>
      <c r="E336" s="59" t="n"/>
      <c r="F336" s="53" t="n"/>
    </row>
    <row r="337">
      <c r="B337" s="55" t="n"/>
      <c r="C337" s="53" t="n"/>
      <c r="D337" s="53" t="n"/>
      <c r="E337" s="59" t="n"/>
      <c r="F337" s="53" t="n"/>
    </row>
    <row r="338">
      <c r="B338" s="55" t="n"/>
      <c r="C338" s="53" t="n"/>
      <c r="D338" s="53" t="n"/>
      <c r="E338" s="59" t="n"/>
      <c r="F338" s="53" t="n"/>
    </row>
    <row r="339">
      <c r="B339" s="55" t="n"/>
      <c r="C339" s="53" t="n"/>
      <c r="D339" s="53" t="n"/>
      <c r="E339" s="59" t="n"/>
      <c r="F339" s="53" t="n"/>
    </row>
    <row r="340">
      <c r="B340" s="55" t="n"/>
      <c r="C340" s="53" t="n"/>
      <c r="D340" s="53" t="n"/>
      <c r="E340" s="59" t="n"/>
      <c r="F340" s="53" t="n"/>
    </row>
    <row r="341">
      <c r="B341" s="55" t="n"/>
      <c r="C341" s="53" t="n"/>
      <c r="D341" s="53" t="n"/>
      <c r="E341" s="59" t="n"/>
      <c r="F341" s="53" t="n"/>
    </row>
    <row r="342">
      <c r="B342" s="55" t="n"/>
      <c r="C342" s="53" t="n"/>
      <c r="D342" s="53" t="n"/>
      <c r="E342" s="59" t="n"/>
      <c r="F342" s="53" t="n"/>
    </row>
    <row r="343">
      <c r="B343" s="55" t="n"/>
      <c r="C343" s="53" t="n"/>
      <c r="D343" s="53" t="n"/>
      <c r="E343" s="59" t="n"/>
      <c r="F343" s="53" t="n"/>
    </row>
    <row r="344">
      <c r="B344" s="55" t="n"/>
      <c r="C344" s="53" t="n"/>
      <c r="D344" s="53" t="n"/>
      <c r="E344" s="59" t="n"/>
      <c r="F344" s="53" t="n"/>
    </row>
    <row r="345">
      <c r="B345" s="55" t="n"/>
      <c r="C345" s="53" t="n"/>
      <c r="D345" s="53" t="n"/>
      <c r="E345" s="59" t="n"/>
      <c r="F345" s="53" t="n"/>
    </row>
    <row r="346">
      <c r="B346" s="55" t="n"/>
      <c r="C346" s="53" t="n"/>
      <c r="D346" s="53" t="n"/>
      <c r="E346" s="59" t="n"/>
      <c r="F346" s="53" t="n"/>
    </row>
    <row r="347">
      <c r="B347" s="55" t="n"/>
      <c r="C347" s="53" t="n"/>
      <c r="D347" s="53" t="n"/>
      <c r="E347" s="59" t="n"/>
      <c r="F347" s="53" t="n"/>
    </row>
    <row r="348">
      <c r="B348" s="55" t="n"/>
      <c r="C348" s="53" t="n"/>
      <c r="D348" s="53" t="n"/>
      <c r="E348" s="59" t="n"/>
      <c r="F348" s="53" t="n"/>
    </row>
    <row r="349">
      <c r="B349" s="55" t="n"/>
      <c r="C349" s="53" t="n"/>
      <c r="D349" s="53" t="n"/>
      <c r="E349" s="59" t="n"/>
      <c r="F349" s="53" t="n"/>
    </row>
    <row r="350">
      <c r="B350" s="55" t="n"/>
      <c r="C350" s="53" t="n"/>
      <c r="D350" s="53" t="n"/>
      <c r="E350" s="59" t="n"/>
      <c r="F350" s="53" t="n"/>
    </row>
    <row r="351">
      <c r="B351" s="55" t="n"/>
      <c r="C351" s="53" t="n"/>
      <c r="D351" s="53" t="n"/>
      <c r="E351" s="59" t="n"/>
      <c r="F351" s="53" t="n"/>
    </row>
    <row r="352">
      <c r="B352" s="55" t="n"/>
      <c r="C352" s="53" t="n"/>
      <c r="D352" s="53" t="n"/>
      <c r="E352" s="59" t="n"/>
      <c r="F352" s="53" t="n"/>
    </row>
    <row r="353">
      <c r="B353" s="55" t="n"/>
      <c r="C353" s="53" t="n"/>
      <c r="D353" s="53" t="n"/>
      <c r="E353" s="59" t="n"/>
      <c r="F353" s="53" t="n"/>
    </row>
    <row r="354">
      <c r="B354" s="55" t="n"/>
      <c r="C354" s="53" t="n"/>
      <c r="D354" s="53" t="n"/>
      <c r="E354" s="59" t="n"/>
      <c r="F354" s="53" t="n"/>
    </row>
    <row r="355">
      <c r="B355" s="55" t="n"/>
      <c r="C355" s="53" t="n"/>
      <c r="D355" s="53" t="n"/>
      <c r="E355" s="59" t="n"/>
      <c r="F355" s="53" t="n"/>
    </row>
    <row r="356">
      <c r="B356" s="55" t="n"/>
      <c r="C356" s="53" t="n"/>
      <c r="D356" s="53" t="n"/>
      <c r="E356" s="59" t="n"/>
      <c r="F356" s="53" t="n"/>
    </row>
    <row r="357">
      <c r="B357" s="55" t="n"/>
      <c r="C357" s="53" t="n"/>
      <c r="D357" s="53" t="n"/>
      <c r="E357" s="59" t="n"/>
      <c r="F357" s="53" t="n"/>
    </row>
    <row r="358">
      <c r="B358" s="55" t="n"/>
      <c r="C358" s="53" t="n"/>
      <c r="D358" s="53" t="n"/>
      <c r="E358" s="59" t="n"/>
      <c r="F358" s="53" t="n"/>
    </row>
    <row r="359">
      <c r="B359" s="55" t="n"/>
      <c r="C359" s="53" t="n"/>
      <c r="D359" s="53" t="n"/>
      <c r="E359" s="59" t="n"/>
      <c r="F359" s="53" t="n"/>
    </row>
    <row r="360">
      <c r="B360" s="55" t="n"/>
      <c r="C360" s="53" t="n"/>
      <c r="D360" s="53" t="n"/>
      <c r="E360" s="59" t="n"/>
      <c r="F360" s="53" t="n"/>
    </row>
    <row r="361">
      <c r="B361" s="55" t="n"/>
      <c r="C361" s="53" t="n"/>
      <c r="D361" s="53" t="n"/>
      <c r="E361" s="59" t="n"/>
      <c r="F361" s="53" t="n"/>
    </row>
    <row r="362">
      <c r="B362" s="55" t="n"/>
      <c r="C362" s="53" t="n"/>
      <c r="D362" s="53" t="n"/>
      <c r="E362" s="59" t="n"/>
      <c r="F362" s="53" t="n"/>
    </row>
    <row r="363">
      <c r="B363" s="55" t="n"/>
      <c r="C363" s="53" t="n"/>
      <c r="D363" s="53" t="n"/>
      <c r="E363" s="59" t="n"/>
      <c r="F363" s="53" t="n"/>
    </row>
    <row r="364">
      <c r="B364" s="55" t="n"/>
      <c r="C364" s="53" t="n"/>
      <c r="D364" s="53" t="n"/>
      <c r="E364" s="59" t="n"/>
      <c r="F364" s="53" t="n"/>
    </row>
    <row r="365">
      <c r="B365" s="55" t="n"/>
      <c r="C365" s="53" t="n"/>
      <c r="D365" s="53" t="n"/>
      <c r="E365" s="59" t="n"/>
      <c r="F365" s="53" t="n"/>
    </row>
    <row r="366">
      <c r="B366" s="55" t="n"/>
      <c r="C366" s="53" t="n"/>
      <c r="D366" s="53" t="n"/>
      <c r="E366" s="59" t="n"/>
      <c r="F366" s="53" t="n"/>
    </row>
    <row r="367">
      <c r="B367" s="55" t="n"/>
      <c r="C367" s="53" t="n"/>
      <c r="D367" s="53" t="n"/>
      <c r="E367" s="59" t="n"/>
      <c r="F367" s="53" t="n"/>
    </row>
    <row r="368">
      <c r="B368" s="55" t="n"/>
      <c r="C368" s="53" t="n"/>
      <c r="D368" s="53" t="n"/>
      <c r="E368" s="59" t="n"/>
      <c r="F368" s="53" t="n"/>
    </row>
    <row r="369">
      <c r="B369" s="55" t="n"/>
      <c r="C369" s="53" t="n"/>
      <c r="D369" s="53" t="n"/>
      <c r="E369" s="59" t="n"/>
      <c r="F369" s="53" t="n"/>
    </row>
    <row r="370">
      <c r="B370" s="55" t="n"/>
      <c r="C370" s="53" t="n"/>
      <c r="D370" s="53" t="n"/>
      <c r="E370" s="59" t="n"/>
      <c r="F370" s="53" t="n"/>
    </row>
    <row r="371">
      <c r="B371" s="55" t="n"/>
      <c r="C371" s="53" t="n"/>
      <c r="D371" s="53" t="n"/>
      <c r="E371" s="59" t="n"/>
      <c r="F371" s="53" t="n"/>
    </row>
    <row r="372">
      <c r="B372" s="55" t="n"/>
      <c r="C372" s="53" t="n"/>
      <c r="D372" s="53" t="n"/>
      <c r="E372" s="59" t="n"/>
      <c r="F372" s="53" t="n"/>
    </row>
    <row r="373">
      <c r="B373" s="55" t="n"/>
      <c r="C373" s="53" t="n"/>
      <c r="D373" s="53" t="n"/>
      <c r="E373" s="59" t="n"/>
      <c r="F373" s="53" t="n"/>
    </row>
    <row r="374">
      <c r="B374" s="55" t="n"/>
      <c r="C374" s="53" t="n"/>
      <c r="D374" s="53" t="n"/>
      <c r="E374" s="59" t="n"/>
      <c r="F374" s="53" t="n"/>
    </row>
    <row r="375">
      <c r="B375" s="55" t="n"/>
      <c r="C375" s="53" t="n"/>
      <c r="D375" s="53" t="n"/>
      <c r="E375" s="59" t="n"/>
      <c r="F375" s="53" t="n"/>
    </row>
    <row r="376">
      <c r="B376" s="55" t="n"/>
      <c r="C376" s="53" t="n"/>
      <c r="D376" s="53" t="n"/>
      <c r="E376" s="59" t="n"/>
      <c r="F376" s="53" t="n"/>
    </row>
    <row r="377">
      <c r="B377" s="55" t="n"/>
      <c r="C377" s="53" t="n"/>
      <c r="D377" s="53" t="n"/>
      <c r="E377" s="59" t="n"/>
      <c r="F377" s="53" t="n"/>
    </row>
    <row r="378">
      <c r="B378" s="55" t="n"/>
      <c r="C378" s="53" t="n"/>
      <c r="D378" s="53" t="n"/>
      <c r="E378" s="59" t="n"/>
      <c r="F378" s="53" t="n"/>
    </row>
    <row r="379">
      <c r="B379" s="55" t="n"/>
      <c r="C379" s="53" t="n"/>
      <c r="D379" s="53" t="n"/>
      <c r="E379" s="59" t="n"/>
      <c r="F379" s="53" t="n"/>
    </row>
    <row r="380">
      <c r="B380" s="55" t="n"/>
      <c r="C380" s="53" t="n"/>
      <c r="D380" s="53" t="n"/>
      <c r="E380" s="59" t="n"/>
      <c r="F380" s="53" t="n"/>
    </row>
    <row r="381">
      <c r="B381" s="55" t="n"/>
      <c r="C381" s="53" t="n"/>
      <c r="D381" s="53" t="n"/>
      <c r="E381" s="59" t="n"/>
      <c r="F381" s="53" t="n"/>
    </row>
    <row r="382">
      <c r="B382" s="55" t="n"/>
      <c r="C382" s="53" t="n"/>
      <c r="D382" s="53" t="n"/>
      <c r="E382" s="59" t="n"/>
      <c r="F382" s="53" t="n"/>
    </row>
    <row r="383">
      <c r="B383" s="55" t="n"/>
      <c r="C383" s="53" t="n"/>
      <c r="D383" s="53" t="n"/>
      <c r="E383" s="59" t="n"/>
      <c r="F383" s="53" t="n"/>
    </row>
    <row r="384">
      <c r="B384" s="55" t="n"/>
      <c r="C384" s="53" t="n"/>
      <c r="D384" s="53" t="n"/>
      <c r="E384" s="59" t="n"/>
      <c r="F384" s="53" t="n"/>
    </row>
    <row r="385">
      <c r="B385" s="55" t="n"/>
      <c r="C385" s="53" t="n"/>
      <c r="D385" s="53" t="n"/>
      <c r="E385" s="59" t="n"/>
      <c r="F385" s="53" t="n"/>
    </row>
    <row r="386">
      <c r="B386" s="55" t="n"/>
      <c r="C386" s="53" t="n"/>
      <c r="D386" s="53" t="n"/>
      <c r="E386" s="59" t="n"/>
      <c r="F386" s="53" t="n"/>
    </row>
    <row r="387">
      <c r="B387" s="55" t="n"/>
      <c r="C387" s="53" t="n"/>
      <c r="D387" s="53" t="n"/>
      <c r="E387" s="59" t="n"/>
      <c r="F387" s="53" t="n"/>
    </row>
    <row r="388">
      <c r="B388" s="55" t="n"/>
      <c r="C388" s="53" t="n"/>
      <c r="D388" s="53" t="n"/>
      <c r="E388" s="59" t="n"/>
      <c r="F388" s="53" t="n"/>
    </row>
    <row r="389">
      <c r="B389" s="55" t="n"/>
      <c r="C389" s="53" t="n"/>
      <c r="D389" s="53" t="n"/>
      <c r="E389" s="59" t="n"/>
      <c r="F389" s="53" t="n"/>
    </row>
    <row r="390">
      <c r="B390" s="55" t="n"/>
      <c r="C390" s="53" t="n"/>
      <c r="D390" s="53" t="n"/>
      <c r="E390" s="59" t="n"/>
      <c r="F390" s="53" t="n"/>
    </row>
    <row r="391">
      <c r="B391" s="55" t="n"/>
      <c r="C391" s="53" t="n"/>
      <c r="D391" s="53" t="n"/>
      <c r="E391" s="59" t="n"/>
      <c r="F391" s="53" t="n"/>
    </row>
    <row r="392">
      <c r="B392" s="55" t="n"/>
      <c r="C392" s="53" t="n"/>
      <c r="D392" s="53" t="n"/>
      <c r="E392" s="59" t="n"/>
      <c r="F392" s="53" t="n"/>
    </row>
    <row r="393">
      <c r="B393" s="55" t="n"/>
      <c r="C393" s="53" t="n"/>
      <c r="D393" s="53" t="n"/>
      <c r="E393" s="59" t="n"/>
      <c r="F393" s="53" t="n"/>
    </row>
    <row r="394">
      <c r="B394" s="55" t="n"/>
      <c r="C394" s="53" t="n"/>
      <c r="D394" s="53" t="n"/>
      <c r="E394" s="59" t="n"/>
      <c r="F394" s="53" t="n"/>
    </row>
    <row r="395">
      <c r="B395" s="55" t="n"/>
      <c r="C395" s="53" t="n"/>
      <c r="D395" s="53" t="n"/>
      <c r="E395" s="59" t="n"/>
      <c r="F395" s="53" t="n"/>
    </row>
    <row r="396">
      <c r="B396" s="55" t="n"/>
      <c r="C396" s="53" t="n"/>
      <c r="D396" s="53" t="n"/>
      <c r="E396" s="59" t="n"/>
      <c r="F396" s="53" t="n"/>
    </row>
    <row r="397">
      <c r="B397" s="55" t="n"/>
      <c r="C397" s="53" t="n"/>
      <c r="D397" s="53" t="n"/>
      <c r="E397" s="59" t="n"/>
      <c r="F397" s="53" t="n"/>
    </row>
    <row r="398">
      <c r="B398" s="55" t="n"/>
      <c r="C398" s="53" t="n"/>
      <c r="D398" s="53" t="n"/>
      <c r="E398" s="59" t="n"/>
      <c r="F398" s="53" t="n"/>
    </row>
    <row r="399">
      <c r="B399" s="55" t="n"/>
      <c r="C399" s="53" t="n"/>
      <c r="D399" s="53" t="n"/>
      <c r="E399" s="59" t="n"/>
      <c r="F399" s="53" t="n"/>
    </row>
    <row r="400">
      <c r="B400" s="55" t="n"/>
      <c r="C400" s="53" t="n"/>
      <c r="D400" s="53" t="n"/>
      <c r="E400" s="59" t="n"/>
      <c r="F400" s="53" t="n"/>
    </row>
    <row r="401">
      <c r="B401" s="55" t="n"/>
      <c r="C401" s="53" t="n"/>
      <c r="D401" s="53" t="n"/>
      <c r="E401" s="59" t="n"/>
      <c r="F401" s="53" t="n"/>
    </row>
    <row r="402">
      <c r="B402" s="55" t="n"/>
      <c r="C402" s="53" t="n"/>
      <c r="D402" s="53" t="n"/>
      <c r="E402" s="59" t="n"/>
      <c r="F402" s="53" t="n"/>
    </row>
    <row r="403">
      <c r="B403" s="55" t="n"/>
      <c r="C403" s="53" t="n"/>
      <c r="D403" s="53" t="n"/>
      <c r="E403" s="59" t="n"/>
      <c r="F403" s="53" t="n"/>
    </row>
    <row r="404">
      <c r="B404" s="55" t="n"/>
      <c r="C404" s="53" t="n"/>
      <c r="D404" s="53" t="n"/>
      <c r="E404" s="59" t="n"/>
      <c r="F404" s="53" t="n"/>
    </row>
    <row r="405">
      <c r="B405" s="55" t="n"/>
      <c r="C405" s="53" t="n"/>
      <c r="D405" s="53" t="n"/>
      <c r="E405" s="59" t="n"/>
      <c r="F405" s="53" t="n"/>
    </row>
    <row r="406">
      <c r="B406" s="55" t="n"/>
      <c r="C406" s="53" t="n"/>
      <c r="D406" s="53" t="n"/>
      <c r="E406" s="59" t="n"/>
      <c r="F406" s="53" t="n"/>
    </row>
    <row r="407">
      <c r="B407" s="55" t="n"/>
      <c r="C407" s="53" t="n"/>
      <c r="D407" s="53" t="n"/>
      <c r="E407" s="59" t="n"/>
      <c r="F407" s="53" t="n"/>
    </row>
    <row r="408">
      <c r="B408" s="55" t="n"/>
      <c r="C408" s="53" t="n"/>
      <c r="D408" s="53" t="n"/>
      <c r="E408" s="59" t="n"/>
      <c r="F408" s="53" t="n"/>
    </row>
    <row r="409">
      <c r="B409" s="55" t="n"/>
      <c r="C409" s="53" t="n"/>
      <c r="D409" s="53" t="n"/>
      <c r="E409" s="59" t="n"/>
      <c r="F409" s="53" t="n"/>
    </row>
    <row r="410">
      <c r="B410" s="55" t="n"/>
      <c r="C410" s="53" t="n"/>
      <c r="D410" s="53" t="n"/>
      <c r="E410" s="59" t="n"/>
      <c r="F410" s="53" t="n"/>
    </row>
    <row r="411">
      <c r="B411" s="55" t="n"/>
      <c r="C411" s="53" t="n"/>
      <c r="D411" s="53" t="n"/>
      <c r="E411" s="59" t="n"/>
      <c r="F411" s="53" t="n"/>
    </row>
    <row r="412">
      <c r="B412" s="55" t="n"/>
      <c r="C412" s="53" t="n"/>
      <c r="D412" s="53" t="n"/>
      <c r="E412" s="59" t="n"/>
      <c r="F412" s="53" t="n"/>
    </row>
    <row r="413">
      <c r="B413" s="55" t="n"/>
      <c r="C413" s="53" t="n"/>
      <c r="D413" s="53" t="n"/>
      <c r="E413" s="59" t="n"/>
      <c r="F413" s="53" t="n"/>
    </row>
    <row r="414">
      <c r="B414" s="55" t="n"/>
      <c r="C414" s="53" t="n"/>
      <c r="D414" s="53" t="n"/>
      <c r="E414" s="59" t="n"/>
      <c r="F414" s="53" t="n"/>
    </row>
    <row r="415">
      <c r="B415" s="55" t="n"/>
      <c r="C415" s="53" t="n"/>
      <c r="D415" s="53" t="n"/>
      <c r="E415" s="59" t="n"/>
      <c r="F415" s="53" t="n"/>
    </row>
    <row r="416">
      <c r="B416" s="55" t="n"/>
      <c r="C416" s="53" t="n"/>
      <c r="D416" s="53" t="n"/>
      <c r="E416" s="59" t="n"/>
      <c r="F416" s="53" t="n"/>
    </row>
    <row r="417">
      <c r="B417" s="55" t="n"/>
      <c r="C417" s="53" t="n"/>
      <c r="D417" s="53" t="n"/>
      <c r="E417" s="59" t="n"/>
      <c r="F417" s="53" t="n"/>
    </row>
    <row r="418">
      <c r="B418" s="55" t="n"/>
      <c r="C418" s="53" t="n"/>
      <c r="D418" s="53" t="n"/>
      <c r="E418" s="59" t="n"/>
      <c r="F418" s="53" t="n"/>
    </row>
    <row r="419">
      <c r="B419" s="55" t="n"/>
      <c r="C419" s="53" t="n"/>
      <c r="D419" s="53" t="n"/>
      <c r="E419" s="59" t="n"/>
      <c r="F419" s="53" t="n"/>
    </row>
    <row r="420">
      <c r="B420" s="55" t="n"/>
      <c r="C420" s="53" t="n"/>
      <c r="D420" s="53" t="n"/>
      <c r="E420" s="59" t="n"/>
      <c r="F420" s="53" t="n"/>
    </row>
    <row r="421">
      <c r="B421" s="55" t="n"/>
      <c r="C421" s="53" t="n"/>
      <c r="D421" s="53" t="n"/>
      <c r="E421" s="59" t="n"/>
      <c r="F421" s="53" t="n"/>
    </row>
    <row r="422">
      <c r="B422" s="55" t="n"/>
      <c r="C422" s="53" t="n"/>
      <c r="D422" s="53" t="n"/>
      <c r="E422" s="59" t="n"/>
      <c r="F422" s="53" t="n"/>
    </row>
    <row r="423">
      <c r="B423" s="55" t="n"/>
      <c r="C423" s="53" t="n"/>
      <c r="D423" s="53" t="n"/>
      <c r="E423" s="59" t="n"/>
      <c r="F423" s="53" t="n"/>
    </row>
    <row r="424">
      <c r="B424" s="55" t="n"/>
      <c r="C424" s="53" t="n"/>
      <c r="D424" s="53" t="n"/>
      <c r="E424" s="59" t="n"/>
      <c r="F424" s="53" t="n"/>
    </row>
    <row r="425">
      <c r="B425" s="55" t="n"/>
      <c r="C425" s="53" t="n"/>
      <c r="D425" s="53" t="n"/>
      <c r="E425" s="59" t="n"/>
      <c r="F425" s="53" t="n"/>
    </row>
    <row r="426">
      <c r="B426" s="55" t="n"/>
      <c r="C426" s="53" t="n"/>
      <c r="D426" s="53" t="n"/>
      <c r="E426" s="59" t="n"/>
      <c r="F426" s="53" t="n"/>
    </row>
    <row r="427">
      <c r="B427" s="55" t="n"/>
      <c r="C427" s="53" t="n"/>
      <c r="D427" s="53" t="n"/>
      <c r="E427" s="59" t="n"/>
      <c r="F427" s="53" t="n"/>
    </row>
    <row r="428">
      <c r="B428" s="55" t="n"/>
      <c r="C428" s="53" t="n"/>
      <c r="D428" s="53" t="n"/>
      <c r="E428" s="59" t="n"/>
      <c r="F428" s="53" t="n"/>
    </row>
    <row r="429">
      <c r="B429" s="55" t="n"/>
      <c r="C429" s="53" t="n"/>
      <c r="D429" s="53" t="n"/>
      <c r="E429" s="59" t="n"/>
      <c r="F429" s="53" t="n"/>
    </row>
    <row r="430">
      <c r="B430" s="55" t="n"/>
      <c r="C430" s="53" t="n"/>
      <c r="D430" s="53" t="n"/>
      <c r="E430" s="59" t="n"/>
      <c r="F430" s="53" t="n"/>
    </row>
    <row r="431">
      <c r="B431" s="55" t="n"/>
      <c r="C431" s="53" t="n"/>
      <c r="D431" s="53" t="n"/>
      <c r="E431" s="59" t="n"/>
      <c r="F431" s="53" t="n"/>
    </row>
    <row r="432">
      <c r="B432" s="55" t="n"/>
      <c r="C432" s="53" t="n"/>
      <c r="D432" s="53" t="n"/>
      <c r="E432" s="59" t="n"/>
      <c r="F432" s="53" t="n"/>
    </row>
    <row r="433">
      <c r="B433" s="55" t="n"/>
      <c r="C433" s="53" t="n"/>
      <c r="D433" s="53" t="n"/>
      <c r="E433" s="59" t="n"/>
      <c r="F433" s="53" t="n"/>
    </row>
    <row r="434">
      <c r="B434" s="55" t="n"/>
      <c r="C434" s="53" t="n"/>
      <c r="D434" s="53" t="n"/>
      <c r="E434" s="59" t="n"/>
      <c r="F434" s="53" t="n"/>
    </row>
    <row r="435">
      <c r="B435" s="55" t="n"/>
      <c r="C435" s="53" t="n"/>
      <c r="D435" s="53" t="n"/>
      <c r="E435" s="59" t="n"/>
      <c r="F435" s="53" t="n"/>
    </row>
    <row r="436">
      <c r="B436" s="55" t="n"/>
      <c r="C436" s="53" t="n"/>
      <c r="D436" s="53" t="n"/>
      <c r="E436" s="59" t="n"/>
      <c r="F436" s="53" t="n"/>
    </row>
    <row r="437">
      <c r="B437" s="55" t="n"/>
      <c r="C437" s="53" t="n"/>
      <c r="D437" s="53" t="n"/>
      <c r="E437" s="59" t="n"/>
      <c r="F437" s="53" t="n"/>
    </row>
    <row r="438">
      <c r="B438" s="55" t="n"/>
      <c r="C438" s="53" t="n"/>
      <c r="D438" s="53" t="n"/>
      <c r="E438" s="59" t="n"/>
      <c r="F438" s="53" t="n"/>
    </row>
    <row r="439">
      <c r="B439" s="55" t="n"/>
      <c r="C439" s="53" t="n"/>
      <c r="D439" s="53" t="n"/>
      <c r="E439" s="59" t="n"/>
      <c r="F439" s="53" t="n"/>
    </row>
    <row r="440">
      <c r="B440" s="55" t="n"/>
      <c r="C440" s="53" t="n"/>
      <c r="D440" s="53" t="n"/>
      <c r="E440" s="59" t="n"/>
      <c r="F440" s="53" t="n"/>
    </row>
    <row r="441">
      <c r="B441" s="55" t="n"/>
      <c r="C441" s="53" t="n"/>
      <c r="D441" s="53" t="n"/>
      <c r="E441" s="59" t="n"/>
      <c r="F441" s="53" t="n"/>
    </row>
    <row r="442">
      <c r="B442" s="55" t="n"/>
      <c r="C442" s="53" t="n"/>
      <c r="D442" s="53" t="n"/>
      <c r="E442" s="59" t="n"/>
      <c r="F442" s="53" t="n"/>
    </row>
    <row r="443">
      <c r="B443" s="55" t="n"/>
      <c r="C443" s="53" t="n"/>
      <c r="D443" s="53" t="n"/>
      <c r="E443" s="59" t="n"/>
      <c r="F443" s="53" t="n"/>
    </row>
    <row r="444">
      <c r="B444" s="55" t="n"/>
      <c r="C444" s="53" t="n"/>
      <c r="D444" s="53" t="n"/>
      <c r="E444" s="59" t="n"/>
      <c r="F444" s="53" t="n"/>
    </row>
    <row r="445">
      <c r="B445" s="55" t="n"/>
      <c r="C445" s="53" t="n"/>
      <c r="D445" s="53" t="n"/>
      <c r="E445" s="59" t="n"/>
      <c r="F445" s="53" t="n"/>
    </row>
    <row r="446">
      <c r="B446" s="55" t="n"/>
      <c r="C446" s="53" t="n"/>
      <c r="D446" s="53" t="n"/>
      <c r="E446" s="59" t="n"/>
      <c r="F446" s="53" t="n"/>
    </row>
    <row r="447">
      <c r="B447" s="55" t="n"/>
      <c r="C447" s="53" t="n"/>
      <c r="D447" s="53" t="n"/>
      <c r="E447" s="59" t="n"/>
      <c r="F447" s="53" t="n"/>
    </row>
    <row r="448">
      <c r="B448" s="55" t="n"/>
      <c r="C448" s="53" t="n"/>
      <c r="D448" s="53" t="n"/>
      <c r="E448" s="59" t="n"/>
      <c r="F448" s="53" t="n"/>
    </row>
    <row r="449">
      <c r="B449" s="55" t="n"/>
      <c r="C449" s="53" t="n"/>
      <c r="D449" s="53" t="n"/>
      <c r="E449" s="59" t="n"/>
      <c r="F449" s="53" t="n"/>
    </row>
    <row r="450">
      <c r="B450" s="55" t="n"/>
      <c r="C450" s="53" t="n"/>
      <c r="D450" s="53" t="n"/>
      <c r="E450" s="59" t="n"/>
      <c r="F450" s="53" t="n"/>
    </row>
    <row r="451">
      <c r="B451" s="55" t="n"/>
      <c r="C451" s="53" t="n"/>
      <c r="D451" s="53" t="n"/>
      <c r="E451" s="59" t="n"/>
      <c r="F451" s="53" t="n"/>
    </row>
    <row r="452">
      <c r="B452" s="55" t="n"/>
      <c r="C452" s="53" t="n"/>
      <c r="D452" s="53" t="n"/>
      <c r="E452" s="59" t="n"/>
      <c r="F452" s="53" t="n"/>
    </row>
    <row r="453">
      <c r="B453" s="55" t="n"/>
      <c r="C453" s="53" t="n"/>
      <c r="D453" s="53" t="n"/>
      <c r="E453" s="59" t="n"/>
      <c r="F453" s="53" t="n"/>
    </row>
    <row r="454">
      <c r="B454" s="55" t="n"/>
      <c r="C454" s="53" t="n"/>
      <c r="D454" s="53" t="n"/>
      <c r="E454" s="59" t="n"/>
      <c r="F454" s="53" t="n"/>
    </row>
    <row r="455">
      <c r="B455" s="55" t="n"/>
      <c r="C455" s="53" t="n"/>
      <c r="D455" s="53" t="n"/>
      <c r="E455" s="59" t="n"/>
      <c r="F455" s="53" t="n"/>
    </row>
    <row r="456">
      <c r="B456" s="55" t="n"/>
      <c r="C456" s="53" t="n"/>
      <c r="D456" s="53" t="n"/>
      <c r="E456" s="59" t="n"/>
      <c r="F456" s="53" t="n"/>
    </row>
    <row r="457">
      <c r="B457" s="55" t="n"/>
      <c r="C457" s="53" t="n"/>
      <c r="D457" s="53" t="n"/>
      <c r="E457" s="59" t="n"/>
      <c r="F457" s="53" t="n"/>
    </row>
    <row r="458">
      <c r="B458" s="55" t="n"/>
      <c r="C458" s="53" t="n"/>
      <c r="D458" s="53" t="n"/>
      <c r="E458" s="59" t="n"/>
      <c r="F458" s="53" t="n"/>
    </row>
    <row r="459">
      <c r="B459" s="55" t="n"/>
      <c r="C459" s="53" t="n"/>
      <c r="D459" s="53" t="n"/>
      <c r="E459" s="59" t="n"/>
      <c r="F459" s="53" t="n"/>
    </row>
    <row r="460">
      <c r="B460" s="55" t="n"/>
      <c r="C460" s="53" t="n"/>
      <c r="D460" s="53" t="n"/>
      <c r="E460" s="59" t="n"/>
      <c r="F460" s="53" t="n"/>
    </row>
    <row r="461">
      <c r="B461" s="55" t="n"/>
      <c r="C461" s="53" t="n"/>
      <c r="D461" s="53" t="n"/>
      <c r="E461" s="59" t="n"/>
      <c r="F461" s="53" t="n"/>
    </row>
    <row r="462">
      <c r="B462" s="55" t="n"/>
      <c r="C462" s="53" t="n"/>
      <c r="D462" s="53" t="n"/>
      <c r="E462" s="59" t="n"/>
      <c r="F462" s="53" t="n"/>
    </row>
    <row r="463">
      <c r="B463" s="55" t="n"/>
      <c r="C463" s="53" t="n"/>
      <c r="D463" s="53" t="n"/>
      <c r="E463" s="59" t="n"/>
      <c r="F463" s="53" t="n"/>
    </row>
    <row r="464">
      <c r="B464" s="55" t="n"/>
      <c r="C464" s="53" t="n"/>
      <c r="D464" s="53" t="n"/>
      <c r="E464" s="59" t="n"/>
      <c r="F464" s="53" t="n"/>
    </row>
    <row r="465">
      <c r="B465" s="55" t="n"/>
      <c r="C465" s="53" t="n"/>
      <c r="D465" s="53" t="n"/>
      <c r="E465" s="59" t="n"/>
      <c r="F465" s="53" t="n"/>
    </row>
    <row r="466">
      <c r="B466" s="55" t="n"/>
      <c r="C466" s="53" t="n"/>
      <c r="D466" s="53" t="n"/>
      <c r="E466" s="59" t="n"/>
      <c r="F466" s="53" t="n"/>
    </row>
    <row r="467">
      <c r="B467" s="55" t="n"/>
      <c r="C467" s="53" t="n"/>
      <c r="D467" s="53" t="n"/>
      <c r="E467" s="59" t="n"/>
      <c r="F467" s="53" t="n"/>
    </row>
    <row r="468">
      <c r="B468" s="55" t="n"/>
      <c r="C468" s="53" t="n"/>
      <c r="D468" s="53" t="n"/>
      <c r="E468" s="59" t="n"/>
      <c r="F468" s="53" t="n"/>
    </row>
    <row r="469">
      <c r="B469" s="55" t="n"/>
      <c r="C469" s="53" t="n"/>
      <c r="D469" s="53" t="n"/>
      <c r="E469" s="59" t="n"/>
      <c r="F469" s="53" t="n"/>
    </row>
    <row r="470">
      <c r="B470" s="55" t="n"/>
      <c r="C470" s="53" t="n"/>
      <c r="D470" s="53" t="n"/>
      <c r="E470" s="59" t="n"/>
      <c r="F470" s="53" t="n"/>
    </row>
    <row r="471">
      <c r="B471" s="55" t="n"/>
      <c r="C471" s="53" t="n"/>
      <c r="D471" s="53" t="n"/>
      <c r="E471" s="59" t="n"/>
      <c r="F471" s="53" t="n"/>
    </row>
    <row r="472">
      <c r="B472" s="55" t="n"/>
      <c r="C472" s="53" t="n"/>
      <c r="D472" s="53" t="n"/>
      <c r="E472" s="59" t="n"/>
      <c r="F472" s="53" t="n"/>
    </row>
    <row r="473">
      <c r="B473" s="55" t="n"/>
      <c r="C473" s="53" t="n"/>
      <c r="D473" s="53" t="n"/>
      <c r="E473" s="59" t="n"/>
      <c r="F473" s="53" t="n"/>
    </row>
    <row r="474">
      <c r="B474" s="55" t="n"/>
      <c r="C474" s="53" t="n"/>
      <c r="D474" s="53" t="n"/>
      <c r="E474" s="59" t="n"/>
      <c r="F474" s="53" t="n"/>
    </row>
    <row r="475">
      <c r="B475" s="55" t="n"/>
      <c r="C475" s="53" t="n"/>
      <c r="D475" s="53" t="n"/>
      <c r="E475" s="59" t="n"/>
      <c r="F475" s="53" t="n"/>
    </row>
    <row r="476">
      <c r="B476" s="55" t="n"/>
      <c r="C476" s="53" t="n"/>
      <c r="D476" s="53" t="n"/>
      <c r="E476" s="59" t="n"/>
      <c r="F476" s="53" t="n"/>
    </row>
    <row r="477">
      <c r="B477" s="55" t="n"/>
      <c r="C477" s="53" t="n"/>
      <c r="D477" s="53" t="n"/>
      <c r="E477" s="59" t="n"/>
      <c r="F477" s="53" t="n"/>
    </row>
    <row r="478">
      <c r="B478" s="55" t="n"/>
      <c r="C478" s="53" t="n"/>
      <c r="D478" s="53" t="n"/>
      <c r="E478" s="59" t="n"/>
      <c r="F478" s="53" t="n"/>
    </row>
    <row r="479">
      <c r="B479" s="55" t="n"/>
      <c r="C479" s="53" t="n"/>
      <c r="D479" s="53" t="n"/>
      <c r="E479" s="59" t="n"/>
      <c r="F479" s="53" t="n"/>
    </row>
    <row r="480">
      <c r="B480" s="55" t="n"/>
      <c r="C480" s="53" t="n"/>
      <c r="D480" s="53" t="n"/>
      <c r="E480" s="59" t="n"/>
      <c r="F480" s="53" t="n"/>
    </row>
    <row r="481">
      <c r="B481" s="55" t="n"/>
      <c r="C481" s="53" t="n"/>
      <c r="D481" s="53" t="n"/>
      <c r="E481" s="59" t="n"/>
      <c r="F481" s="53" t="n"/>
    </row>
    <row r="482">
      <c r="B482" s="55" t="n"/>
      <c r="C482" s="53" t="n"/>
      <c r="D482" s="53" t="n"/>
      <c r="E482" s="59" t="n"/>
      <c r="F482" s="53" t="n"/>
    </row>
    <row r="483">
      <c r="B483" s="55" t="n"/>
      <c r="C483" s="53" t="n"/>
      <c r="D483" s="53" t="n"/>
      <c r="E483" s="59" t="n"/>
      <c r="F483" s="53" t="n"/>
    </row>
    <row r="484">
      <c r="B484" s="55" t="n"/>
      <c r="C484" s="53" t="n"/>
      <c r="D484" s="53" t="n"/>
      <c r="E484" s="59" t="n"/>
      <c r="F484" s="53" t="n"/>
    </row>
    <row r="485">
      <c r="B485" s="55" t="n"/>
      <c r="C485" s="53" t="n"/>
      <c r="D485" s="53" t="n"/>
      <c r="E485" s="59" t="n"/>
      <c r="F485" s="53" t="n"/>
    </row>
    <row r="486">
      <c r="B486" s="55" t="n"/>
      <c r="C486" s="53" t="n"/>
      <c r="D486" s="53" t="n"/>
      <c r="E486" s="59" t="n"/>
      <c r="F486" s="53" t="n"/>
    </row>
    <row r="487">
      <c r="B487" s="55" t="n"/>
      <c r="C487" s="53" t="n"/>
      <c r="D487" s="53" t="n"/>
      <c r="E487" s="59" t="n"/>
      <c r="F487" s="53" t="n"/>
    </row>
    <row r="488">
      <c r="B488" s="55" t="n"/>
      <c r="C488" s="53" t="n"/>
      <c r="D488" s="53" t="n"/>
      <c r="E488" s="59" t="n"/>
      <c r="F488" s="53" t="n"/>
    </row>
    <row r="489">
      <c r="B489" s="55" t="n"/>
      <c r="C489" s="53" t="n"/>
      <c r="D489" s="53" t="n"/>
      <c r="E489" s="59" t="n"/>
      <c r="F489" s="53" t="n"/>
    </row>
    <row r="490">
      <c r="B490" s="55" t="n"/>
      <c r="C490" s="53" t="n"/>
      <c r="D490" s="53" t="n"/>
      <c r="E490" s="59" t="n"/>
      <c r="F490" s="53" t="n"/>
    </row>
    <row r="491">
      <c r="B491" s="55" t="n"/>
      <c r="C491" s="53" t="n"/>
      <c r="D491" s="53" t="n"/>
      <c r="E491" s="59" t="n"/>
      <c r="F491" s="53" t="n"/>
    </row>
    <row r="492">
      <c r="B492" s="55" t="n"/>
      <c r="C492" s="53" t="n"/>
      <c r="D492" s="53" t="n"/>
      <c r="E492" s="59" t="n"/>
      <c r="F492" s="53" t="n"/>
    </row>
    <row r="493">
      <c r="B493" s="55" t="n"/>
      <c r="C493" s="53" t="n"/>
      <c r="D493" s="53" t="n"/>
      <c r="E493" s="59" t="n"/>
      <c r="F493" s="53" t="n"/>
    </row>
    <row r="494">
      <c r="B494" s="55" t="n"/>
      <c r="C494" s="53" t="n"/>
      <c r="D494" s="53" t="n"/>
      <c r="E494" s="59" t="n"/>
      <c r="F494" s="53" t="n"/>
    </row>
    <row r="495">
      <c r="B495" s="55" t="n"/>
      <c r="C495" s="53" t="n"/>
      <c r="D495" s="53" t="n"/>
      <c r="E495" s="59" t="n"/>
      <c r="F495" s="53" t="n"/>
    </row>
    <row r="496">
      <c r="B496" s="55" t="n"/>
      <c r="C496" s="53" t="n"/>
      <c r="D496" s="53" t="n"/>
      <c r="E496" s="59" t="n"/>
      <c r="F496" s="53" t="n"/>
    </row>
    <row r="497">
      <c r="B497" s="55" t="n"/>
      <c r="C497" s="53" t="n"/>
      <c r="D497" s="53" t="n"/>
      <c r="E497" s="59" t="n"/>
      <c r="F497" s="53" t="n"/>
    </row>
    <row r="498">
      <c r="B498" s="55" t="n"/>
      <c r="C498" s="53" t="n"/>
      <c r="D498" s="53" t="n"/>
      <c r="E498" s="59" t="n"/>
      <c r="F498" s="53" t="n"/>
    </row>
    <row r="499">
      <c r="B499" s="55" t="n"/>
      <c r="C499" s="53" t="n"/>
      <c r="D499" s="53" t="n"/>
      <c r="E499" s="59" t="n"/>
      <c r="F499" s="53" t="n"/>
    </row>
    <row r="500">
      <c r="B500" s="55" t="n"/>
      <c r="C500" s="53" t="n"/>
      <c r="D500" s="53" t="n"/>
      <c r="E500" s="59" t="n"/>
      <c r="F500" s="53" t="n"/>
    </row>
    <row r="501">
      <c r="B501" s="55" t="n"/>
      <c r="C501" s="53" t="n"/>
      <c r="D501" s="53" t="n"/>
      <c r="E501" s="59" t="n"/>
      <c r="F501" s="53" t="n"/>
    </row>
    <row r="502">
      <c r="B502" s="55" t="n"/>
      <c r="C502" s="53" t="n"/>
      <c r="D502" s="53" t="n"/>
      <c r="E502" s="59" t="n"/>
      <c r="F502" s="53" t="n"/>
    </row>
    <row r="503">
      <c r="B503" s="55" t="n"/>
      <c r="C503" s="53" t="n"/>
      <c r="D503" s="53" t="n"/>
      <c r="E503" s="59" t="n"/>
      <c r="F503" s="53" t="n"/>
    </row>
    <row r="504">
      <c r="B504" s="55" t="n"/>
      <c r="C504" s="53" t="n"/>
      <c r="D504" s="53" t="n"/>
      <c r="E504" s="59" t="n"/>
      <c r="F504" s="53" t="n"/>
    </row>
    <row r="505">
      <c r="B505" s="55" t="n"/>
      <c r="C505" s="53" t="n"/>
      <c r="D505" s="53" t="n"/>
      <c r="E505" s="59" t="n"/>
      <c r="F505" s="53" t="n"/>
    </row>
    <row r="506">
      <c r="B506" s="55" t="n"/>
      <c r="C506" s="53" t="n"/>
      <c r="D506" s="53" t="n"/>
      <c r="E506" s="59" t="n"/>
      <c r="F506" s="53" t="n"/>
    </row>
    <row r="508" ht="8" customHeight="1">
      <c r="B508" s="48" t="n"/>
    </row>
    <row r="509" ht="16" customHeight="1">
      <c r="B509" s="25" t="inlineStr">
        <is>
          <t>MIX SHOP DIGITAL  ·  Herramientas inteligentes que simplifican tu vida.</t>
        </is>
      </c>
    </row>
    <row r="510" ht="16" customHeight="1">
      <c r="B510" s="49" t="inlineStr">
        <is>
          <t>Versión gratuita  ·  Para gestionar todo tu consultorio en un solo lugar, conocé ODONTO SMART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0" password="E950"/>
  <autoFilter ref="B6:F506"/>
  <mergeCells count="10">
    <mergeCell ref="D2:F2"/>
    <mergeCell ref="B509:F509"/>
    <mergeCell ref="B2:C2"/>
    <mergeCell ref="B508:F508"/>
    <mergeCell ref="C4:F4"/>
    <mergeCell ref="B3:F3"/>
    <mergeCell ref="B5:F5"/>
    <mergeCell ref="B510:F510"/>
    <mergeCell ref="B1:C1"/>
    <mergeCell ref="D1:F1"/>
  </mergeCells>
  <conditionalFormatting sqref="B7:F506">
    <cfRule type="expression" priority="1" dxfId="6">
      <formula>AND($B7&lt;&gt;"",YEAR($B7)&lt;&gt;AnioCtl)</formula>
    </cfRule>
  </conditionalFormatting>
  <conditionalFormatting sqref="C7:C506">
    <cfRule type="expression" priority="2" dxfId="1">
      <formula>AND($C7&lt;&gt;"",COUNTIF(PACIENTES!$B$7:$B$206,$C7)=0)</formula>
    </cfRule>
  </conditionalFormatting>
  <dataValidations count="4">
    <dataValidation sqref="B7:B506" showDropDown="0" showInputMessage="1" showErrorMessage="1" allowBlank="1" errorTitle="Fecha no válida" error="Escribí una fecha válida. Ej.: 15/03/2026" promptTitle="Fecha" prompt="Día de la atención. Ej.: 15/03/2026" type="date" operator="between">
      <formula1>36526</formula1>
      <formula2>73415</formula2>
    </dataValidation>
    <dataValidation sqref="C7:C506" showDropDown="0" showInputMessage="1" showErrorMessage="1" allowBlank="1" errorTitle="Valor no válido" error="Elegí un valor de la lista desplegable." promptTitle="Paciente" prompt="Elegí el paciente. Si no aparece, cargalo primero en PACIENTES." type="list" errorStyle="stop">
      <formula1>ListaPac</formula1>
    </dataValidation>
    <dataValidation sqref="D7:D506" showDropDown="0" showInputMessage="1" showErrorMessage="1" allowBlank="1" errorTitle="Valor no válido" error="Elegí un valor de la lista desplegable." promptTitle="Tratamiento" prompt="Elegí el tratamiento. Podés editar la lista en AJUSTES." type="list" errorStyle="stop">
      <formula1>ListaTrat</formula1>
    </dataValidation>
    <dataValidation sqref="E7:E506" showDropDown="0" showInputMessage="1" showErrorMessage="1" allowBlank="1" errorTitle="Dato no válido" error="Ingresá un número válido. No se aceptan valores negativos ni texto." promptTitle="Monto cobrado" prompt="Lo que cobraste por esta atención. Si fue gratis, dejalo en 0." type="decimal" operator="greaterThanOrEqual">
      <formula1>0</formula1>
    </dataValidation>
  </dataValidations>
  <hyperlinks>
    <hyperlink ref="B4" location="'PANEL'!A1" display="← VOLVER"/>
    <hyperlink xmlns:r="http://schemas.openxmlformats.org/officeDocument/2006/relationships" ref="B510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&amp;K0B3C5DMIX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D7FB8"/>
    <outlinePr summaryBelow="1" summaryRight="1"/>
    <pageSetUpPr fitToPage="1"/>
  </sheetPr>
  <dimension ref="B1:D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8" customWidth="1" min="3" max="3"/>
    <col width="56" customWidth="1" min="4" max="4"/>
  </cols>
  <sheetData>
    <row r="1" ht="30" customHeight="1">
      <c r="B1" s="1" t="inlineStr">
        <is>
          <t>MIX SHOP DIGITAL</t>
        </is>
      </c>
      <c r="C1" s="2" t="inlineStr">
        <is>
          <t>AJUSTES</t>
        </is>
      </c>
    </row>
    <row r="2" ht="18" customHeight="1">
      <c r="B2" s="3" t="inlineStr">
        <is>
          <t>Herramientas inteligentes que simplifican tu vida.</t>
        </is>
      </c>
      <c r="C2" s="4" t="inlineStr">
        <is>
          <t>Cargalos una sola vez</t>
        </is>
      </c>
    </row>
    <row r="3" ht="4" customHeight="1">
      <c r="B3" s="5" t="n"/>
    </row>
    <row r="4" ht="20" customHeight="1">
      <c r="B4" s="50" t="inlineStr">
        <is>
          <t>← VOLVER</t>
        </is>
      </c>
      <c r="C4" s="6" t="inlineStr">
        <is>
          <t>Completá solamente las celdas amarillas. Estos datos alimentan las demás hojas automáticamente.</t>
        </is>
      </c>
    </row>
    <row r="6">
      <c r="B6" s="26" t="inlineStr">
        <is>
          <t>1. TU CONSULTORIO</t>
        </is>
      </c>
    </row>
    <row r="7" ht="28" customHeight="1">
      <c r="B7" s="60" t="inlineStr">
        <is>
          <t>Nombre del consultorio</t>
        </is>
      </c>
      <c r="C7" s="61" t="inlineStr">
        <is>
          <t>Consultorio de María (EJEMPLO)</t>
        </is>
      </c>
      <c r="D7" s="62" t="inlineStr">
        <is>
          <t>Aparece en el PANEL.</t>
        </is>
      </c>
    </row>
    <row r="8" ht="28" customHeight="1">
      <c r="B8" s="60" t="inlineStr">
        <is>
          <t>Año a controlar</t>
        </is>
      </c>
      <c r="C8" s="63" t="n">
        <v>2026</v>
      </c>
      <c r="D8" s="62" t="inlineStr">
        <is>
          <t>El PANEL muestra los 12 meses de este año.</t>
        </is>
      </c>
    </row>
    <row r="9" ht="28" customHeight="1">
      <c r="B9" s="60" t="inlineStr">
        <is>
          <t>Moneda</t>
        </is>
      </c>
      <c r="C9" s="61" t="inlineStr">
        <is>
          <t>Gs.</t>
        </is>
      </c>
      <c r="D9" s="62" t="inlineStr">
        <is>
          <t>Símbolo que se muestra en las hojas.</t>
        </is>
      </c>
    </row>
    <row r="10" ht="28" customHeight="1">
      <c r="B10" s="60" t="inlineStr">
        <is>
          <t>Días para el control</t>
        </is>
      </c>
      <c r="C10" s="63" t="n">
        <v>180</v>
      </c>
      <c r="D10" s="62" t="inlineStr">
        <is>
          <t>Si un paciente no viene hace más de estos días, aparece como «Control pendiente».</t>
        </is>
      </c>
    </row>
    <row r="12">
      <c r="B12" s="37" t="inlineStr">
        <is>
          <t>2. TUS TRATAMIENTOS (podés renombrarlos)</t>
        </is>
      </c>
    </row>
    <row r="13">
      <c r="B13" s="6" t="inlineStr">
        <is>
          <t>Se usan en la lista desplegable de CONSULTAS. Cambiá el nombre, pero no dejes huecos entre medio.</t>
        </is>
      </c>
    </row>
    <row r="14">
      <c r="B14" s="61" t="inlineStr">
        <is>
          <t>Consulta</t>
        </is>
      </c>
      <c r="C14" s="6" t="inlineStr">
        <is>
          <t>Hasta 10 tratamientos.</t>
        </is>
      </c>
    </row>
    <row r="15">
      <c r="B15" s="61" t="inlineStr">
        <is>
          <t>Limpieza dental</t>
        </is>
      </c>
    </row>
    <row r="16">
      <c r="B16" s="61" t="inlineStr">
        <is>
          <t>Obturación (arreglo)</t>
        </is>
      </c>
    </row>
    <row r="17">
      <c r="B17" s="61" t="inlineStr">
        <is>
          <t>Extracción</t>
        </is>
      </c>
    </row>
    <row r="18">
      <c r="B18" s="61" t="inlineStr">
        <is>
          <t>Endodoncia</t>
        </is>
      </c>
    </row>
    <row r="19">
      <c r="B19" s="61" t="inlineStr">
        <is>
          <t>Control de ortodoncia</t>
        </is>
      </c>
    </row>
    <row r="20">
      <c r="B20" s="61" t="inlineStr">
        <is>
          <t>Blanqueamiento</t>
        </is>
      </c>
    </row>
    <row r="21">
      <c r="B21" s="61" t="inlineStr">
        <is>
          <t>Prótesis</t>
        </is>
      </c>
    </row>
    <row r="22">
      <c r="B22" s="61" t="inlineStr">
        <is>
          <t>Urgencia</t>
        </is>
      </c>
    </row>
    <row r="23">
      <c r="B23" s="61" t="inlineStr">
        <is>
          <t>Otro tratamiento</t>
        </is>
      </c>
    </row>
    <row r="26" ht="8" customHeight="1">
      <c r="B26" s="48" t="n"/>
    </row>
    <row r="27" ht="16" customHeight="1">
      <c r="B27" s="25" t="inlineStr">
        <is>
          <t>MIX SHOP DIGITAL  ·  Herramientas inteligentes que simplifican tu vida.</t>
        </is>
      </c>
    </row>
    <row r="28" ht="16" customHeight="1">
      <c r="B28" s="49" t="inlineStr">
        <is>
          <t>Versión gratuita  ·  Para gestionar todo tu consultorio en un solo lugar, conocé ODONTO SMART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950"/>
  <mergeCells count="9">
    <mergeCell ref="B28:D28"/>
    <mergeCell ref="B3:D3"/>
    <mergeCell ref="C2:D2"/>
    <mergeCell ref="C1:D1"/>
    <mergeCell ref="B26:D26"/>
    <mergeCell ref="B27:D27"/>
    <mergeCell ref="B12:D12"/>
    <mergeCell ref="B6:D6"/>
    <mergeCell ref="C4:D4"/>
  </mergeCells>
  <dataValidations count="3">
    <dataValidation sqref="C9" showDropDown="0" showInputMessage="1" showErrorMessage="1" allowBlank="1" errorTitle="Valor no válido" error="Elegí un valor de la lista desplegable." promptTitle="Moneda" prompt="Elegí la moneda que usás." type="list" errorStyle="stop">
      <formula1>"Gs.,US$,R$,ARS $,€"</formula1>
    </dataValidation>
    <dataValidation sqref="C8" showDropDown="0" showInputMessage="1" showErrorMessage="1" allowBlank="1" errorTitle="Dato no válido" error="Escribí un año entre 2000 y 2100." promptTitle="Año" prompt="Escribí el año que querés controlar. Ej.: 2026" type="whole" operator="between">
      <formula1>2000</formula1>
      <formula2>2100</formula2>
    </dataValidation>
    <dataValidation sqref="C10" showDropDown="0" showInputMessage="1" showErrorMessage="1" allowBlank="1" errorTitle="Dato no válido" error="Escribí un número de días entre 30 y 1000." promptTitle="Días" prompt="Cada cuántos días querés que el paciente vuelva a control. Ej.: 180" type="whole" operator="between">
      <formula1>30</formula1>
      <formula2>1000</formula2>
    </dataValidation>
  </dataValidations>
  <hyperlinks>
    <hyperlink ref="B4" location="'PANEL'!A1" display="← VOLVER"/>
    <hyperlink xmlns:r="http://schemas.openxmlformats.org/officeDocument/2006/relationships" ref="B28" r:id="rId1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&amp;K0B3C5DMIX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B3C5D"/>
    <outlinePr summaryBelow="1" summaryRight="1"/>
    <pageSetUpPr fitToPage="1"/>
  </sheetPr>
  <dimension ref="B1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B1" s="1" t="inlineStr">
        <is>
          <t>MIX SHOP DIGITAL</t>
        </is>
      </c>
      <c r="D1" s="2" t="inlineStr">
        <is>
          <t>AYUDA</t>
        </is>
      </c>
    </row>
    <row r="2" ht="18" customHeight="1">
      <c r="B2" s="3" t="inlineStr">
        <is>
          <t>Herramientas inteligentes que simplifican tu vida.</t>
        </is>
      </c>
      <c r="D2" s="4" t="inlineStr">
        <is>
          <t>Se aprende en 2 minutos</t>
        </is>
      </c>
    </row>
    <row r="3" ht="4" customHeight="1">
      <c r="B3" s="5" t="n"/>
    </row>
    <row r="4" ht="20" customHeight="1">
      <c r="B4" s="50" t="inlineStr">
        <is>
          <t>← VOLVER</t>
        </is>
      </c>
      <c r="C4" s="6" t="inlineStr">
        <is>
          <t>Leé esta hoja una vez. Después ya no la vas a necesitar.</t>
        </is>
      </c>
    </row>
    <row r="6">
      <c r="B6" s="26" t="inlineStr">
        <is>
          <t>¿PARA QUÉ SIRVE?</t>
        </is>
      </c>
    </row>
    <row r="7" ht="33" customHeight="1">
      <c r="B7" s="64" t="inlineStr">
        <is>
          <t>Para tener ordenada la base de pacientes de tu consultorio, anotar cada atención y saber a quién tenés que llamar para un control. Sin fórmulas y sin Internet.</t>
        </is>
      </c>
    </row>
    <row r="9">
      <c r="B9" s="37" t="inlineStr">
        <is>
          <t>EMPEZÁ EN 3 PASOS</t>
        </is>
      </c>
    </row>
    <row r="10" ht="33" customHeight="1">
      <c r="B10" s="64" t="inlineStr">
        <is>
          <t>1) En AJUSTES poné el nombre de tu consultorio, el año y cada cuántos días querés que vuelva el paciente a control. Si querés, renombrá los tratamientos.</t>
        </is>
      </c>
    </row>
    <row r="11" ht="33" customHeight="1">
      <c r="B11" s="64" t="inlineStr">
        <is>
          <t>2) En PACIENTES cargá a cada paciente una sola vez: nombre, C.I., teléfono, fecha de nacimiento, alergias y su próxima cita.</t>
        </is>
      </c>
    </row>
    <row r="12" ht="18.5" customHeight="1">
      <c r="B12" s="64" t="inlineStr">
        <is>
          <t>3) En CONSULTAS anotá cada atención: fecha, paciente, tratamiento y monto cobrado. El PANEL se arma solo.</t>
        </is>
      </c>
    </row>
    <row r="14">
      <c r="B14" s="26" t="inlineStr">
        <is>
          <t>COLORES Y AVISOS</t>
        </is>
      </c>
    </row>
    <row r="15" ht="33" customHeight="1">
      <c r="B15" s="64" t="inlineStr">
        <is>
          <t>Amarillo/celeste claro: celdas que completás vos.   Gris o blanco: se calcula solo (bloqueado).   Rojo: control pendiente.   Verde: cita agendada.   Naranja: cita en los próximos 7 días.</t>
        </is>
      </c>
    </row>
    <row r="17">
      <c r="B17" s="37" t="inlineStr">
        <is>
          <t>PREGUNTAS FRECUENTES</t>
        </is>
      </c>
    </row>
    <row r="18" ht="18.5" customHeight="1">
      <c r="B18" s="64" t="inlineStr">
        <is>
          <t>• Veo todo en cero: hacé clic en «Habilitar edición» en la barra amarilla de Excel.</t>
        </is>
      </c>
    </row>
    <row r="19" ht="18.5" customHeight="1">
      <c r="B19" s="64" t="inlineStr">
        <is>
          <t>• ¿Cómo sé a quién llamar? En PACIENTES filtrá la columna Estado por «Control pendiente».</t>
        </is>
      </c>
    </row>
    <row r="20" ht="33" customHeight="1">
      <c r="B20" s="64" t="inlineStr">
        <is>
          <t>• Un paciente no aparece en la lista de CONSULTAS: cargalo primero en PACIENTES. Usá nombres distintos para cada paciente.</t>
        </is>
      </c>
    </row>
    <row r="21" ht="33" customHeight="1">
      <c r="B21" s="64" t="inlineStr">
        <is>
          <t>• Si una atención se pinta de naranja en CONSULTAS, el nombre del paciente no coincide con ninguno de la base.</t>
        </is>
      </c>
    </row>
    <row r="22" ht="18.5" customHeight="1">
      <c r="B22" s="64" t="inlineStr">
        <is>
          <t>• ¿Cuántos caben? 200 pacientes y 500 atenciones. Cuando se llene, duplicá el archivo y usá otro por año.</t>
        </is>
      </c>
    </row>
    <row r="23" ht="33" customHeight="1">
      <c r="B23" s="64" t="inlineStr">
        <is>
          <t>• Solo se editan las celdas amarillas: el resto está protegido para que no se rompan las fórmulas por accidente.</t>
        </is>
      </c>
    </row>
    <row r="25">
      <c r="B25" s="37" t="inlineStr">
        <is>
          <t>PRIVACIDAD</t>
        </is>
      </c>
    </row>
    <row r="26" ht="47.5" customHeight="1">
      <c r="B26" s="64" t="inlineStr">
        <is>
          <t>Esta planilla guarda datos personales y de salud de tus pacientes: guardala en un lugar seguro, con copia de respaldo y sin compartirla. La protección de Excel evita borrados accidentales, pero no es un sistema de seguridad criptográfico.</t>
        </is>
      </c>
    </row>
    <row r="28">
      <c r="B28" s="65" t="inlineStr">
        <is>
          <t>MIX SHOP DIGITAL Y ODONTO SMART</t>
        </is>
      </c>
    </row>
    <row r="29" ht="33" customHeight="1">
      <c r="B29" s="64" t="inlineStr">
        <is>
          <t>Esta planilla es una herramienta gratuita de Mix Shop Digital. Si querés gestionar todo tu consultorio odontológico en un solo lugar, conocé ODONTO SMART, el sistema de gestión para consultorios.</t>
        </is>
      </c>
    </row>
    <row r="30">
      <c r="B30" s="66" t="inlineStr">
        <is>
          <t>→ mixshopdigital.com.py</t>
        </is>
      </c>
    </row>
    <row r="32" ht="8" customHeight="1">
      <c r="B32" s="48" t="n"/>
    </row>
    <row r="33" ht="16" customHeight="1">
      <c r="B33" s="25" t="inlineStr">
        <is>
          <t>MIX SHOP DIGITAL  ·  Herramientas inteligentes que simplifican tu vida.</t>
        </is>
      </c>
    </row>
    <row r="34" ht="16" customHeight="1">
      <c r="B34" s="49" t="inlineStr">
        <is>
          <t>Versión gratuita  ·  Para gestionar todo tu consultorio en un solo lugar, conocé ODONTO SMART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E950"/>
  <mergeCells count="29">
    <mergeCell ref="B9:H9"/>
    <mergeCell ref="D1:H1"/>
    <mergeCell ref="B6:H6"/>
    <mergeCell ref="B30:H30"/>
    <mergeCell ref="B15:H15"/>
    <mergeCell ref="B33:H33"/>
    <mergeCell ref="B20:H20"/>
    <mergeCell ref="B32:H32"/>
    <mergeCell ref="B2:C2"/>
    <mergeCell ref="B26:H26"/>
    <mergeCell ref="D2:H2"/>
    <mergeCell ref="B7:H7"/>
    <mergeCell ref="B25:H25"/>
    <mergeCell ref="B1:C1"/>
    <mergeCell ref="B3:H3"/>
    <mergeCell ref="B22:H22"/>
    <mergeCell ref="B18:H18"/>
    <mergeCell ref="B21:H21"/>
    <mergeCell ref="B12:H12"/>
    <mergeCell ref="B11:H11"/>
    <mergeCell ref="B23:H23"/>
    <mergeCell ref="B14:H14"/>
    <mergeCell ref="B17:H17"/>
    <mergeCell ref="C4:H4"/>
    <mergeCell ref="B10:H10"/>
    <mergeCell ref="B29:H29"/>
    <mergeCell ref="B19:H19"/>
    <mergeCell ref="B34:H34"/>
    <mergeCell ref="B28:H28"/>
  </mergeCells>
  <hyperlinks>
    <hyperlink ref="B4" location="'PANEL'!A1" display="← VOLVER"/>
    <hyperlink xmlns:r="http://schemas.openxmlformats.org/officeDocument/2006/relationships" ref="B30" r:id="rId1"/>
    <hyperlink xmlns:r="http://schemas.openxmlformats.org/officeDocument/2006/relationships" ref="B34" r:id="rId2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&amp;K0B3C5DMIX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MIX SHOP DIGITAL</dc:creator>
  <dc:title xmlns:dc="http://purl.org/dc/elements/1.1/">Fichas y Agenda de Pacientes – Mix Shop Digital</dc:title>
  <dc:subject xmlns:dc="http://purl.org/dc/elements/1.1/">Versión gratuita</dc:subject>
  <dcterms:created xmlns:dcterms="http://purl.org/dc/terms/" xmlns:xsi="http://www.w3.org/2001/XMLSchema-instance" xsi:type="dcterms:W3CDTF">2026-10-30T13:28:51Z</dcterms:created>
  <dcterms:modified xmlns:dcterms="http://purl.org/dc/terms/" xmlns:xsi="http://www.w3.org/2001/XMLSchema-instance" xsi:type="dcterms:W3CDTF">2026-10-30T13:28:51Z</dcterms:modified>
</cp:coreProperties>
</file>