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8CA3" lockStructure="1"/>
  <bookViews>
    <workbookView visibility="visible" minimized="0" showHorizontalScroll="1" showVerticalScroll="1" showSheetTabs="1" tabRatio="600" firstSheet="0" activeTab="0" autoFilterDateGrouping="1"/>
  </bookViews>
  <sheets>
    <sheet xmlns:r="http://schemas.openxmlformats.org/officeDocument/2006/relationships" name="PRESUPUESTO" sheetId="1" state="visible" r:id="rId1"/>
    <sheet xmlns:r="http://schemas.openxmlformats.org/officeDocument/2006/relationships" name="RECIBO" sheetId="2" state="visible" r:id="rId2"/>
    <sheet xmlns:r="http://schemas.openxmlformats.org/officeDocument/2006/relationships" name="HISTORIAL" sheetId="3" state="visible" r:id="rId3"/>
    <sheet xmlns:r="http://schemas.openxmlformats.org/officeDocument/2006/relationships" name="PANEL" sheetId="4" state="visible" r:id="rId4"/>
    <sheet xmlns:r="http://schemas.openxmlformats.org/officeDocument/2006/relationships" name="AJUSTES" sheetId="5" state="visible" r:id="rId5"/>
    <sheet xmlns:r="http://schemas.openxmlformats.org/officeDocument/2006/relationships" name="AYUDA" sheetId="6" state="visible" r:id="rId6"/>
  </sheets>
  <definedNames>
    <definedName name="NombreNegocio">'AJUSTES'!$C$7</definedName>
    <definedName name="RucNegocio">'AJUSTES'!$C$8</definedName>
    <definedName name="TelNegocio">'AJUSTES'!$C$9</definedName>
    <definedName name="DirNegocio">'AJUSTES'!$C$10</definedName>
    <definedName name="Moneda">'AJUSTES'!$C$11</definedName>
    <definedName name="AnioCtl">'AJUSTES'!$C$12</definedName>
    <definedName name="Validez">'AJUSTES'!$C$13</definedName>
    <definedName name="Decimales">'AJUSTES'!$C$14</definedName>
    <definedName name="TasaGeneral">'AJUSTES'!$C$17</definedName>
    <definedName name="TasaReducida">'AJUSTES'!$C$18</definedName>
    <definedName name="_xlnm.Print_Area" localSheetId="0">'PRESUPUESTO'!$A$1:$G$39</definedName>
    <definedName name="_xlnm.Print_Area" localSheetId="1">'RECIBO'!$A$1:$G$25</definedName>
    <definedName name="_xlnm._FilterDatabase" localSheetId="2" hidden="1">'HISTORIAL'!$B$7:$G$107</definedName>
    <definedName name="_xlnm.Print_Titles" localSheetId="2">'HISTORIAL'!$7:$7</definedName>
    <definedName name="_xlnm.Print_Area" localSheetId="2">'HISTORIAL'!$A$1:$G$111</definedName>
    <definedName name="_xlnm.Print_Area" localSheetId="3">'PANEL'!$A$1:$M$50</definedName>
    <definedName name="_xlnm.Print_Area" localSheetId="4">'AJUSTES'!$A$1:$D$24</definedName>
    <definedName name="_xlnm.Print_Area" localSheetId="5">'AYUDA'!$A$1:$H$36</definedName>
  </definedNames>
  <calcPr calcId="124519" fullCalcOnLoad="1"/>
</workbook>
</file>

<file path=xl/styles.xml><?xml version="1.0" encoding="utf-8"?>
<styleSheet xmlns="http://schemas.openxmlformats.org/spreadsheetml/2006/main">
  <numFmts count="6">
    <numFmt numFmtId="164" formatCode="dd/mm/yyyy"/>
    <numFmt numFmtId="165" formatCode="#,##0.##"/>
    <numFmt numFmtId="166" formatCode="#,##0;[Red]-#,##0;&quot;-&quot;"/>
    <numFmt numFmtId="167" formatCode="#,##0;-#,##0;0"/>
    <numFmt numFmtId="168" formatCode="0;-0;&quot;-&quot;"/>
    <numFmt numFmtId="169" formatCode="0%;-0%;&quot;-&quot;"/>
  </numFmts>
  <fonts count="33">
    <font>
      <name val="Calibri"/>
      <family val="2"/>
      <color theme="1"/>
      <sz val="11"/>
      <scheme val="minor"/>
    </font>
    <font>
      <name val="Arial"/>
      <b val="1"/>
      <color rgb="00FFFFFF"/>
      <sz val="16"/>
    </font>
    <font>
      <name val="Arial"/>
      <b val="1"/>
      <color rgb="00FFD98A"/>
      <sz val="13"/>
    </font>
    <font>
      <name val="Arial"/>
      <i val="1"/>
      <color rgb="00FFFFFF"/>
      <sz val="9"/>
    </font>
    <font>
      <name val="Arial"/>
      <color rgb="00FFFFFF"/>
      <sz val="9"/>
    </font>
    <font>
      <name val="Arial"/>
      <color rgb="00000000"/>
      <sz val="10"/>
    </font>
    <font>
      <name val="Arial"/>
      <b val="1"/>
      <color rgb="00D1495B"/>
      <sz val="9"/>
      <u val="single"/>
    </font>
    <font>
      <name val="Arial"/>
      <i val="1"/>
      <color rgb="006B5B66"/>
      <sz val="9"/>
    </font>
    <font>
      <name val="Arial"/>
      <b val="1"/>
      <color rgb="00FFFFFF"/>
      <sz val="11"/>
    </font>
    <font>
      <name val="Arial"/>
      <b val="1"/>
      <color rgb="00000000"/>
      <sz val="10"/>
    </font>
    <font>
      <name val="Arial"/>
      <b val="1"/>
      <color rgb="006B2D5C"/>
      <sz val="9"/>
    </font>
    <font>
      <name val="Arial"/>
      <color rgb="006B5B66"/>
      <sz val="8"/>
    </font>
    <font>
      <name val="Arial"/>
      <b val="1"/>
      <color rgb="00FFFFFF"/>
      <sz val="10"/>
    </font>
    <font>
      <name val="Arial"/>
      <b val="1"/>
      <color rgb="00FFFFFF"/>
      <sz val="14"/>
    </font>
    <font>
      <name val="Arial"/>
      <color rgb="006B5B66"/>
      <sz val="9"/>
    </font>
    <font>
      <name val="Arial"/>
      <b val="1"/>
      <color rgb="006B2D5C"/>
      <sz val="10"/>
    </font>
    <font>
      <name val="Arial"/>
      <color rgb="00000000"/>
      <sz val="9"/>
    </font>
    <font>
      <name val="Arial"/>
      <color rgb="006B5B66"/>
      <sz val="10"/>
    </font>
    <font>
      <name val="Arial"/>
      <b val="1"/>
      <color rgb="00FFFFFF"/>
      <sz val="13"/>
    </font>
    <font>
      <name val="Arial"/>
      <i val="1"/>
      <color rgb="006B5B66"/>
      <sz val="8"/>
    </font>
    <font>
      <name val="Arial"/>
      <b val="1"/>
      <color rgb="006B2D5C"/>
      <sz val="12"/>
    </font>
    <font>
      <name val="Arial"/>
      <b val="1"/>
      <color rgb="00D1495B"/>
      <sz val="15"/>
    </font>
    <font>
      <name val="Arial"/>
      <color rgb="006B5B66"/>
      <sz val="11"/>
    </font>
    <font>
      <name val="Arial"/>
      <color rgb="00000000"/>
      <sz val="11"/>
    </font>
    <font>
      <name val="Arial"/>
      <b val="1"/>
      <color rgb="00D1495B"/>
      <sz val="14"/>
    </font>
    <font>
      <name val="Arial"/>
      <b val="1"/>
      <color rgb="006B5B66"/>
      <sz val="8"/>
    </font>
    <font>
      <name val="Arial"/>
      <b val="1"/>
      <color rgb="006B2D5C"/>
      <sz val="20"/>
    </font>
    <font>
      <name val="Arial"/>
      <b val="1"/>
      <color rgb="00B8860B"/>
      <sz val="20"/>
    </font>
    <font>
      <name val="Arial"/>
      <b val="1"/>
      <color rgb="001B7F72"/>
      <sz val="20"/>
    </font>
    <font>
      <name val="Arial"/>
      <b val="1"/>
      <color rgb="00D1495B"/>
      <sz val="20"/>
    </font>
    <font>
      <name val="Arial"/>
      <b val="1"/>
      <color rgb="00000000"/>
      <sz val="11"/>
    </font>
    <font>
      <name val="Arial"/>
      <b val="1"/>
      <color rgb="00000000"/>
      <sz val="9"/>
    </font>
    <font>
      <name val="Arial"/>
      <b val="1"/>
      <color rgb="00D1495B"/>
      <sz val="11"/>
      <u val="single"/>
    </font>
  </fonts>
  <fills count="10">
    <fill>
      <patternFill/>
    </fill>
    <fill>
      <patternFill patternType="gray125"/>
    </fill>
    <fill>
      <patternFill patternType="solid">
        <fgColor rgb="006B2D5C"/>
        <bgColor rgb="006B2D5C"/>
      </patternFill>
    </fill>
    <fill>
      <patternFill patternType="solid">
        <fgColor rgb="00D1495B"/>
        <bgColor rgb="00D1495B"/>
      </patternFill>
    </fill>
    <fill>
      <patternFill patternType="solid">
        <fgColor rgb="00EDAE49"/>
        <bgColor rgb="00EDAE49"/>
      </patternFill>
    </fill>
    <fill>
      <patternFill patternType="solid">
        <fgColor rgb="00FFE9EE"/>
        <bgColor rgb="00FFE9EE"/>
      </patternFill>
    </fill>
    <fill>
      <patternFill patternType="solid">
        <fgColor rgb="00F4EEF1"/>
        <bgColor rgb="00F4EEF1"/>
      </patternFill>
    </fill>
    <fill>
      <patternFill patternType="solid">
        <fgColor rgb="00FBF5F7"/>
        <bgColor rgb="00FBF5F7"/>
      </patternFill>
    </fill>
    <fill>
      <patternFill patternType="solid">
        <fgColor rgb="00FFFFFF"/>
        <bgColor rgb="00FFFFFF"/>
      </patternFill>
    </fill>
    <fill>
      <patternFill patternType="solid">
        <fgColor rgb="00F3DDE6"/>
        <bgColor rgb="00F3DDE6"/>
      </patternFill>
    </fill>
  </fills>
  <borders count="7">
    <border>
      <left/>
      <right/>
      <top/>
      <bottom/>
      <diagonal/>
    </border>
    <border>
      <left style="thin">
        <color rgb="00C9D3EA"/>
      </left>
      <right style="thin">
        <color rgb="00C9D3EA"/>
      </right>
      <top style="thin">
        <color rgb="00C9D3EA"/>
      </top>
      <bottom style="thin">
        <color rgb="00C9D3EA"/>
      </bottom>
    </border>
    <border>
      <top style="thin">
        <color rgb="006B5B66"/>
      </top>
    </border>
    <border>
      <left style="thick">
        <color rgb="00EDAE49"/>
      </left>
    </border>
    <border>
      <left style="thick">
        <color rgb="006B2D5C"/>
      </left>
    </border>
    <border>
      <left style="thick">
        <color rgb="002A9D8F"/>
      </left>
    </border>
    <border>
      <left style="thick">
        <color rgb="00D1495B"/>
      </left>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right" vertical="center"/>
    </xf>
    <xf numFmtId="0" fontId="3" fillId="3" borderId="0" applyAlignment="1" pivotButton="0" quotePrefix="0" xfId="0">
      <alignment horizontal="left" vertical="center"/>
    </xf>
    <xf numFmtId="0" fontId="4" fillId="3" borderId="0" applyAlignment="1" pivotButton="0" quotePrefix="0" xfId="0">
      <alignment horizontal="right" vertical="center"/>
    </xf>
    <xf numFmtId="0" fontId="5" fillId="4" borderId="0" applyAlignment="1" pivotButton="0" quotePrefix="0" xfId="0">
      <alignment vertical="center"/>
    </xf>
    <xf numFmtId="0" fontId="7" fillId="0" borderId="0" applyAlignment="1" pivotButton="0" quotePrefix="0" xfId="0">
      <alignment horizontal="left" vertical="center"/>
    </xf>
    <xf numFmtId="0" fontId="12" fillId="3" borderId="1" applyAlignment="1" pivotButton="0" quotePrefix="0" xfId="0">
      <alignment horizontal="center" vertical="center"/>
    </xf>
    <xf numFmtId="0" fontId="12" fillId="2" borderId="1" applyAlignment="1" pivotButton="0" quotePrefix="0" xfId="0">
      <alignment horizontal="center" vertical="center"/>
    </xf>
    <xf numFmtId="0" fontId="13" fillId="2" borderId="0" applyAlignment="1" pivotButton="0" quotePrefix="0" xfId="0">
      <alignment horizontal="left" vertical="center"/>
    </xf>
    <xf numFmtId="0" fontId="14" fillId="7" borderId="0" applyAlignment="1" pivotButton="0" quotePrefix="0" xfId="0">
      <alignment horizontal="left" vertical="center"/>
    </xf>
    <xf numFmtId="0" fontId="15" fillId="0" borderId="0" applyAlignment="1" pivotButton="0" quotePrefix="0" xfId="0">
      <alignment horizontal="right" vertical="center"/>
    </xf>
    <xf numFmtId="0" fontId="9" fillId="5" borderId="1" applyAlignment="1" applyProtection="1" pivotButton="0" quotePrefix="0" xfId="0">
      <alignment horizontal="center" vertical="center"/>
      <protection locked="0" hidden="0"/>
    </xf>
    <xf numFmtId="164" fontId="5" fillId="5" borderId="1" applyAlignment="1" applyProtection="1" pivotButton="0" quotePrefix="0" xfId="0">
      <alignment horizontal="center" vertical="center"/>
      <protection locked="0" hidden="0"/>
    </xf>
    <xf numFmtId="0" fontId="5" fillId="5" borderId="1" applyAlignment="1" applyProtection="1" pivotButton="0" quotePrefix="0" xfId="0">
      <alignment horizontal="left" vertical="center"/>
      <protection locked="0" hidden="0"/>
    </xf>
    <xf numFmtId="0" fontId="5" fillId="5" borderId="1" applyAlignment="1" applyProtection="1" pivotButton="0" quotePrefix="0" xfId="0">
      <alignment horizontal="center" vertical="center"/>
      <protection locked="0" hidden="0"/>
    </xf>
    <xf numFmtId="0" fontId="16" fillId="5" borderId="1" applyAlignment="1" applyProtection="1" pivotButton="0" quotePrefix="0" xfId="0">
      <alignment horizontal="center" vertical="center"/>
      <protection locked="0" hidden="0"/>
    </xf>
    <xf numFmtId="164" fontId="5" fillId="6" borderId="1" applyAlignment="1" pivotButton="0" quotePrefix="0" xfId="0">
      <alignment horizontal="center" vertical="center"/>
    </xf>
    <xf numFmtId="0" fontId="14" fillId="8" borderId="1" applyAlignment="1" pivotButton="0" quotePrefix="0" xfId="0">
      <alignment horizontal="center" vertical="center"/>
    </xf>
    <xf numFmtId="165" fontId="5" fillId="5" borderId="1" applyAlignment="1" applyProtection="1" pivotButton="0" quotePrefix="0" xfId="0">
      <alignment horizontal="center" vertical="center"/>
      <protection locked="0" hidden="0"/>
    </xf>
    <xf numFmtId="3" fontId="5" fillId="5" borderId="1" applyAlignment="1" applyProtection="1" pivotButton="0" quotePrefix="0" xfId="0">
      <alignment horizontal="right" vertical="center"/>
      <protection locked="0" hidden="0"/>
    </xf>
    <xf numFmtId="9" fontId="5" fillId="5" borderId="1" applyAlignment="1" applyProtection="1" pivotButton="0" quotePrefix="0" xfId="0">
      <alignment horizontal="center" vertical="center"/>
      <protection locked="0" hidden="0"/>
    </xf>
    <xf numFmtId="166" fontId="5" fillId="8" borderId="1" applyAlignment="1" pivotButton="0" quotePrefix="0" xfId="0">
      <alignment horizontal="right" vertical="center"/>
    </xf>
    <xf numFmtId="0" fontId="14" fillId="7" borderId="1" applyAlignment="1" pivotButton="0" quotePrefix="0" xfId="0">
      <alignment horizontal="center" vertical="center"/>
    </xf>
    <xf numFmtId="166" fontId="5" fillId="7"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right" vertical="center"/>
    </xf>
    <xf numFmtId="166" fontId="5" fillId="6" borderId="1" applyAlignment="1" pivotButton="0" quotePrefix="0" xfId="0">
      <alignment horizontal="right" vertical="center"/>
    </xf>
    <xf numFmtId="0" fontId="16" fillId="5" borderId="1" applyAlignment="1" applyProtection="1" pivotButton="0" quotePrefix="0" xfId="0">
      <alignment horizontal="left" vertical="top" wrapText="1"/>
      <protection locked="0" hidden="0"/>
    </xf>
    <xf numFmtId="0" fontId="12" fillId="2" borderId="0" applyAlignment="1" pivotButton="0" quotePrefix="0" xfId="0">
      <alignment horizontal="right" vertical="center"/>
    </xf>
    <xf numFmtId="0" fontId="0" fillId="2" borderId="0" pivotButton="0" quotePrefix="0" xfId="0"/>
    <xf numFmtId="167" fontId="18" fillId="2" borderId="1" applyAlignment="1" pivotButton="0" quotePrefix="0" xfId="0">
      <alignment horizontal="right" vertical="center"/>
    </xf>
    <xf numFmtId="0" fontId="14" fillId="0" borderId="2" applyAlignment="1" pivotButton="0" quotePrefix="0" xfId="0">
      <alignment horizontal="center" vertical="center"/>
    </xf>
    <xf numFmtId="0" fontId="7" fillId="0" borderId="0" applyAlignment="1" pivotButton="0" quotePrefix="0" xfId="0">
      <alignment horizontal="center" vertical="center"/>
    </xf>
    <xf numFmtId="0" fontId="5" fillId="2" borderId="0" applyAlignment="1" pivotButton="0" quotePrefix="0" xfId="0">
      <alignment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6" fillId="0" borderId="0" applyAlignment="1" pivotButton="0" quotePrefix="0" xfId="0">
      <alignment horizontal="left" vertical="center"/>
    </xf>
    <xf numFmtId="0" fontId="8" fillId="2" borderId="0" applyAlignment="1" pivotButton="0" quotePrefix="0" xfId="0">
      <alignment horizontal="left" vertical="center"/>
    </xf>
    <xf numFmtId="3" fontId="9" fillId="5" borderId="1" applyAlignment="1" applyProtection="1" pivotButton="0" quotePrefix="0" xfId="0">
      <alignment horizontal="right" vertical="center"/>
      <protection locked="0" hidden="0"/>
    </xf>
    <xf numFmtId="0" fontId="19" fillId="0" borderId="0" applyAlignment="1" pivotButton="0" quotePrefix="0" xfId="0">
      <alignment horizontal="right" vertical="center"/>
    </xf>
    <xf numFmtId="0" fontId="8" fillId="3" borderId="0" applyAlignment="1" pivotButton="0" quotePrefix="0" xfId="0">
      <alignment horizontal="left" vertical="center"/>
    </xf>
    <xf numFmtId="0" fontId="20" fillId="7" borderId="0" applyAlignment="1" pivotButton="0" quotePrefix="0" xfId="0">
      <alignment horizontal="left" vertical="center"/>
    </xf>
    <xf numFmtId="0" fontId="21" fillId="0" borderId="0" applyAlignment="1" pivotButton="0" quotePrefix="0" xfId="0">
      <alignment horizontal="left" vertical="center"/>
    </xf>
    <xf numFmtId="0" fontId="22" fillId="0" borderId="0" applyAlignment="1" pivotButton="0" quotePrefix="0" xfId="0">
      <alignment horizontal="right" vertical="center"/>
    </xf>
    <xf numFmtId="0" fontId="15" fillId="7" borderId="1" applyAlignment="1" pivotButton="0" quotePrefix="0" xfId="0">
      <alignment horizontal="right" vertical="center"/>
    </xf>
    <xf numFmtId="0" fontId="23" fillId="0" borderId="1" applyAlignment="1" pivotButton="0" quotePrefix="0" xfId="0">
      <alignment horizontal="left" vertical="center" indent="1"/>
    </xf>
    <xf numFmtId="0" fontId="24" fillId="0" borderId="1" applyAlignment="1" pivotButton="0" quotePrefix="0" xfId="0">
      <alignment horizontal="left" vertical="center" indent="1"/>
    </xf>
    <xf numFmtId="0" fontId="10" fillId="0" borderId="0" applyAlignment="1" pivotButton="0" quotePrefix="0" xfId="0">
      <alignment horizontal="left" vertical="center"/>
    </xf>
    <xf numFmtId="164" fontId="16" fillId="5" borderId="1" applyAlignment="1" applyProtection="1" pivotButton="0" quotePrefix="0" xfId="0">
      <alignment horizontal="center" vertical="center"/>
      <protection locked="0" hidden="0"/>
    </xf>
    <xf numFmtId="0" fontId="16" fillId="5" borderId="1" applyAlignment="1" applyProtection="1" pivotButton="0" quotePrefix="0" xfId="0">
      <alignment horizontal="left" vertical="center"/>
      <protection locked="0" hidden="0"/>
    </xf>
    <xf numFmtId="3" fontId="16" fillId="5" borderId="1" applyAlignment="1" applyProtection="1" pivotButton="0" quotePrefix="0" xfId="0">
      <alignment horizontal="right" vertical="center"/>
      <protection locked="0" hidden="0"/>
    </xf>
    <xf numFmtId="0" fontId="15" fillId="4" borderId="1" applyAlignment="1" pivotButton="0" quotePrefix="0" xfId="0">
      <alignment horizontal="center" vertical="center"/>
    </xf>
    <xf numFmtId="0" fontId="25" fillId="7" borderId="4" applyAlignment="1" pivotButton="0" quotePrefix="0" xfId="0">
      <alignment horizontal="center" vertical="center"/>
    </xf>
    <xf numFmtId="0" fontId="25" fillId="7" borderId="3" applyAlignment="1" pivotButton="0" quotePrefix="0" xfId="0">
      <alignment horizontal="center" vertical="center"/>
    </xf>
    <xf numFmtId="0" fontId="25" fillId="7" borderId="5" applyAlignment="1" pivotButton="0" quotePrefix="0" xfId="0">
      <alignment horizontal="center" vertical="center"/>
    </xf>
    <xf numFmtId="0" fontId="25" fillId="7" borderId="6" applyAlignment="1" pivotButton="0" quotePrefix="0" xfId="0">
      <alignment horizontal="center" vertical="center"/>
    </xf>
    <xf numFmtId="166" fontId="26" fillId="7" borderId="4" applyAlignment="1" pivotButton="0" quotePrefix="0" xfId="0">
      <alignment horizontal="center" vertical="center"/>
    </xf>
    <xf numFmtId="166" fontId="27" fillId="7" borderId="3" applyAlignment="1" pivotButton="0" quotePrefix="0" xfId="0">
      <alignment horizontal="center" vertical="center"/>
    </xf>
    <xf numFmtId="166" fontId="28" fillId="7" borderId="5" applyAlignment="1" pivotButton="0" quotePrefix="0" xfId="0">
      <alignment horizontal="center" vertical="center"/>
    </xf>
    <xf numFmtId="9" fontId="29" fillId="7" borderId="6" applyAlignment="1" pivotButton="0" quotePrefix="0" xfId="0">
      <alignment horizontal="center" vertical="center"/>
    </xf>
    <xf numFmtId="0" fontId="11" fillId="7" borderId="4" applyAlignment="1" pivotButton="0" quotePrefix="0" xfId="0">
      <alignment horizontal="center" vertical="center"/>
    </xf>
    <xf numFmtId="0" fontId="11" fillId="7" borderId="3" applyAlignment="1" pivotButton="0" quotePrefix="0" xfId="0">
      <alignment horizontal="center" vertical="center"/>
    </xf>
    <xf numFmtId="0" fontId="11" fillId="7" borderId="5" applyAlignment="1" pivotButton="0" quotePrefix="0" xfId="0">
      <alignment horizontal="center" vertical="center"/>
    </xf>
    <xf numFmtId="0" fontId="11" fillId="7" borderId="6" applyAlignment="1" pivotButton="0" quotePrefix="0" xfId="0">
      <alignment horizontal="center" vertical="center"/>
    </xf>
    <xf numFmtId="0" fontId="30" fillId="0" borderId="1" applyAlignment="1" pivotButton="0" quotePrefix="0" xfId="0">
      <alignment horizontal="center" vertical="center"/>
    </xf>
    <xf numFmtId="0" fontId="15" fillId="9" borderId="1" applyAlignment="1" pivotButton="0" quotePrefix="0" xfId="0">
      <alignment horizontal="center" vertical="center"/>
    </xf>
    <xf numFmtId="0" fontId="9" fillId="8" borderId="1" applyAlignment="1" pivotButton="0" quotePrefix="0" xfId="0">
      <alignment horizontal="left" vertical="center"/>
    </xf>
    <xf numFmtId="168" fontId="5" fillId="8" borderId="1" applyAlignment="1" pivotButton="0" quotePrefix="0" xfId="0">
      <alignment horizontal="center" vertical="center"/>
    </xf>
    <xf numFmtId="169" fontId="5" fillId="8" borderId="1" applyAlignment="1" pivotButton="0" quotePrefix="0" xfId="0">
      <alignment horizontal="right" vertical="center"/>
    </xf>
    <xf numFmtId="0" fontId="12" fillId="2" borderId="1" applyAlignment="1" pivotButton="0" quotePrefix="0" xfId="0">
      <alignment vertical="center"/>
    </xf>
    <xf numFmtId="1" fontId="9" fillId="9" borderId="1" applyAlignment="1" pivotButton="0" quotePrefix="0" xfId="0">
      <alignment horizontal="center" vertical="center"/>
    </xf>
    <xf numFmtId="166" fontId="9" fillId="9" borderId="1" applyAlignment="1" pivotButton="0" quotePrefix="0" xfId="0">
      <alignment horizontal="right" vertical="center"/>
    </xf>
    <xf numFmtId="9" fontId="9" fillId="9" borderId="1" applyAlignment="1" pivotButton="0" quotePrefix="0" xfId="0">
      <alignment horizontal="right" vertical="center"/>
    </xf>
    <xf numFmtId="0" fontId="10" fillId="9" borderId="1" applyAlignment="1" pivotButton="0" quotePrefix="0" xfId="0">
      <alignment horizontal="center" vertical="center" wrapText="1"/>
    </xf>
    <xf numFmtId="168" fontId="16" fillId="8" borderId="1" applyAlignment="1" pivotButton="0" quotePrefix="0" xfId="0">
      <alignment horizontal="center" vertical="center"/>
    </xf>
    <xf numFmtId="166" fontId="16" fillId="8" borderId="1" applyAlignment="1" pivotButton="0" quotePrefix="0" xfId="0">
      <alignment horizontal="right" vertical="center"/>
    </xf>
    <xf numFmtId="0" fontId="9" fillId="7" borderId="1" applyAlignment="1" pivotButton="0" quotePrefix="0" xfId="0">
      <alignment horizontal="left" vertical="center"/>
    </xf>
    <xf numFmtId="168" fontId="16" fillId="7" borderId="1" applyAlignment="1" pivotButton="0" quotePrefix="0" xfId="0">
      <alignment horizontal="center" vertical="center"/>
    </xf>
    <xf numFmtId="166" fontId="16" fillId="7" borderId="1" applyAlignment="1" pivotButton="0" quotePrefix="0" xfId="0">
      <alignment horizontal="right" vertical="center"/>
    </xf>
    <xf numFmtId="0" fontId="12" fillId="2" borderId="1" applyAlignment="1" pivotButton="0" quotePrefix="0" xfId="0">
      <alignment horizontal="left" vertical="center"/>
    </xf>
    <xf numFmtId="1" fontId="31" fillId="9" borderId="1" applyAlignment="1" pivotButton="0" quotePrefix="0" xfId="0">
      <alignment horizontal="center" vertical="center"/>
    </xf>
    <xf numFmtId="166" fontId="31" fillId="9" borderId="1" applyAlignment="1" pivotButton="0" quotePrefix="0" xfId="0">
      <alignment horizontal="right" vertical="center"/>
    </xf>
    <xf numFmtId="0" fontId="9" fillId="0" borderId="0" applyAlignment="1" pivotButton="0" quotePrefix="0" xfId="0">
      <alignment horizontal="left" vertical="center"/>
    </xf>
    <xf numFmtId="0" fontId="7" fillId="0" borderId="0" applyAlignment="1" pivotButton="0" quotePrefix="0" xfId="0">
      <alignment horizontal="left" vertical="center" wrapText="1"/>
    </xf>
    <xf numFmtId="1" fontId="5" fillId="5" borderId="1" applyAlignment="1" applyProtection="1" pivotButton="0" quotePrefix="0" xfId="0">
      <alignment horizontal="right" vertical="center"/>
      <protection locked="0" hidden="0"/>
    </xf>
    <xf numFmtId="1" fontId="5" fillId="6" borderId="1" applyAlignment="1" pivotButton="0" quotePrefix="0" xfId="0">
      <alignment horizontal="left" vertical="center"/>
    </xf>
    <xf numFmtId="9" fontId="5" fillId="6" borderId="1" applyAlignment="1" pivotButton="0" quotePrefix="0" xfId="0">
      <alignment horizontal="left" vertical="center"/>
    </xf>
    <xf numFmtId="0" fontId="5" fillId="0" borderId="0" applyAlignment="1" pivotButton="0" quotePrefix="0" xfId="0">
      <alignment horizontal="left" vertical="top" wrapText="1"/>
    </xf>
    <xf numFmtId="0" fontId="8" fillId="4" borderId="0" applyAlignment="1" pivotButton="0" quotePrefix="0" xfId="0">
      <alignment horizontal="left" vertical="center"/>
    </xf>
    <xf numFmtId="0" fontId="32" fillId="0" borderId="0" applyAlignment="1" pivotButton="0" quotePrefix="0" xfId="0">
      <alignment horizontal="left" vertical="center"/>
    </xf>
  </cellXfs>
  <cellStyles count="1">
    <cellStyle name="Normal" xfId="0" builtinId="0" hidden="0"/>
  </cellStyles>
  <dxfs count="6">
    <dxf>
      <font>
        <b val="1"/>
        <color rgb="0017653B"/>
      </font>
      <fill>
        <patternFill patternType="solid">
          <fgColor rgb="00D6F0E4"/>
          <bgColor rgb="00D6F0E4"/>
        </patternFill>
      </fill>
    </dxf>
    <dxf>
      <font>
        <b val="1"/>
        <color rgb="009A6A00"/>
      </font>
      <fill>
        <patternFill patternType="solid">
          <fgColor rgb="00FFF1C2"/>
          <bgColor rgb="00FFF1C2"/>
        </patternFill>
      </fill>
    </dxf>
    <dxf>
      <font>
        <b val="1"/>
        <color rgb="00B00020"/>
      </font>
      <fill>
        <patternFill patternType="solid">
          <fgColor rgb="00FBD5D5"/>
          <bgColor rgb="00FBD5D5"/>
        </patternFill>
      </fill>
    </dxf>
    <dxf>
      <font>
        <b val="1"/>
        <color rgb="005A5A7A"/>
      </font>
      <fill>
        <patternFill patternType="solid">
          <fgColor rgb="00E8E8F0"/>
          <bgColor rgb="00E8E8F0"/>
        </patternFill>
      </fill>
    </dxf>
    <dxf>
      <font>
        <i val="1"/>
        <color rgb="00A99AA3"/>
      </font>
    </dxf>
    <dxf>
      <font>
        <b val="1"/>
        <color rgb="009A4A00"/>
      </font>
      <fill>
        <patternFill patternType="solid">
          <fgColor rgb="00FFE3CF"/>
          <bgColor rgb="00FFE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Tus presupuestos según su estado</a:t>
            </a:r>
          </a:p>
        </rich>
      </tx>
    </title>
    <plotArea>
      <doughnutChart>
        <varyColors val="1"/>
        <ser>
          <idx val="0"/>
          <order val="0"/>
          <spPr>
            <a:ln xmlns:a="http://schemas.openxmlformats.org/drawingml/2006/main">
              <a:prstDash val="solid"/>
            </a:ln>
          </spPr>
          <dPt>
            <idx val="0"/>
            <spPr>
              <a:solidFill xmlns:a="http://schemas.openxmlformats.org/drawingml/2006/main">
                <a:srgbClr val="B9A5B3"/>
              </a:solidFill>
              <a:ln xmlns:a="http://schemas.openxmlformats.org/drawingml/2006/main">
                <a:prstDash val="solid"/>
              </a:ln>
            </spPr>
          </dPt>
          <dPt>
            <idx val="1"/>
            <spPr>
              <a:solidFill xmlns:a="http://schemas.openxmlformats.org/drawingml/2006/main">
                <a:srgbClr val="EDAE49"/>
              </a:solidFill>
              <a:ln xmlns:a="http://schemas.openxmlformats.org/drawingml/2006/main">
                <a:prstDash val="solid"/>
              </a:ln>
            </spPr>
          </dPt>
          <dPt>
            <idx val="2"/>
            <spPr>
              <a:solidFill xmlns:a="http://schemas.openxmlformats.org/drawingml/2006/main">
                <a:srgbClr val="2A9D8F"/>
              </a:solidFill>
              <a:ln xmlns:a="http://schemas.openxmlformats.org/drawingml/2006/main">
                <a:prstDash val="solid"/>
              </a:ln>
            </spPr>
          </dPt>
          <dPt>
            <idx val="3"/>
            <spPr>
              <a:solidFill xmlns:a="http://schemas.openxmlformats.org/drawingml/2006/main">
                <a:srgbClr val="D1495B"/>
              </a:solidFill>
              <a:ln xmlns:a="http://schemas.openxmlformats.org/drawingml/2006/main">
                <a:prstDash val="solid"/>
              </a:ln>
            </spPr>
          </dPt>
          <cat>
            <numRef>
              <f>'PANEL'!$B$16:$B$19</f>
            </numRef>
          </cat>
          <val>
            <numRef>
              <f>'PANEL'!$E$16:$E$19</f>
            </numRef>
          </val>
        </ser>
        <dLbls>
          <showVal val="0"/>
          <showCatName val="0"/>
          <showSerName val="0"/>
          <showPercent val="1"/>
          <showLeaderLines val="0"/>
        </dLbls>
        <firstSliceAng val="0"/>
        <holeSize val="55"/>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Presupuestado vs. cobrado por mes</a:t>
            </a:r>
          </a:p>
        </rich>
      </tx>
    </title>
    <plotArea>
      <barChart>
        <barDir val="col"/>
        <grouping val="clustered"/>
        <ser>
          <idx val="0"/>
          <order val="0"/>
          <tx>
            <strRef>
              <f>'PANEL'!D24</f>
            </strRef>
          </tx>
          <spPr>
            <a:solidFill xmlns:a="http://schemas.openxmlformats.org/drawingml/2006/main">
              <a:srgbClr val="D1495B"/>
            </a:solidFill>
            <a:ln xmlns:a="http://schemas.openxmlformats.org/drawingml/2006/main">
              <a:prstDash val="solid"/>
            </a:ln>
          </spPr>
          <cat>
            <numRef>
              <f>'PANEL'!$B$25:$B$36</f>
            </numRef>
          </cat>
          <val>
            <numRef>
              <f>'PANEL'!$D$25:$D$36</f>
            </numRef>
          </val>
        </ser>
        <ser>
          <idx val="1"/>
          <order val="1"/>
          <tx>
            <strRef>
              <f>'PANEL'!E24</f>
            </strRef>
          </tx>
          <spPr>
            <a:solidFill xmlns:a="http://schemas.openxmlformats.org/drawingml/2006/main">
              <a:srgbClr val="2A9D8F"/>
            </a:solidFill>
            <a:ln xmlns:a="http://schemas.openxmlformats.org/drawingml/2006/main">
              <a:prstDash val="solid"/>
            </a:ln>
          </spPr>
          <cat>
            <numRef>
              <f>'PANEL'!$B$25:$B$36</f>
            </numRef>
          </cat>
          <val>
            <numRef>
              <f>'PANEL'!$E$25:$E$36</f>
            </numRef>
          </val>
        </ser>
        <gapWidth val="60"/>
        <axId val="10"/>
        <axId val="100"/>
      </barChart>
      <catAx>
        <axId val="10"/>
        <scaling>
          <orientation val="minMax"/>
        </scaling>
        <delete val="0"/>
        <axPos val="l"/>
        <majorTickMark val="none"/>
        <minorTickMark val="none"/>
        <tickLblPos val="low"/>
        <crossAx val="100"/>
        <lblOffset val="100"/>
      </catAx>
      <valAx>
        <axId val="100"/>
        <scaling>
          <orientation val="minMax"/>
          <min val="0"/>
        </scaling>
        <delete val="0"/>
        <axPos val="l"/>
        <majorGridlines/>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13</row>
      <rowOff>0</rowOff>
    </from>
    <ext cx="4752000" cy="248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28</row>
      <rowOff>0</rowOff>
    </from>
    <ext cx="4752000" cy="273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ixshopdigital.com.py" TargetMode="External" Id="rId1"/></Relationships>
</file>

<file path=xl/worksheets/_rels/sheet2.xml.rels><Relationships xmlns="http://schemas.openxmlformats.org/package/2006/relationships"><Relationship Type="http://schemas.openxmlformats.org/officeDocument/2006/relationships/hyperlink" Target="https://mixshopdigital.com.py" TargetMode="External" Id="rId1"/></Relationships>
</file>

<file path=xl/worksheets/_rels/sheet3.xml.rels><Relationships xmlns="http://schemas.openxmlformats.org/package/2006/relationships"><Relationship Type="http://schemas.openxmlformats.org/officeDocument/2006/relationships/hyperlink" Target="https://mixshopdigital.com.py" TargetMode="External" Id="rId1"/></Relationships>
</file>

<file path=xl/worksheets/_rels/sheet4.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hyperlink" Target="https://mixshopdigital.com.py" TargetMode="External" Id="rId1"/></Relationships>
</file>

<file path=xl/worksheets/_rels/sheet6.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hyperlink" Target="https://mixshopdigital.com.py" TargetMode="External" Id="rId2"/></Relationships>
</file>

<file path=xl/worksheets/sheet1.xml><?xml version="1.0" encoding="utf-8"?>
<worksheet xmlns="http://schemas.openxmlformats.org/spreadsheetml/2006/main">
  <sheetPr>
    <tabColor rgb="00D1495B"/>
    <outlinePr summaryBelow="1" summaryRight="1"/>
    <pageSetUpPr fitToPage="1"/>
  </sheetPr>
  <dimension ref="B1:P43"/>
  <sheetViews>
    <sheetView showGridLines="0" workbookViewId="0">
      <selection activeCell="A1" sqref="A1"/>
    </sheetView>
  </sheetViews>
  <sheetFormatPr baseColWidth="8" defaultRowHeight="15"/>
  <cols>
    <col width="2" customWidth="1" min="1" max="1"/>
    <col width="6" customWidth="1" min="2" max="2"/>
    <col width="36" customWidth="1" min="3" max="3"/>
    <col width="9" customWidth="1" min="4" max="4"/>
    <col width="15" customWidth="1" min="5" max="5"/>
    <col width="11" customWidth="1" min="6" max="6"/>
    <col width="17" customWidth="1" min="7" max="7"/>
    <col hidden="1" width="13" customWidth="1" min="16" max="16"/>
  </cols>
  <sheetData>
    <row r="1" ht="30" customHeight="1">
      <c r="B1" s="1" t="inlineStr">
        <is>
          <t>MIX SHOP DIGITAL</t>
        </is>
      </c>
      <c r="D1" s="2" t="inlineStr">
        <is>
          <t>PRESUPUESTO</t>
        </is>
      </c>
    </row>
    <row r="2" ht="18" customHeight="1">
      <c r="B2" s="3" t="inlineStr">
        <is>
          <t>Herramientas inteligentes que simplifican tu vida.</t>
        </is>
      </c>
      <c r="D2" s="4" t="inlineStr">
        <is>
          <t>Armalo, imprimilo o guardalo en PDF</t>
        </is>
      </c>
    </row>
    <row r="3" ht="4" customHeight="1">
      <c r="B3" s="5" t="n"/>
    </row>
    <row r="4" ht="20" customHeight="1">
      <c r="C4" s="6" t="inlineStr">
        <is>
          <t>Completá las celdas amarillas. Los totales y el IVA se calculan solos. Para imprimir: Archivo &gt; Imprimir.</t>
        </is>
      </c>
    </row>
    <row r="5" ht="22" customHeight="1">
      <c r="B5" s="7" t="inlineStr">
        <is>
          <t>Recibo  →</t>
        </is>
      </c>
      <c r="D5" s="8" t="inlineStr">
        <is>
          <t>Historial</t>
        </is>
      </c>
      <c r="F5" s="8" t="inlineStr">
        <is>
          <t>Panel</t>
        </is>
      </c>
    </row>
    <row r="6" ht="22" customHeight="1">
      <c r="B6" s="8" t="inlineStr">
        <is>
          <t>Ajustes</t>
        </is>
      </c>
      <c r="D6" s="8" t="inlineStr">
        <is>
          <t>Ayuda</t>
        </is>
      </c>
    </row>
    <row r="7" ht="8" customHeight="1"/>
    <row r="8" ht="26" customHeight="1">
      <c r="B8" s="9">
        <f>UPPER(NombreNegocio)</f>
        <v/>
      </c>
    </row>
    <row r="9">
      <c r="B9" s="10">
        <f>IF(RucNegocio="","","RUC/C.I.: "&amp;RucNegocio&amp;"    ")&amp;IF(TelNegocio="","","Tel.: "&amp;TelNegocio&amp;"    ")&amp;DirNegocio</f>
        <v/>
      </c>
      <c r="P9">
        <f>IF($G$14="10 %",TasaGeneral,IF($G$14="5 %",TasaReducida,0))</f>
        <v/>
      </c>
    </row>
    <row r="10" ht="8" customHeight="1">
      <c r="P10">
        <f>IF(LEFT($D$15,2)="Ya",1,0)</f>
        <v/>
      </c>
    </row>
    <row r="11" ht="22" customHeight="1">
      <c r="B11" s="11" t="inlineStr">
        <is>
          <t>Presupuesto N°</t>
        </is>
      </c>
      <c r="D11" s="12" t="n"/>
      <c r="F11" s="11" t="inlineStr">
        <is>
          <t>Fecha</t>
        </is>
      </c>
      <c r="G11" s="13" t="n"/>
      <c r="P11">
        <f>SUM(G18:G29)</f>
        <v/>
      </c>
    </row>
    <row r="12" ht="22" customHeight="1">
      <c r="B12" s="11" t="inlineStr">
        <is>
          <t>Cliente</t>
        </is>
      </c>
      <c r="D12" s="14" t="n"/>
    </row>
    <row r="13" ht="22" customHeight="1">
      <c r="B13" s="11" t="inlineStr">
        <is>
          <t>RUC / C.I. del cliente</t>
        </is>
      </c>
      <c r="D13" s="15" t="n"/>
      <c r="F13" s="11" t="inlineStr">
        <is>
          <t>Teléfono</t>
        </is>
      </c>
      <c r="G13" s="16" t="n"/>
    </row>
    <row r="14" ht="22" customHeight="1">
      <c r="B14" s="11" t="inlineStr">
        <is>
          <t>Válido hasta</t>
        </is>
      </c>
      <c r="D14" s="17">
        <f>IF(N(G11)=0,"",G11+Validez)</f>
        <v/>
      </c>
      <c r="F14" s="11" t="inlineStr">
        <is>
          <t>IVA</t>
        </is>
      </c>
      <c r="G14" s="12" t="inlineStr">
        <is>
          <t>10 %</t>
        </is>
      </c>
    </row>
    <row r="15" ht="22" customHeight="1">
      <c r="B15" s="11" t="inlineStr">
        <is>
          <t>Los precios que escribo…</t>
        </is>
      </c>
      <c r="D15" s="15" t="inlineStr">
        <is>
          <t>Ya incluyen el IVA</t>
        </is>
      </c>
    </row>
    <row r="16" ht="8" customHeight="1"/>
    <row r="17" ht="22" customHeight="1">
      <c r="B17" s="7" t="inlineStr">
        <is>
          <t>N°</t>
        </is>
      </c>
      <c r="C17" s="7" t="inlineStr">
        <is>
          <t>Descripción</t>
        </is>
      </c>
      <c r="D17" s="7" t="inlineStr">
        <is>
          <t>Cant.</t>
        </is>
      </c>
      <c r="E17" s="7" t="inlineStr">
        <is>
          <t>Precio unitario</t>
        </is>
      </c>
      <c r="F17" s="7" t="inlineStr">
        <is>
          <t>Desc. %</t>
        </is>
      </c>
      <c r="G17" s="7" t="inlineStr">
        <is>
          <t>Importe</t>
        </is>
      </c>
    </row>
    <row r="18" ht="20" customHeight="1">
      <c r="B18" s="18">
        <f>IF(C18&lt;&gt;"",1,"")</f>
        <v/>
      </c>
      <c r="C18" s="14" t="n"/>
      <c r="D18" s="19" t="n"/>
      <c r="E18" s="20" t="n"/>
      <c r="F18" s="21" t="n"/>
      <c r="G18" s="22">
        <f>IF(N(E18)=0,"",ROUND(IF(N(D18)&gt;0,D18,1)*E18*(1-N(F18)),Decimales))</f>
        <v/>
      </c>
    </row>
    <row r="19" ht="20" customHeight="1">
      <c r="B19" s="23">
        <f>IF(C19&lt;&gt;"",2,"")</f>
        <v/>
      </c>
      <c r="C19" s="14" t="n"/>
      <c r="D19" s="19" t="n"/>
      <c r="E19" s="20" t="n"/>
      <c r="F19" s="21" t="n"/>
      <c r="G19" s="24">
        <f>IF(N(E19)=0,"",ROUND(IF(N(D19)&gt;0,D19,1)*E19*(1-N(F19)),Decimales))</f>
        <v/>
      </c>
    </row>
    <row r="20" ht="20" customHeight="1">
      <c r="B20" s="18">
        <f>IF(C20&lt;&gt;"",3,"")</f>
        <v/>
      </c>
      <c r="C20" s="14" t="n"/>
      <c r="D20" s="19" t="n"/>
      <c r="E20" s="20" t="n"/>
      <c r="F20" s="21" t="n"/>
      <c r="G20" s="22">
        <f>IF(N(E20)=0,"",ROUND(IF(N(D20)&gt;0,D20,1)*E20*(1-N(F20)),Decimales))</f>
        <v/>
      </c>
    </row>
    <row r="21" ht="20" customHeight="1">
      <c r="B21" s="23">
        <f>IF(C21&lt;&gt;"",4,"")</f>
        <v/>
      </c>
      <c r="C21" s="14" t="n"/>
      <c r="D21" s="19" t="n"/>
      <c r="E21" s="20" t="n"/>
      <c r="F21" s="21" t="n"/>
      <c r="G21" s="24">
        <f>IF(N(E21)=0,"",ROUND(IF(N(D21)&gt;0,D21,1)*E21*(1-N(F21)),Decimales))</f>
        <v/>
      </c>
    </row>
    <row r="22" ht="20" customHeight="1">
      <c r="B22" s="18">
        <f>IF(C22&lt;&gt;"",5,"")</f>
        <v/>
      </c>
      <c r="C22" s="14" t="n"/>
      <c r="D22" s="19" t="n"/>
      <c r="E22" s="20" t="n"/>
      <c r="F22" s="21" t="n"/>
      <c r="G22" s="22">
        <f>IF(N(E22)=0,"",ROUND(IF(N(D22)&gt;0,D22,1)*E22*(1-N(F22)),Decimales))</f>
        <v/>
      </c>
    </row>
    <row r="23" ht="20" customHeight="1">
      <c r="B23" s="23">
        <f>IF(C23&lt;&gt;"",6,"")</f>
        <v/>
      </c>
      <c r="C23" s="14" t="n"/>
      <c r="D23" s="19" t="n"/>
      <c r="E23" s="20" t="n"/>
      <c r="F23" s="21" t="n"/>
      <c r="G23" s="24">
        <f>IF(N(E23)=0,"",ROUND(IF(N(D23)&gt;0,D23,1)*E23*(1-N(F23)),Decimales))</f>
        <v/>
      </c>
    </row>
    <row r="24" ht="20" customHeight="1">
      <c r="B24" s="18">
        <f>IF(C24&lt;&gt;"",7,"")</f>
        <v/>
      </c>
      <c r="C24" s="14" t="n"/>
      <c r="D24" s="19" t="n"/>
      <c r="E24" s="20" t="n"/>
      <c r="F24" s="21" t="n"/>
      <c r="G24" s="22">
        <f>IF(N(E24)=0,"",ROUND(IF(N(D24)&gt;0,D24,1)*E24*(1-N(F24)),Decimales))</f>
        <v/>
      </c>
    </row>
    <row r="25" ht="20" customHeight="1">
      <c r="B25" s="23">
        <f>IF(C25&lt;&gt;"",8,"")</f>
        <v/>
      </c>
      <c r="C25" s="14" t="n"/>
      <c r="D25" s="19" t="n"/>
      <c r="E25" s="20" t="n"/>
      <c r="F25" s="21" t="n"/>
      <c r="G25" s="24">
        <f>IF(N(E25)=0,"",ROUND(IF(N(D25)&gt;0,D25,1)*E25*(1-N(F25)),Decimales))</f>
        <v/>
      </c>
    </row>
    <row r="26" ht="20" customHeight="1">
      <c r="B26" s="18">
        <f>IF(C26&lt;&gt;"",9,"")</f>
        <v/>
      </c>
      <c r="C26" s="14" t="n"/>
      <c r="D26" s="19" t="n"/>
      <c r="E26" s="20" t="n"/>
      <c r="F26" s="21" t="n"/>
      <c r="G26" s="22">
        <f>IF(N(E26)=0,"",ROUND(IF(N(D26)&gt;0,D26,1)*E26*(1-N(F26)),Decimales))</f>
        <v/>
      </c>
    </row>
    <row r="27" ht="20" customHeight="1">
      <c r="B27" s="23">
        <f>IF(C27&lt;&gt;"",10,"")</f>
        <v/>
      </c>
      <c r="C27" s="14" t="n"/>
      <c r="D27" s="19" t="n"/>
      <c r="E27" s="20" t="n"/>
      <c r="F27" s="21" t="n"/>
      <c r="G27" s="24">
        <f>IF(N(E27)=0,"",ROUND(IF(N(D27)&gt;0,D27,1)*E27*(1-N(F27)),Decimales))</f>
        <v/>
      </c>
    </row>
    <row r="28" ht="20" customHeight="1">
      <c r="B28" s="18">
        <f>IF(C28&lt;&gt;"",11,"")</f>
        <v/>
      </c>
      <c r="C28" s="14" t="n"/>
      <c r="D28" s="19" t="n"/>
      <c r="E28" s="20" t="n"/>
      <c r="F28" s="21" t="n"/>
      <c r="G28" s="22">
        <f>IF(N(E28)=0,"",ROUND(IF(N(D28)&gt;0,D28,1)*E28*(1-N(F28)),Decimales))</f>
        <v/>
      </c>
    </row>
    <row r="29" ht="20" customHeight="1">
      <c r="B29" s="23">
        <f>IF(C29&lt;&gt;"",12,"")</f>
        <v/>
      </c>
      <c r="C29" s="14" t="n"/>
      <c r="D29" s="19" t="n"/>
      <c r="E29" s="20" t="n"/>
      <c r="F29" s="21" t="n"/>
      <c r="G29" s="24">
        <f>IF(N(E29)=0,"",ROUND(IF(N(D29)&gt;0,D29,1)*E29*(1-N(F29)),Decimales))</f>
        <v/>
      </c>
    </row>
    <row r="30" ht="8" customHeight="1"/>
    <row r="31">
      <c r="B31" s="25" t="inlineStr">
        <is>
          <t>Condiciones y observaciones</t>
        </is>
      </c>
      <c r="E31" s="26" t="inlineStr">
        <is>
          <t>Subtotal (sin IVA)</t>
        </is>
      </c>
      <c r="G31" s="27">
        <f>IF(P10=1,P11-G32,P11)</f>
        <v/>
      </c>
    </row>
    <row r="32">
      <c r="B32" s="28" t="inlineStr">
        <is>
          <t>Forma de pago: a convenir.</t>
        </is>
      </c>
      <c r="E32" s="26">
        <f>"IVA "&amp;IF(G14="Sin IVA","",G14)</f>
        <v/>
      </c>
      <c r="G32" s="27">
        <f>IF(P9=0,0,IF(P10=1,ROUND(P11*P9/(1+P9),Decimales),ROUND(P11*P9,Decimales)))</f>
        <v/>
      </c>
    </row>
    <row r="33" ht="26" customHeight="1">
      <c r="E33" s="29">
        <f>"TOTAL "&amp;Moneda</f>
        <v/>
      </c>
      <c r="F33" s="30" t="n"/>
      <c r="G33" s="31">
        <f>G31+G32</f>
        <v/>
      </c>
    </row>
    <row r="34"/>
    <row r="35"/>
    <row r="36" ht="30" customHeight="1"/>
    <row r="37">
      <c r="B37" s="32" t="inlineStr">
        <is>
          <t>Firma del emisor</t>
        </is>
      </c>
      <c r="E37" s="32" t="inlineStr">
        <is>
          <t>Conforme del cliente</t>
        </is>
      </c>
    </row>
    <row r="39">
      <c r="B39" s="33">
        <f>IF(N(G33)=0,"Escribí los ítems y el IVA y el total se calculan solos.","✔ Presupuesto listo. Anotalo en HISTORIAL para llevar el seguimiento.")</f>
        <v/>
      </c>
    </row>
    <row r="41" ht="8" customHeight="1">
      <c r="B41" s="34" t="n"/>
    </row>
    <row r="42" ht="16" customHeight="1">
      <c r="B42" s="35" t="inlineStr">
        <is>
          <t>MIX SHOP DIGITAL  ·  Herramientas inteligentes que simplifican tu vida.</t>
        </is>
      </c>
    </row>
    <row r="43" ht="16" customHeight="1">
      <c r="B43"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34">
    <mergeCell ref="B42:G42"/>
    <mergeCell ref="D12:G12"/>
    <mergeCell ref="E33:F33"/>
    <mergeCell ref="B8:G8"/>
    <mergeCell ref="D15:G15"/>
    <mergeCell ref="B12:C12"/>
    <mergeCell ref="D6:E6"/>
    <mergeCell ref="C4:G4"/>
    <mergeCell ref="B2:C2"/>
    <mergeCell ref="B32:D35"/>
    <mergeCell ref="B11:C11"/>
    <mergeCell ref="D11:E11"/>
    <mergeCell ref="D13:E13"/>
    <mergeCell ref="F5:G5"/>
    <mergeCell ref="B9:G9"/>
    <mergeCell ref="B14:C14"/>
    <mergeCell ref="D1:G1"/>
    <mergeCell ref="B1:C1"/>
    <mergeCell ref="E31:F31"/>
    <mergeCell ref="B13:C13"/>
    <mergeCell ref="E37:G37"/>
    <mergeCell ref="B37:C37"/>
    <mergeCell ref="B41:G41"/>
    <mergeCell ref="D2:G2"/>
    <mergeCell ref="B3:G3"/>
    <mergeCell ref="B6:C6"/>
    <mergeCell ref="B15:C15"/>
    <mergeCell ref="B31:D31"/>
    <mergeCell ref="E32:F32"/>
    <mergeCell ref="B5:C5"/>
    <mergeCell ref="D5:E5"/>
    <mergeCell ref="D14:E14"/>
    <mergeCell ref="B43:G43"/>
    <mergeCell ref="B39:G39"/>
  </mergeCells>
  <dataValidations count="6">
    <dataValidation sqref="G11" showDropDown="0" showInputMessage="1" showErrorMessage="1" allowBlank="1" errorTitle="Fecha no válida" error="Escribí una fecha válida. Ej.: 15/03/2026" promptTitle="Fecha" prompt="Fecha del presupuesto. Ej.: 15/03/2026" type="date" operator="between">
      <formula1>36526</formula1>
      <formula2>73415</formula2>
    </dataValidation>
    <dataValidation sqref="G14" showDropDown="0" showInputMessage="1" showErrorMessage="1" allowBlank="0" errorTitle="Valor no válido" error="Elegí un valor de la lista desplegable." promptTitle="IVA" prompt="Elegí la tasa de IVA. «Sin IVA» si no corresponde." type="list" errorStyle="stop">
      <formula1>"Sin IVA,10 %,5 %"</formula1>
    </dataValidation>
    <dataValidation sqref="D15" showDropDown="0" showInputMessage="1" showErrorMessage="1" allowBlank="0" errorTitle="Valor no válido" error="Elegí un valor de la lista desplegable." promptTitle="Precios" prompt="¿Los precios que escribís ya tienen el IVA incluido?" type="list" errorStyle="stop">
      <formula1>"Ya incluyen el IVA,No incluyen el IVA (se suma)"</formula1>
    </dataValidation>
    <dataValidation sqref="D18:D29" showDropDown="0" showInputMessage="1" showErrorMessage="1" allowBlank="1" errorTitle="Dato no válido" error="Ingresá un número válido. No se aceptan valores negativos ni texto." promptTitle="Cantidad" prompt="Cuántas unidades. Si lo dejás vacío cuenta como 1." type="decimal" operator="greaterThanOrEqual">
      <formula1>0</formula1>
    </dataValidation>
    <dataValidation sqref="E18:E29" showDropDown="0" showInputMessage="1" showErrorMessage="1" allowBlank="1" errorTitle="Dato no válido" error="Ingresá un número válido. No se aceptan valores negativos ni texto." promptTitle="Precio unitario" prompt="Precio de una unidad, siempre positivo." type="decimal" operator="greaterThanOrEqual">
      <formula1>0</formula1>
    </dataValidation>
    <dataValidation sqref="F18:F29" showDropDown="0" showInputMessage="1" showErrorMessage="1" allowBlank="1" errorTitle="Dato no válido" error="Escribí un porcentaje entre 0 % y 100 %." promptTitle="Descuento" prompt="Descuento de esta línea. Ej.: 10 %" type="decimal" operator="between">
      <formula1>0</formula1>
      <formula2>1</formula2>
    </dataValidation>
  </dataValidations>
  <hyperlinks>
    <hyperlink ref="B5" location="'RECIBO'!A1" display="Recibo  →"/>
    <hyperlink ref="D5" location="'HISTORIAL'!A1" display="Historial"/>
    <hyperlink ref="F5" location="'PANEL'!A1" display="Panel"/>
    <hyperlink ref="B6" location="'AJUSTES'!A1" display="Ajustes"/>
    <hyperlink ref="D6" location="'AYUDA'!A1" display="Ayuda"/>
    <hyperlink xmlns:r="http://schemas.openxmlformats.org/officeDocument/2006/relationships" ref="B43" r:id="rId1"/>
  </hyperlinks>
  <printOptions horizontalCentered="1"/>
  <pageMargins left="0.75" right="0.75" top="1" bottom="1" header="0.5" footer="0.5"/>
  <pageSetup orientation="portrait" paperSize="9" fitToHeight="1" fitToWidth="1"/>
  <headerFooter>
    <oddHeader>&amp;C&amp;"Arial,Bold"&amp;14 &amp;K6B2D5CMIX SHOP DIGITAL</oddHeader>
    <oddFooter>&amp;L&amp;8 MIX SHOP DIGITAL — Herramientas inteligentes que simplifican tu vida.&amp;C&amp;8 &amp;R&amp;8 Pág. &amp;P de &amp;N</oddFooter>
    <evenHeader/>
    <evenFooter/>
    <firstHeader/>
    <firstFooter/>
  </headerFooter>
</worksheet>
</file>

<file path=xl/worksheets/sheet2.xml><?xml version="1.0" encoding="utf-8"?>
<worksheet xmlns="http://schemas.openxmlformats.org/spreadsheetml/2006/main">
  <sheetPr>
    <tabColor rgb="006B2D5C"/>
    <outlinePr summaryBelow="1" summaryRight="1"/>
    <pageSetUpPr fitToPage="1"/>
  </sheetPr>
  <dimension ref="B1:P29"/>
  <sheetViews>
    <sheetView showGridLines="0" workbookViewId="0">
      <selection activeCell="A1" sqref="A1"/>
    </sheetView>
  </sheetViews>
  <sheetFormatPr baseColWidth="8" defaultRowHeight="15"/>
  <cols>
    <col width="2" customWidth="1" min="1" max="1"/>
    <col width="6" customWidth="1" min="2" max="2"/>
    <col width="36" customWidth="1" min="3" max="3"/>
    <col width="9" customWidth="1" min="4" max="4"/>
    <col width="15" customWidth="1" min="5" max="5"/>
    <col width="11" customWidth="1" min="6" max="6"/>
    <col width="17" customWidth="1" min="7" max="7"/>
    <col hidden="1" width="13" customWidth="1" min="16" max="16"/>
  </cols>
  <sheetData>
    <row r="1" ht="30" customHeight="1">
      <c r="B1" s="1" t="inlineStr">
        <is>
          <t>MIX SHOP DIGITAL</t>
        </is>
      </c>
      <c r="D1" s="2" t="inlineStr">
        <is>
          <t>RECIBO</t>
        </is>
      </c>
    </row>
    <row r="2" ht="18" customHeight="1">
      <c r="B2" s="3" t="inlineStr">
        <is>
          <t>Herramientas inteligentes que simplifican tu vida.</t>
        </is>
      </c>
      <c r="D2" s="4" t="inlineStr">
        <is>
          <t>Constancia de pago</t>
        </is>
      </c>
    </row>
    <row r="3" ht="4" customHeight="1">
      <c r="B3" s="5" t="n"/>
    </row>
    <row r="4" ht="20" customHeight="1">
      <c r="B4" s="37" t="n"/>
      <c r="C4" s="6" t="inlineStr">
        <is>
          <t>Completá lo que quieras: si dejás celdas vacías, se toman los datos del presupuesto.</t>
        </is>
      </c>
    </row>
    <row r="5" ht="22" customHeight="1">
      <c r="B5" s="7" t="inlineStr">
        <is>
          <t>←  Presupuesto</t>
        </is>
      </c>
      <c r="D5" s="8" t="inlineStr">
        <is>
          <t>Historial</t>
        </is>
      </c>
      <c r="F5" s="8" t="inlineStr">
        <is>
          <t>Panel</t>
        </is>
      </c>
    </row>
    <row r="7">
      <c r="B7" s="38" t="inlineStr">
        <is>
          <t>1. COMPLETÁ (todo es opcional salvo el N°)</t>
        </is>
      </c>
    </row>
    <row r="8" ht="22" customHeight="1">
      <c r="B8" s="11" t="inlineStr">
        <is>
          <t>Recibo N°</t>
        </is>
      </c>
      <c r="D8" s="12" t="n"/>
      <c r="F8" s="11" t="inlineStr">
        <is>
          <t>Fecha</t>
        </is>
      </c>
      <c r="G8" s="13" t="n"/>
      <c r="P8">
        <f>IF(N(D10)&gt;0,D10,N(PRESUPUESTO!G33))</f>
        <v/>
      </c>
    </row>
    <row r="9" ht="22" customHeight="1">
      <c r="B9" s="11" t="inlineStr">
        <is>
          <t>Recibí de</t>
        </is>
      </c>
      <c r="D9" s="14" t="n"/>
    </row>
    <row r="10" ht="22" customHeight="1">
      <c r="B10" s="11" t="inlineStr">
        <is>
          <t>Monto recibido</t>
        </is>
      </c>
      <c r="D10" s="39" t="n"/>
      <c r="F10" s="11" t="inlineStr">
        <is>
          <t>Pago</t>
        </is>
      </c>
      <c r="G10" s="16" t="inlineStr">
        <is>
          <t>Efectivo</t>
        </is>
      </c>
    </row>
    <row r="11" ht="22" customHeight="1">
      <c r="B11" s="11" t="inlineStr">
        <is>
          <t>Concepto</t>
        </is>
      </c>
      <c r="D11" s="14" t="n"/>
    </row>
    <row r="12">
      <c r="B12" s="40" t="inlineStr">
        <is>
          <t>Vacío = se usan el cliente, el total y el N° del presupuesto.</t>
        </is>
      </c>
    </row>
    <row r="14">
      <c r="B14" s="41" t="inlineStr">
        <is>
          <t>2. RECIBO (lo que se imprime)</t>
        </is>
      </c>
    </row>
    <row r="15" ht="24" customHeight="1">
      <c r="B15" s="42">
        <f>UPPER(NombreNegocio)&amp;IF(RucNegocio="",""," · RUC "&amp;RucNegocio)</f>
        <v/>
      </c>
    </row>
    <row r="16" ht="30" customHeight="1">
      <c r="B16" s="43">
        <f>"RECIBO N° "&amp;IF(D8="","____",D8)</f>
        <v/>
      </c>
      <c r="E16" s="44">
        <f>IF(N(G8)=0,"Fecha: ____","Fecha: "&amp;RIGHT("0"&amp;DAY(G8),2)&amp;"/"&amp;RIGHT("0"&amp;MONTH(G8),2)&amp;"/"&amp;YEAR(G8))</f>
        <v/>
      </c>
    </row>
    <row r="17" ht="22" customHeight="1">
      <c r="B17" s="45" t="inlineStr">
        <is>
          <t>Recibí de</t>
        </is>
      </c>
      <c r="D17" s="46">
        <f>IF(D9&lt;&gt;"",D9,IF(PRESUPUESTO!D12&lt;&gt;"",PRESUPUESTO!D12,"____________________"))</f>
        <v/>
      </c>
    </row>
    <row r="18" ht="26" customHeight="1">
      <c r="B18" s="45" t="inlineStr">
        <is>
          <t>La suma de</t>
        </is>
      </c>
      <c r="D18" s="47">
        <f>FIXED(P8,Decimales)&amp;" "&amp;Moneda</f>
        <v/>
      </c>
    </row>
    <row r="19" ht="22" customHeight="1">
      <c r="B19" s="45" t="inlineStr">
        <is>
          <t>Por concepto de</t>
        </is>
      </c>
      <c r="D19" s="46">
        <f>IF(D11&lt;&gt;"",D11,IF(PRESUPUESTO!D11&lt;&gt;"","Pago del presupuesto N° "&amp;PRESUPUESTO!D11,"Pago a cuenta"))</f>
        <v/>
      </c>
    </row>
    <row r="20" ht="22" customHeight="1">
      <c r="B20" s="45" t="inlineStr">
        <is>
          <t>Forma de pago</t>
        </is>
      </c>
      <c r="D20" s="46">
        <f>IF(G10="","Efectivo",G10)</f>
        <v/>
      </c>
    </row>
    <row r="21" ht="22" customHeight="1">
      <c r="B21" s="45" t="inlineStr">
        <is>
          <t>Total del presupuesto</t>
        </is>
      </c>
      <c r="D21" s="46">
        <f>IF(N(PRESUPUESTO!G33)=0,"-",FIXED(PRESUPUESTO!G33,Decimales)&amp;" "&amp;Moneda)</f>
        <v/>
      </c>
    </row>
    <row r="22" ht="22" customHeight="1">
      <c r="B22" s="45" t="inlineStr">
        <is>
          <t>Saldo pendiente</t>
        </is>
      </c>
      <c r="D22" s="46">
        <f>IF(N(PRESUPUESTO!G33)=0,"-",IF(PRESUPUESTO!G33-P8&lt;=0,"Pago total — sin saldo",FIXED(PRESUPUESTO!G33-P8,Decimales)&amp;" "&amp;Moneda&amp;"  (pago parcial)"))</f>
        <v/>
      </c>
    </row>
    <row r="23" ht="40" customHeight="1"/>
    <row r="24" ht="18" customHeight="1">
      <c r="B24" s="32" t="inlineStr">
        <is>
          <t>Firma y aclaración</t>
        </is>
      </c>
      <c r="E24" s="32" t="inlineStr">
        <is>
          <t>Recibí conforme</t>
        </is>
      </c>
    </row>
    <row r="27" ht="8" customHeight="1">
      <c r="B27" s="34" t="n"/>
    </row>
    <row r="28" ht="16" customHeight="1">
      <c r="B28" s="35" t="inlineStr">
        <is>
          <t>MIX SHOP DIGITAL  ·  Herramientas inteligentes que simplifican tu vida.</t>
        </is>
      </c>
    </row>
    <row r="29" ht="16" customHeight="1">
      <c r="B29"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40">
    <mergeCell ref="D18:G18"/>
    <mergeCell ref="D9:G9"/>
    <mergeCell ref="D10:E10"/>
    <mergeCell ref="B14:G14"/>
    <mergeCell ref="B22:C22"/>
    <mergeCell ref="B18:C18"/>
    <mergeCell ref="B29:G29"/>
    <mergeCell ref="C4:G4"/>
    <mergeCell ref="B2:C2"/>
    <mergeCell ref="B21:C21"/>
    <mergeCell ref="B28:G28"/>
    <mergeCell ref="B11:C11"/>
    <mergeCell ref="D20:G20"/>
    <mergeCell ref="F5:G5"/>
    <mergeCell ref="D1:G1"/>
    <mergeCell ref="D19:G19"/>
    <mergeCell ref="B17:C17"/>
    <mergeCell ref="B1:C1"/>
    <mergeCell ref="B8:C8"/>
    <mergeCell ref="B15:G15"/>
    <mergeCell ref="E16:G16"/>
    <mergeCell ref="D22:G22"/>
    <mergeCell ref="B19:C19"/>
    <mergeCell ref="B10:C10"/>
    <mergeCell ref="D21:G21"/>
    <mergeCell ref="D11:G11"/>
    <mergeCell ref="B9:C9"/>
    <mergeCell ref="D2:G2"/>
    <mergeCell ref="B7:G7"/>
    <mergeCell ref="B16:D16"/>
    <mergeCell ref="B3:G3"/>
    <mergeCell ref="D8:E8"/>
    <mergeCell ref="E24:G24"/>
    <mergeCell ref="B24:C24"/>
    <mergeCell ref="D17:G17"/>
    <mergeCell ref="B5:C5"/>
    <mergeCell ref="B20:C20"/>
    <mergeCell ref="D5:E5"/>
    <mergeCell ref="B27:G27"/>
    <mergeCell ref="B12:G12"/>
  </mergeCells>
  <dataValidations count="3">
    <dataValidation sqref="G8" showDropDown="0" showInputMessage="1" showErrorMessage="1" allowBlank="1" errorTitle="Fecha no válida" error="Escribí una fecha válida. Ej.: 15/03/2026" promptTitle="Fecha" prompt="Fecha del recibo. Ej.: 15/03/2026" type="date" operator="between">
      <formula1>36526</formula1>
      <formula2>73415</formula2>
    </dataValidation>
    <dataValidation sqref="D10" showDropDown="0" showInputMessage="1" showErrorMessage="1" allowBlank="1" errorTitle="Dato no válido" error="Ingresá un número válido. No se aceptan valores negativos ni texto." promptTitle="Monto recibido" prompt="Lo que te pagaron. Si lo dejás vacío se usa el total del presupuesto." type="decimal" operator="greaterThanOrEqual">
      <formula1>0</formula1>
    </dataValidation>
    <dataValidation sqref="G10" showDropDown="0" showInputMessage="1" showErrorMessage="1" allowBlank="0" errorTitle="Valor no válido" error="Elegí un valor de la lista desplegable." promptTitle="Forma de pago" prompt="Elegí cómo te pagaron." type="list" errorStyle="stop">
      <formula1>"Efectivo,Transferencia,Cheque,Tarjeta"</formula1>
    </dataValidation>
  </dataValidations>
  <hyperlinks>
    <hyperlink ref="B5" location="'PRESUPUESTO'!A1" display="←  Presupuesto"/>
    <hyperlink ref="D5" location="'HISTORIAL'!A1" display="Historial"/>
    <hyperlink ref="F5" location="'PANEL'!A1" display="Panel"/>
    <hyperlink xmlns:r="http://schemas.openxmlformats.org/officeDocument/2006/relationships" ref="B29" r:id="rId1"/>
  </hyperlinks>
  <printOptions horizontalCentered="1"/>
  <pageMargins left="0.75" right="0.75" top="1" bottom="1" header="0.5" footer="0.5"/>
  <pageSetup orientation="portrait" paperSize="9" fitToHeight="1" fitToWidth="1"/>
  <headerFooter>
    <oddHeader>&amp;C&amp;"Arial,Bold"&amp;14 &amp;K6B2D5CMIX SHOP DIGITAL</oddHeader>
    <oddFooter>&amp;L&amp;8 MIX SHOP DIGITAL — Herramientas inteligentes que simplifican tu vida.&amp;C&amp;8 &amp;R&amp;8 Pág. &amp;P de &amp;N</oddFooter>
    <evenHeader/>
    <evenFooter/>
    <firstHeader/>
    <firstFooter/>
  </headerFooter>
</worksheet>
</file>

<file path=xl/worksheets/sheet3.xml><?xml version="1.0" encoding="utf-8"?>
<worksheet xmlns="http://schemas.openxmlformats.org/spreadsheetml/2006/main">
  <sheetPr>
    <tabColor rgb="00EDAE49"/>
    <outlinePr summaryBelow="1" summaryRight="1"/>
    <pageSetUpPr fitToPage="1"/>
  </sheetPr>
  <dimension ref="B1:G111"/>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2" customWidth="1" min="1" max="1"/>
    <col width="8" customWidth="1" min="2" max="2"/>
    <col width="13" customWidth="1" min="3" max="3"/>
    <col width="30" customWidth="1" min="4" max="4"/>
    <col width="32" customWidth="1" min="5" max="5"/>
    <col width="17" customWidth="1" min="6" max="6"/>
    <col width="14" customWidth="1" min="7" max="7"/>
  </cols>
  <sheetData>
    <row r="1" ht="30" customHeight="1">
      <c r="B1" s="1" t="inlineStr">
        <is>
          <t>MIX SHOP DIGITAL</t>
        </is>
      </c>
      <c r="E1" s="2" t="inlineStr">
        <is>
          <t>HISTORIAL</t>
        </is>
      </c>
    </row>
    <row r="2" ht="18" customHeight="1">
      <c r="B2" s="3" t="inlineStr">
        <is>
          <t>Herramientas inteligentes que simplifican tu vida.</t>
        </is>
      </c>
      <c r="E2" s="4" t="inlineStr">
        <is>
          <t>Seguimiento de tus presupuestos</t>
        </is>
      </c>
    </row>
    <row r="3" ht="4" customHeight="1">
      <c r="B3" s="5" t="n"/>
    </row>
    <row r="4" ht="20" customHeight="1">
      <c r="B4" s="37" t="n"/>
      <c r="C4" s="6" t="inlineStr">
        <is>
          <t>Una fila por presupuesto enviado. Cambiá el Estado cuando se apruebe o se cobre. Podés filtrar con la fila de títulos.</t>
        </is>
      </c>
    </row>
    <row r="5" ht="22" customHeight="1">
      <c r="B5" s="7" t="inlineStr">
        <is>
          <t>←  Presupuesto</t>
        </is>
      </c>
      <c r="D5" s="8" t="inlineStr">
        <is>
          <t>Ver panel  →</t>
        </is>
      </c>
    </row>
    <row r="6" ht="18" customHeight="1">
      <c r="B6" s="48">
        <f>"Registros: "&amp;COUNT(F8:F107)&amp;" de 100   ·   Por cobrar: "&amp;FIXED(PANEL!E17,Decimales)&amp;" "&amp;Moneda</f>
        <v/>
      </c>
    </row>
    <row r="7" ht="24" customHeight="1">
      <c r="B7" s="8" t="inlineStr">
        <is>
          <t>N°</t>
        </is>
      </c>
      <c r="C7" s="8" t="inlineStr">
        <is>
          <t>Fecha</t>
        </is>
      </c>
      <c r="D7" s="8" t="inlineStr">
        <is>
          <t>Cliente</t>
        </is>
      </c>
      <c r="E7" s="8" t="inlineStr">
        <is>
          <t>Detalle (opcional)</t>
        </is>
      </c>
      <c r="F7" s="8" t="inlineStr">
        <is>
          <t>Monto total</t>
        </is>
      </c>
      <c r="G7" s="8" t="inlineStr">
        <is>
          <t>Estado</t>
        </is>
      </c>
    </row>
    <row r="8">
      <c r="B8" s="16" t="n"/>
      <c r="C8" s="49" t="n"/>
      <c r="D8" s="50" t="n"/>
      <c r="E8" s="50" t="n"/>
      <c r="F8" s="51" t="n"/>
      <c r="G8" s="16" t="n"/>
    </row>
    <row r="9">
      <c r="B9" s="16" t="n"/>
      <c r="C9" s="49" t="n"/>
      <c r="D9" s="50" t="n"/>
      <c r="E9" s="50" t="n"/>
      <c r="F9" s="51" t="n"/>
      <c r="G9" s="16" t="n"/>
    </row>
    <row r="10">
      <c r="B10" s="16" t="n"/>
      <c r="C10" s="49" t="n"/>
      <c r="D10" s="50" t="n"/>
      <c r="E10" s="50" t="n"/>
      <c r="F10" s="51" t="n"/>
      <c r="G10" s="16" t="n"/>
    </row>
    <row r="11">
      <c r="B11" s="16" t="n"/>
      <c r="C11" s="49" t="n"/>
      <c r="D11" s="50" t="n"/>
      <c r="E11" s="50" t="n"/>
      <c r="F11" s="51" t="n"/>
      <c r="G11" s="16" t="n"/>
    </row>
    <row r="12">
      <c r="B12" s="16" t="n"/>
      <c r="C12" s="49" t="n"/>
      <c r="D12" s="50" t="n"/>
      <c r="E12" s="50" t="n"/>
      <c r="F12" s="51" t="n"/>
      <c r="G12" s="16" t="n"/>
    </row>
    <row r="13">
      <c r="B13" s="16" t="n"/>
      <c r="C13" s="49" t="n"/>
      <c r="D13" s="50" t="n"/>
      <c r="E13" s="50" t="n"/>
      <c r="F13" s="51" t="n"/>
      <c r="G13" s="16" t="n"/>
    </row>
    <row r="14">
      <c r="B14" s="16" t="n"/>
      <c r="C14" s="49" t="n"/>
      <c r="D14" s="50" t="n"/>
      <c r="E14" s="50" t="n"/>
      <c r="F14" s="51" t="n"/>
      <c r="G14" s="16" t="n"/>
    </row>
    <row r="15">
      <c r="B15" s="16" t="n"/>
      <c r="C15" s="49" t="n"/>
      <c r="D15" s="50" t="n"/>
      <c r="E15" s="50" t="n"/>
      <c r="F15" s="51" t="n"/>
      <c r="G15" s="16" t="n"/>
    </row>
    <row r="16">
      <c r="B16" s="16" t="n"/>
      <c r="C16" s="49" t="n"/>
      <c r="D16" s="50" t="n"/>
      <c r="E16" s="50" t="n"/>
      <c r="F16" s="51" t="n"/>
      <c r="G16" s="16" t="n"/>
    </row>
    <row r="17">
      <c r="B17" s="16" t="n"/>
      <c r="C17" s="49" t="n"/>
      <c r="D17" s="50" t="n"/>
      <c r="E17" s="50" t="n"/>
      <c r="F17" s="51" t="n"/>
      <c r="G17" s="16" t="n"/>
    </row>
    <row r="18">
      <c r="B18" s="16" t="n"/>
      <c r="C18" s="49" t="n"/>
      <c r="D18" s="50" t="n"/>
      <c r="E18" s="50" t="n"/>
      <c r="F18" s="51" t="n"/>
      <c r="G18" s="16" t="n"/>
    </row>
    <row r="19">
      <c r="B19" s="16" t="n"/>
      <c r="C19" s="49" t="n"/>
      <c r="D19" s="50" t="n"/>
      <c r="E19" s="50" t="n"/>
      <c r="F19" s="51" t="n"/>
      <c r="G19" s="16" t="n"/>
    </row>
    <row r="20">
      <c r="B20" s="16" t="n"/>
      <c r="C20" s="49" t="n"/>
      <c r="D20" s="50" t="n"/>
      <c r="E20" s="50" t="n"/>
      <c r="F20" s="51" t="n"/>
      <c r="G20" s="16" t="n"/>
    </row>
    <row r="21">
      <c r="B21" s="16" t="n"/>
      <c r="C21" s="49" t="n"/>
      <c r="D21" s="50" t="n"/>
      <c r="E21" s="50" t="n"/>
      <c r="F21" s="51" t="n"/>
      <c r="G21" s="16" t="n"/>
    </row>
    <row r="22">
      <c r="B22" s="16" t="n"/>
      <c r="C22" s="49" t="n"/>
      <c r="D22" s="50" t="n"/>
      <c r="E22" s="50" t="n"/>
      <c r="F22" s="51" t="n"/>
      <c r="G22" s="16" t="n"/>
    </row>
    <row r="23">
      <c r="B23" s="16" t="n"/>
      <c r="C23" s="49" t="n"/>
      <c r="D23" s="50" t="n"/>
      <c r="E23" s="50" t="n"/>
      <c r="F23" s="51" t="n"/>
      <c r="G23" s="16" t="n"/>
    </row>
    <row r="24">
      <c r="B24" s="16" t="n"/>
      <c r="C24" s="49" t="n"/>
      <c r="D24" s="50" t="n"/>
      <c r="E24" s="50" t="n"/>
      <c r="F24" s="51" t="n"/>
      <c r="G24" s="16" t="n"/>
    </row>
    <row r="25">
      <c r="B25" s="16" t="n"/>
      <c r="C25" s="49" t="n"/>
      <c r="D25" s="50" t="n"/>
      <c r="E25" s="50" t="n"/>
      <c r="F25" s="51" t="n"/>
      <c r="G25" s="16" t="n"/>
    </row>
    <row r="26">
      <c r="B26" s="16" t="n"/>
      <c r="C26" s="49" t="n"/>
      <c r="D26" s="50" t="n"/>
      <c r="E26" s="50" t="n"/>
      <c r="F26" s="51" t="n"/>
      <c r="G26" s="16" t="n"/>
    </row>
    <row r="27">
      <c r="B27" s="16" t="n"/>
      <c r="C27" s="49" t="n"/>
      <c r="D27" s="50" t="n"/>
      <c r="E27" s="50" t="n"/>
      <c r="F27" s="51" t="n"/>
      <c r="G27" s="16" t="n"/>
    </row>
    <row r="28">
      <c r="B28" s="16" t="n"/>
      <c r="C28" s="49" t="n"/>
      <c r="D28" s="50" t="n"/>
      <c r="E28" s="50" t="n"/>
      <c r="F28" s="51" t="n"/>
      <c r="G28" s="16" t="n"/>
    </row>
    <row r="29">
      <c r="B29" s="16" t="n"/>
      <c r="C29" s="49" t="n"/>
      <c r="D29" s="50" t="n"/>
      <c r="E29" s="50" t="n"/>
      <c r="F29" s="51" t="n"/>
      <c r="G29" s="16" t="n"/>
    </row>
    <row r="30">
      <c r="B30" s="16" t="n"/>
      <c r="C30" s="49" t="n"/>
      <c r="D30" s="50" t="n"/>
      <c r="E30" s="50" t="n"/>
      <c r="F30" s="51" t="n"/>
      <c r="G30" s="16" t="n"/>
    </row>
    <row r="31">
      <c r="B31" s="16" t="n"/>
      <c r="C31" s="49" t="n"/>
      <c r="D31" s="50" t="n"/>
      <c r="E31" s="50" t="n"/>
      <c r="F31" s="51" t="n"/>
      <c r="G31" s="16" t="n"/>
    </row>
    <row r="32">
      <c r="B32" s="16" t="n"/>
      <c r="C32" s="49" t="n"/>
      <c r="D32" s="50" t="n"/>
      <c r="E32" s="50" t="n"/>
      <c r="F32" s="51" t="n"/>
      <c r="G32" s="16" t="n"/>
    </row>
    <row r="33">
      <c r="B33" s="16" t="n"/>
      <c r="C33" s="49" t="n"/>
      <c r="D33" s="50" t="n"/>
      <c r="E33" s="50" t="n"/>
      <c r="F33" s="51" t="n"/>
      <c r="G33" s="16" t="n"/>
    </row>
    <row r="34">
      <c r="B34" s="16" t="n"/>
      <c r="C34" s="49" t="n"/>
      <c r="D34" s="50" t="n"/>
      <c r="E34" s="50" t="n"/>
      <c r="F34" s="51" t="n"/>
      <c r="G34" s="16" t="n"/>
    </row>
    <row r="35">
      <c r="B35" s="16" t="n"/>
      <c r="C35" s="49" t="n"/>
      <c r="D35" s="50" t="n"/>
      <c r="E35" s="50" t="n"/>
      <c r="F35" s="51" t="n"/>
      <c r="G35" s="16" t="n"/>
    </row>
    <row r="36">
      <c r="B36" s="16" t="n"/>
      <c r="C36" s="49" t="n"/>
      <c r="D36" s="50" t="n"/>
      <c r="E36" s="50" t="n"/>
      <c r="F36" s="51" t="n"/>
      <c r="G36" s="16" t="n"/>
    </row>
    <row r="37">
      <c r="B37" s="16" t="n"/>
      <c r="C37" s="49" t="n"/>
      <c r="D37" s="50" t="n"/>
      <c r="E37" s="50" t="n"/>
      <c r="F37" s="51" t="n"/>
      <c r="G37" s="16" t="n"/>
    </row>
    <row r="38">
      <c r="B38" s="16" t="n"/>
      <c r="C38" s="49" t="n"/>
      <c r="D38" s="50" t="n"/>
      <c r="E38" s="50" t="n"/>
      <c r="F38" s="51" t="n"/>
      <c r="G38" s="16" t="n"/>
    </row>
    <row r="39">
      <c r="B39" s="16" t="n"/>
      <c r="C39" s="49" t="n"/>
      <c r="D39" s="50" t="n"/>
      <c r="E39" s="50" t="n"/>
      <c r="F39" s="51" t="n"/>
      <c r="G39" s="16" t="n"/>
    </row>
    <row r="40">
      <c r="B40" s="16" t="n"/>
      <c r="C40" s="49" t="n"/>
      <c r="D40" s="50" t="n"/>
      <c r="E40" s="50" t="n"/>
      <c r="F40" s="51" t="n"/>
      <c r="G40" s="16" t="n"/>
    </row>
    <row r="41">
      <c r="B41" s="16" t="n"/>
      <c r="C41" s="49" t="n"/>
      <c r="D41" s="50" t="n"/>
      <c r="E41" s="50" t="n"/>
      <c r="F41" s="51" t="n"/>
      <c r="G41" s="16" t="n"/>
    </row>
    <row r="42">
      <c r="B42" s="16" t="n"/>
      <c r="C42" s="49" t="n"/>
      <c r="D42" s="50" t="n"/>
      <c r="E42" s="50" t="n"/>
      <c r="F42" s="51" t="n"/>
      <c r="G42" s="16" t="n"/>
    </row>
    <row r="43">
      <c r="B43" s="16" t="n"/>
      <c r="C43" s="49" t="n"/>
      <c r="D43" s="50" t="n"/>
      <c r="E43" s="50" t="n"/>
      <c r="F43" s="51" t="n"/>
      <c r="G43" s="16" t="n"/>
    </row>
    <row r="44">
      <c r="B44" s="16" t="n"/>
      <c r="C44" s="49" t="n"/>
      <c r="D44" s="50" t="n"/>
      <c r="E44" s="50" t="n"/>
      <c r="F44" s="51" t="n"/>
      <c r="G44" s="16" t="n"/>
    </row>
    <row r="45">
      <c r="B45" s="16" t="n"/>
      <c r="C45" s="49" t="n"/>
      <c r="D45" s="50" t="n"/>
      <c r="E45" s="50" t="n"/>
      <c r="F45" s="51" t="n"/>
      <c r="G45" s="16" t="n"/>
    </row>
    <row r="46">
      <c r="B46" s="16" t="n"/>
      <c r="C46" s="49" t="n"/>
      <c r="D46" s="50" t="n"/>
      <c r="E46" s="50" t="n"/>
      <c r="F46" s="51" t="n"/>
      <c r="G46" s="16" t="n"/>
    </row>
    <row r="47">
      <c r="B47" s="16" t="n"/>
      <c r="C47" s="49" t="n"/>
      <c r="D47" s="50" t="n"/>
      <c r="E47" s="50" t="n"/>
      <c r="F47" s="51" t="n"/>
      <c r="G47" s="16" t="n"/>
    </row>
    <row r="48">
      <c r="B48" s="16" t="n"/>
      <c r="C48" s="49" t="n"/>
      <c r="D48" s="50" t="n"/>
      <c r="E48" s="50" t="n"/>
      <c r="F48" s="51" t="n"/>
      <c r="G48" s="16" t="n"/>
    </row>
    <row r="49">
      <c r="B49" s="16" t="n"/>
      <c r="C49" s="49" t="n"/>
      <c r="D49" s="50" t="n"/>
      <c r="E49" s="50" t="n"/>
      <c r="F49" s="51" t="n"/>
      <c r="G49" s="16" t="n"/>
    </row>
    <row r="50">
      <c r="B50" s="16" t="n"/>
      <c r="C50" s="49" t="n"/>
      <c r="D50" s="50" t="n"/>
      <c r="E50" s="50" t="n"/>
      <c r="F50" s="51" t="n"/>
      <c r="G50" s="16" t="n"/>
    </row>
    <row r="51">
      <c r="B51" s="16" t="n"/>
      <c r="C51" s="49" t="n"/>
      <c r="D51" s="50" t="n"/>
      <c r="E51" s="50" t="n"/>
      <c r="F51" s="51" t="n"/>
      <c r="G51" s="16" t="n"/>
    </row>
    <row r="52">
      <c r="B52" s="16" t="n"/>
      <c r="C52" s="49" t="n"/>
      <c r="D52" s="50" t="n"/>
      <c r="E52" s="50" t="n"/>
      <c r="F52" s="51" t="n"/>
      <c r="G52" s="16" t="n"/>
    </row>
    <row r="53">
      <c r="B53" s="16" t="n"/>
      <c r="C53" s="49" t="n"/>
      <c r="D53" s="50" t="n"/>
      <c r="E53" s="50" t="n"/>
      <c r="F53" s="51" t="n"/>
      <c r="G53" s="16" t="n"/>
    </row>
    <row r="54">
      <c r="B54" s="16" t="n"/>
      <c r="C54" s="49" t="n"/>
      <c r="D54" s="50" t="n"/>
      <c r="E54" s="50" t="n"/>
      <c r="F54" s="51" t="n"/>
      <c r="G54" s="16" t="n"/>
    </row>
    <row r="55">
      <c r="B55" s="16" t="n"/>
      <c r="C55" s="49" t="n"/>
      <c r="D55" s="50" t="n"/>
      <c r="E55" s="50" t="n"/>
      <c r="F55" s="51" t="n"/>
      <c r="G55" s="16" t="n"/>
    </row>
    <row r="56">
      <c r="B56" s="16" t="n"/>
      <c r="C56" s="49" t="n"/>
      <c r="D56" s="50" t="n"/>
      <c r="E56" s="50" t="n"/>
      <c r="F56" s="51" t="n"/>
      <c r="G56" s="16" t="n"/>
    </row>
    <row r="57">
      <c r="B57" s="16" t="n"/>
      <c r="C57" s="49" t="n"/>
      <c r="D57" s="50" t="n"/>
      <c r="E57" s="50" t="n"/>
      <c r="F57" s="51" t="n"/>
      <c r="G57" s="16" t="n"/>
    </row>
    <row r="58">
      <c r="B58" s="16" t="n"/>
      <c r="C58" s="49" t="n"/>
      <c r="D58" s="50" t="n"/>
      <c r="E58" s="50" t="n"/>
      <c r="F58" s="51" t="n"/>
      <c r="G58" s="16" t="n"/>
    </row>
    <row r="59">
      <c r="B59" s="16" t="n"/>
      <c r="C59" s="49" t="n"/>
      <c r="D59" s="50" t="n"/>
      <c r="E59" s="50" t="n"/>
      <c r="F59" s="51" t="n"/>
      <c r="G59" s="16" t="n"/>
    </row>
    <row r="60">
      <c r="B60" s="16" t="n"/>
      <c r="C60" s="49" t="n"/>
      <c r="D60" s="50" t="n"/>
      <c r="E60" s="50" t="n"/>
      <c r="F60" s="51" t="n"/>
      <c r="G60" s="16" t="n"/>
    </row>
    <row r="61">
      <c r="B61" s="16" t="n"/>
      <c r="C61" s="49" t="n"/>
      <c r="D61" s="50" t="n"/>
      <c r="E61" s="50" t="n"/>
      <c r="F61" s="51" t="n"/>
      <c r="G61" s="16" t="n"/>
    </row>
    <row r="62">
      <c r="B62" s="16" t="n"/>
      <c r="C62" s="49" t="n"/>
      <c r="D62" s="50" t="n"/>
      <c r="E62" s="50" t="n"/>
      <c r="F62" s="51" t="n"/>
      <c r="G62" s="16" t="n"/>
    </row>
    <row r="63">
      <c r="B63" s="16" t="n"/>
      <c r="C63" s="49" t="n"/>
      <c r="D63" s="50" t="n"/>
      <c r="E63" s="50" t="n"/>
      <c r="F63" s="51" t="n"/>
      <c r="G63" s="16" t="n"/>
    </row>
    <row r="64">
      <c r="B64" s="16" t="n"/>
      <c r="C64" s="49" t="n"/>
      <c r="D64" s="50" t="n"/>
      <c r="E64" s="50" t="n"/>
      <c r="F64" s="51" t="n"/>
      <c r="G64" s="16" t="n"/>
    </row>
    <row r="65">
      <c r="B65" s="16" t="n"/>
      <c r="C65" s="49" t="n"/>
      <c r="D65" s="50" t="n"/>
      <c r="E65" s="50" t="n"/>
      <c r="F65" s="51" t="n"/>
      <c r="G65" s="16" t="n"/>
    </row>
    <row r="66">
      <c r="B66" s="16" t="n"/>
      <c r="C66" s="49" t="n"/>
      <c r="D66" s="50" t="n"/>
      <c r="E66" s="50" t="n"/>
      <c r="F66" s="51" t="n"/>
      <c r="G66" s="16" t="n"/>
    </row>
    <row r="67">
      <c r="B67" s="16" t="n"/>
      <c r="C67" s="49" t="n"/>
      <c r="D67" s="50" t="n"/>
      <c r="E67" s="50" t="n"/>
      <c r="F67" s="51" t="n"/>
      <c r="G67" s="16" t="n"/>
    </row>
    <row r="68">
      <c r="B68" s="16" t="n"/>
      <c r="C68" s="49" t="n"/>
      <c r="D68" s="50" t="n"/>
      <c r="E68" s="50" t="n"/>
      <c r="F68" s="51" t="n"/>
      <c r="G68" s="16" t="n"/>
    </row>
    <row r="69">
      <c r="B69" s="16" t="n"/>
      <c r="C69" s="49" t="n"/>
      <c r="D69" s="50" t="n"/>
      <c r="E69" s="50" t="n"/>
      <c r="F69" s="51" t="n"/>
      <c r="G69" s="16" t="n"/>
    </row>
    <row r="70">
      <c r="B70" s="16" t="n"/>
      <c r="C70" s="49" t="n"/>
      <c r="D70" s="50" t="n"/>
      <c r="E70" s="50" t="n"/>
      <c r="F70" s="51" t="n"/>
      <c r="G70" s="16" t="n"/>
    </row>
    <row r="71">
      <c r="B71" s="16" t="n"/>
      <c r="C71" s="49" t="n"/>
      <c r="D71" s="50" t="n"/>
      <c r="E71" s="50" t="n"/>
      <c r="F71" s="51" t="n"/>
      <c r="G71" s="16" t="n"/>
    </row>
    <row r="72">
      <c r="B72" s="16" t="n"/>
      <c r="C72" s="49" t="n"/>
      <c r="D72" s="50" t="n"/>
      <c r="E72" s="50" t="n"/>
      <c r="F72" s="51" t="n"/>
      <c r="G72" s="16" t="n"/>
    </row>
    <row r="73">
      <c r="B73" s="16" t="n"/>
      <c r="C73" s="49" t="n"/>
      <c r="D73" s="50" t="n"/>
      <c r="E73" s="50" t="n"/>
      <c r="F73" s="51" t="n"/>
      <c r="G73" s="16" t="n"/>
    </row>
    <row r="74">
      <c r="B74" s="16" t="n"/>
      <c r="C74" s="49" t="n"/>
      <c r="D74" s="50" t="n"/>
      <c r="E74" s="50" t="n"/>
      <c r="F74" s="51" t="n"/>
      <c r="G74" s="16" t="n"/>
    </row>
    <row r="75">
      <c r="B75" s="16" t="n"/>
      <c r="C75" s="49" t="n"/>
      <c r="D75" s="50" t="n"/>
      <c r="E75" s="50" t="n"/>
      <c r="F75" s="51" t="n"/>
      <c r="G75" s="16" t="n"/>
    </row>
    <row r="76">
      <c r="B76" s="16" t="n"/>
      <c r="C76" s="49" t="n"/>
      <c r="D76" s="50" t="n"/>
      <c r="E76" s="50" t="n"/>
      <c r="F76" s="51" t="n"/>
      <c r="G76" s="16" t="n"/>
    </row>
    <row r="77">
      <c r="B77" s="16" t="n"/>
      <c r="C77" s="49" t="n"/>
      <c r="D77" s="50" t="n"/>
      <c r="E77" s="50" t="n"/>
      <c r="F77" s="51" t="n"/>
      <c r="G77" s="16" t="n"/>
    </row>
    <row r="78">
      <c r="B78" s="16" t="n"/>
      <c r="C78" s="49" t="n"/>
      <c r="D78" s="50" t="n"/>
      <c r="E78" s="50" t="n"/>
      <c r="F78" s="51" t="n"/>
      <c r="G78" s="16" t="n"/>
    </row>
    <row r="79">
      <c r="B79" s="16" t="n"/>
      <c r="C79" s="49" t="n"/>
      <c r="D79" s="50" t="n"/>
      <c r="E79" s="50" t="n"/>
      <c r="F79" s="51" t="n"/>
      <c r="G79" s="16" t="n"/>
    </row>
    <row r="80">
      <c r="B80" s="16" t="n"/>
      <c r="C80" s="49" t="n"/>
      <c r="D80" s="50" t="n"/>
      <c r="E80" s="50" t="n"/>
      <c r="F80" s="51" t="n"/>
      <c r="G80" s="16" t="n"/>
    </row>
    <row r="81">
      <c r="B81" s="16" t="n"/>
      <c r="C81" s="49" t="n"/>
      <c r="D81" s="50" t="n"/>
      <c r="E81" s="50" t="n"/>
      <c r="F81" s="51" t="n"/>
      <c r="G81" s="16" t="n"/>
    </row>
    <row r="82">
      <c r="B82" s="16" t="n"/>
      <c r="C82" s="49" t="n"/>
      <c r="D82" s="50" t="n"/>
      <c r="E82" s="50" t="n"/>
      <c r="F82" s="51" t="n"/>
      <c r="G82" s="16" t="n"/>
    </row>
    <row r="83">
      <c r="B83" s="16" t="n"/>
      <c r="C83" s="49" t="n"/>
      <c r="D83" s="50" t="n"/>
      <c r="E83" s="50" t="n"/>
      <c r="F83" s="51" t="n"/>
      <c r="G83" s="16" t="n"/>
    </row>
    <row r="84">
      <c r="B84" s="16" t="n"/>
      <c r="C84" s="49" t="n"/>
      <c r="D84" s="50" t="n"/>
      <c r="E84" s="50" t="n"/>
      <c r="F84" s="51" t="n"/>
      <c r="G84" s="16" t="n"/>
    </row>
    <row r="85">
      <c r="B85" s="16" t="n"/>
      <c r="C85" s="49" t="n"/>
      <c r="D85" s="50" t="n"/>
      <c r="E85" s="50" t="n"/>
      <c r="F85" s="51" t="n"/>
      <c r="G85" s="16" t="n"/>
    </row>
    <row r="86">
      <c r="B86" s="16" t="n"/>
      <c r="C86" s="49" t="n"/>
      <c r="D86" s="50" t="n"/>
      <c r="E86" s="50" t="n"/>
      <c r="F86" s="51" t="n"/>
      <c r="G86" s="16" t="n"/>
    </row>
    <row r="87">
      <c r="B87" s="16" t="n"/>
      <c r="C87" s="49" t="n"/>
      <c r="D87" s="50" t="n"/>
      <c r="E87" s="50" t="n"/>
      <c r="F87" s="51" t="n"/>
      <c r="G87" s="16" t="n"/>
    </row>
    <row r="88">
      <c r="B88" s="16" t="n"/>
      <c r="C88" s="49" t="n"/>
      <c r="D88" s="50" t="n"/>
      <c r="E88" s="50" t="n"/>
      <c r="F88" s="51" t="n"/>
      <c r="G88" s="16" t="n"/>
    </row>
    <row r="89">
      <c r="B89" s="16" t="n"/>
      <c r="C89" s="49" t="n"/>
      <c r="D89" s="50" t="n"/>
      <c r="E89" s="50" t="n"/>
      <c r="F89" s="51" t="n"/>
      <c r="G89" s="16" t="n"/>
    </row>
    <row r="90">
      <c r="B90" s="16" t="n"/>
      <c r="C90" s="49" t="n"/>
      <c r="D90" s="50" t="n"/>
      <c r="E90" s="50" t="n"/>
      <c r="F90" s="51" t="n"/>
      <c r="G90" s="16" t="n"/>
    </row>
    <row r="91">
      <c r="B91" s="16" t="n"/>
      <c r="C91" s="49" t="n"/>
      <c r="D91" s="50" t="n"/>
      <c r="E91" s="50" t="n"/>
      <c r="F91" s="51" t="n"/>
      <c r="G91" s="16" t="n"/>
    </row>
    <row r="92">
      <c r="B92" s="16" t="n"/>
      <c r="C92" s="49" t="n"/>
      <c r="D92" s="50" t="n"/>
      <c r="E92" s="50" t="n"/>
      <c r="F92" s="51" t="n"/>
      <c r="G92" s="16" t="n"/>
    </row>
    <row r="93">
      <c r="B93" s="16" t="n"/>
      <c r="C93" s="49" t="n"/>
      <c r="D93" s="50" t="n"/>
      <c r="E93" s="50" t="n"/>
      <c r="F93" s="51" t="n"/>
      <c r="G93" s="16" t="n"/>
    </row>
    <row r="94">
      <c r="B94" s="16" t="n"/>
      <c r="C94" s="49" t="n"/>
      <c r="D94" s="50" t="n"/>
      <c r="E94" s="50" t="n"/>
      <c r="F94" s="51" t="n"/>
      <c r="G94" s="16" t="n"/>
    </row>
    <row r="95">
      <c r="B95" s="16" t="n"/>
      <c r="C95" s="49" t="n"/>
      <c r="D95" s="50" t="n"/>
      <c r="E95" s="50" t="n"/>
      <c r="F95" s="51" t="n"/>
      <c r="G95" s="16" t="n"/>
    </row>
    <row r="96">
      <c r="B96" s="16" t="n"/>
      <c r="C96" s="49" t="n"/>
      <c r="D96" s="50" t="n"/>
      <c r="E96" s="50" t="n"/>
      <c r="F96" s="51" t="n"/>
      <c r="G96" s="16" t="n"/>
    </row>
    <row r="97">
      <c r="B97" s="16" t="n"/>
      <c r="C97" s="49" t="n"/>
      <c r="D97" s="50" t="n"/>
      <c r="E97" s="50" t="n"/>
      <c r="F97" s="51" t="n"/>
      <c r="G97" s="16" t="n"/>
    </row>
    <row r="98">
      <c r="B98" s="16" t="n"/>
      <c r="C98" s="49" t="n"/>
      <c r="D98" s="50" t="n"/>
      <c r="E98" s="50" t="n"/>
      <c r="F98" s="51" t="n"/>
      <c r="G98" s="16" t="n"/>
    </row>
    <row r="99">
      <c r="B99" s="16" t="n"/>
      <c r="C99" s="49" t="n"/>
      <c r="D99" s="50" t="n"/>
      <c r="E99" s="50" t="n"/>
      <c r="F99" s="51" t="n"/>
      <c r="G99" s="16" t="n"/>
    </row>
    <row r="100">
      <c r="B100" s="16" t="n"/>
      <c r="C100" s="49" t="n"/>
      <c r="D100" s="50" t="n"/>
      <c r="E100" s="50" t="n"/>
      <c r="F100" s="51" t="n"/>
      <c r="G100" s="16" t="n"/>
    </row>
    <row r="101">
      <c r="B101" s="16" t="n"/>
      <c r="C101" s="49" t="n"/>
      <c r="D101" s="50" t="n"/>
      <c r="E101" s="50" t="n"/>
      <c r="F101" s="51" t="n"/>
      <c r="G101" s="16" t="n"/>
    </row>
    <row r="102">
      <c r="B102" s="16" t="n"/>
      <c r="C102" s="49" t="n"/>
      <c r="D102" s="50" t="n"/>
      <c r="E102" s="50" t="n"/>
      <c r="F102" s="51" t="n"/>
      <c r="G102" s="16" t="n"/>
    </row>
    <row r="103">
      <c r="B103" s="16" t="n"/>
      <c r="C103" s="49" t="n"/>
      <c r="D103" s="50" t="n"/>
      <c r="E103" s="50" t="n"/>
      <c r="F103" s="51" t="n"/>
      <c r="G103" s="16" t="n"/>
    </row>
    <row r="104">
      <c r="B104" s="16" t="n"/>
      <c r="C104" s="49" t="n"/>
      <c r="D104" s="50" t="n"/>
      <c r="E104" s="50" t="n"/>
      <c r="F104" s="51" t="n"/>
      <c r="G104" s="16" t="n"/>
    </row>
    <row r="105">
      <c r="B105" s="16" t="n"/>
      <c r="C105" s="49" t="n"/>
      <c r="D105" s="50" t="n"/>
      <c r="E105" s="50" t="n"/>
      <c r="F105" s="51" t="n"/>
      <c r="G105" s="16" t="n"/>
    </row>
    <row r="106">
      <c r="B106" s="16" t="n"/>
      <c r="C106" s="49" t="n"/>
      <c r="D106" s="50" t="n"/>
      <c r="E106" s="50" t="n"/>
      <c r="F106" s="51" t="n"/>
      <c r="G106" s="16" t="n"/>
    </row>
    <row r="107">
      <c r="B107" s="16" t="n"/>
      <c r="C107" s="49" t="n"/>
      <c r="D107" s="50" t="n"/>
      <c r="E107" s="50" t="n"/>
      <c r="F107" s="51" t="n"/>
      <c r="G107" s="16" t="n"/>
    </row>
    <row r="109" ht="8" customHeight="1">
      <c r="B109" s="34" t="n"/>
    </row>
    <row r="110" ht="16" customHeight="1">
      <c r="B110" s="35" t="inlineStr">
        <is>
          <t>MIX SHOP DIGITAL  ·  Herramientas inteligentes que simplifican tu vida.</t>
        </is>
      </c>
    </row>
    <row r="111" ht="16" customHeight="1">
      <c r="B111"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0" password="8CA3"/>
  <autoFilter ref="B7:G107"/>
  <mergeCells count="12">
    <mergeCell ref="B3:G3"/>
    <mergeCell ref="E2:G2"/>
    <mergeCell ref="C4:G4"/>
    <mergeCell ref="B111:G111"/>
    <mergeCell ref="B109:G109"/>
    <mergeCell ref="B1:D1"/>
    <mergeCell ref="B5:C5"/>
    <mergeCell ref="B110:G110"/>
    <mergeCell ref="D5:E5"/>
    <mergeCell ref="B2:D2"/>
    <mergeCell ref="E1:G1"/>
    <mergeCell ref="B6:G6"/>
  </mergeCells>
  <conditionalFormatting sqref="G8:G107">
    <cfRule type="expression" priority="1" dxfId="0">
      <formula>$G8="Cobrado"</formula>
    </cfRule>
    <cfRule type="expression" priority="2" dxfId="1">
      <formula>$G8="Aprobado"</formula>
    </cfRule>
    <cfRule type="expression" priority="3" dxfId="2">
      <formula>$G8="Rechazado"</formula>
    </cfRule>
    <cfRule type="expression" priority="4" dxfId="3">
      <formula>$G8="Enviado"</formula>
    </cfRule>
  </conditionalFormatting>
  <conditionalFormatting sqref="B8:F107">
    <cfRule type="expression" priority="5" dxfId="4">
      <formula>AND($C8&lt;&gt;"",YEAR($C8)&lt;&gt;AnioCtl)</formula>
    </cfRule>
  </conditionalFormatting>
  <dataValidations count="3">
    <dataValidation sqref="C8:C107" showDropDown="0" showInputMessage="1" showErrorMessage="1" allowBlank="1" errorTitle="Fecha no válida" error="Escribí una fecha válida. Ej.: 15/03/2026" promptTitle="Fecha" prompt="Fecha del presupuesto. Ej.: 15/03/2026" type="date" operator="between">
      <formula1>36526</formula1>
      <formula2>73415</formula2>
    </dataValidation>
    <dataValidation sqref="G8:G107" showDropDown="0" showInputMessage="1" showErrorMessage="1" allowBlank="1" errorTitle="Valor no válido" error="Elegí un valor de la lista desplegable." promptTitle="Estado" prompt="Enviado: esperando respuesta. Aprobado: te dijeron que sí. Cobrado: ya te pagaron. Rechazado: no siguió." type="list" errorStyle="stop">
      <formula1>"Enviado,Aprobado,Cobrado,Rechazado"</formula1>
    </dataValidation>
    <dataValidation sqref="F8:F107" showDropDown="0" showInputMessage="1" showErrorMessage="1" allowBlank="1" errorTitle="Dato no válido" error="Ingresá un número válido. No se aceptan valores negativos ni texto." promptTitle="Monto total" prompt="Total del presupuesto, siempre positivo." type="decimal" operator="greaterThanOrEqual">
      <formula1>0</formula1>
    </dataValidation>
  </dataValidations>
  <hyperlinks>
    <hyperlink ref="B5" location="'PRESUPUESTO'!A1" display="←  Presupuesto"/>
    <hyperlink ref="D5" location="'PANEL'!A1" display="Ver panel  →"/>
    <hyperlink xmlns:r="http://schemas.openxmlformats.org/officeDocument/2006/relationships" ref="B111" r:id="rId1"/>
  </hyperlinks>
  <printOptions horizontalCentered="1"/>
  <pageMargins left="0.75" right="0.75" top="1" bottom="1" header="0.5" footer="0.5"/>
  <pageSetup orientation="landscape" paperSize="9" fitToHeight="0" fitToWidth="1"/>
  <headerFooter>
    <oddHeader>&amp;C&amp;"Arial,Bold"&amp;14 &amp;K6B2D5CMIX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4.xml><?xml version="1.0" encoding="utf-8"?>
<worksheet xmlns="http://schemas.openxmlformats.org/spreadsheetml/2006/main">
  <sheetPr>
    <tabColor rgb="00D1495B"/>
    <outlinePr summaryBelow="1" summaryRight="1"/>
    <pageSetUpPr fitToPage="1"/>
  </sheetPr>
  <dimension ref="B1:M49"/>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30" customHeight="1">
      <c r="B1" s="1" t="inlineStr">
        <is>
          <t>MIX SHOP DIGITAL</t>
        </is>
      </c>
      <c r="F1" s="2" t="inlineStr">
        <is>
          <t>PANEL</t>
        </is>
      </c>
    </row>
    <row r="2" ht="18" customHeight="1">
      <c r="B2" s="3" t="inlineStr">
        <is>
          <t>Herramientas inteligentes que simplifican tu vida.</t>
        </is>
      </c>
      <c r="F2" s="4" t="inlineStr">
        <is>
          <t>Tus presupuestos de un vistazo</t>
        </is>
      </c>
    </row>
    <row r="3" ht="4" customHeight="1">
      <c r="B3" s="5" t="n"/>
    </row>
    <row r="4" ht="20" customHeight="1">
      <c r="B4" s="37" t="inlineStr">
        <is>
          <t>← VOLVER</t>
        </is>
      </c>
      <c r="C4" s="6" t="inlineStr">
        <is>
          <t>El panel se arma solo con lo que anotás en HISTORIAL. No hace falta escribir nada acá.</t>
        </is>
      </c>
    </row>
    <row r="5" ht="22" customHeight="1">
      <c r="B5" s="52" t="inlineStr">
        <is>
          <t>+ Anotar presupuesto</t>
        </is>
      </c>
      <c r="E5" s="7" t="inlineStr">
        <is>
          <t>Presupuesto</t>
        </is>
      </c>
      <c r="G5" s="8" t="inlineStr">
        <is>
          <t>Ajustes</t>
        </is>
      </c>
      <c r="I5" s="8" t="inlineStr">
        <is>
          <t>Ayuda</t>
        </is>
      </c>
    </row>
    <row r="6">
      <c r="B6" s="6">
        <f>"Año de control: "&amp;AnioCtl&amp;"   ·   "&amp;NombreNegocio</f>
        <v/>
      </c>
    </row>
    <row r="8" ht="16" customHeight="1">
      <c r="B8" s="53" t="inlineStr">
        <is>
          <t>PRESUPUESTADO</t>
        </is>
      </c>
      <c r="E8" s="54" t="inlineStr">
        <is>
          <t>POR COBRAR (aprobado)</t>
        </is>
      </c>
      <c r="H8" s="55" t="inlineStr">
        <is>
          <t>COBRADO</t>
        </is>
      </c>
      <c r="K8" s="56" t="inlineStr">
        <is>
          <t>TASA DE ÉXITO</t>
        </is>
      </c>
    </row>
    <row r="9" ht="30" customHeight="1">
      <c r="B9" s="57">
        <f>E21</f>
        <v/>
      </c>
      <c r="E9" s="58">
        <f>E17</f>
        <v/>
      </c>
      <c r="H9" s="59">
        <f>E18</f>
        <v/>
      </c>
      <c r="K9" s="60">
        <f>IF((D17+D18+D19)=0,0,(D17+D18)/(D17+D18+D19))</f>
        <v/>
      </c>
    </row>
    <row r="10" ht="15" customHeight="1">
      <c r="B10" s="61">
        <f>Moneda</f>
        <v/>
      </c>
      <c r="E10" s="62">
        <f>Moneda</f>
        <v/>
      </c>
      <c r="H10" s="63">
        <f>Moneda</f>
        <v/>
      </c>
      <c r="K10" s="64" t="inlineStr">
        <is>
          <t>aprobados ÷ respondidos</t>
        </is>
      </c>
    </row>
    <row r="11" ht="8" customHeight="1"/>
    <row r="12" ht="24" customHeight="1">
      <c r="B12" s="65">
        <f>IF(E21=0,"Anotá tus presupuestos en la hoja HISTORIAL para ver tu panel.",IF(E17&gt;0,"⚠ Tenés "&amp;FIXED(E17,Decimales)&amp;" "&amp;Moneda&amp;" aprobados esperando que los cobres.",IF(D16&gt;0,"✔ Todo lo aprobado está cobrado. Te quedan "&amp;D16&amp;" presupuesto(s) esperando respuesta.","✔ Todo lo aprobado está cobrado.")))</f>
        <v/>
      </c>
    </row>
    <row r="14">
      <c r="B14" s="38" t="inlineStr">
        <is>
          <t>POR ESTADO (año elegido)</t>
        </is>
      </c>
    </row>
    <row r="15" ht="22" customHeight="1">
      <c r="B15" s="66" t="inlineStr">
        <is>
          <t>Estado</t>
        </is>
      </c>
      <c r="D15" s="66" t="inlineStr">
        <is>
          <t>Cant.</t>
        </is>
      </c>
      <c r="E15" s="66" t="inlineStr">
        <is>
          <t>Monto</t>
        </is>
      </c>
      <c r="F15" s="66" t="inlineStr">
        <is>
          <t>%</t>
        </is>
      </c>
    </row>
    <row r="16" ht="20" customHeight="1">
      <c r="B16" s="67" t="inlineStr">
        <is>
          <t>Enviado</t>
        </is>
      </c>
      <c r="D16" s="68">
        <f>COUNTIFS(HISTORIAL!$G$8:$G$107,B16,HISTORIAL!$C$8:$C$107,"&gt;="&amp;DATE(AnioCtl,1,1),HISTORIAL!$C$8:$C$107,"&lt;"&amp;DATE(AnioCtl+1,1,1))</f>
        <v/>
      </c>
      <c r="E16" s="22">
        <f>SUMIFS(HISTORIAL!$F$8:$F$107,HISTORIAL!$G$8:$G$107,B16,HISTORIAL!$C$8:$C$107,"&gt;="&amp;DATE(AnioCtl,1,1),HISTORIAL!$C$8:$C$107,"&lt;"&amp;DATE(AnioCtl+1,1,1))</f>
        <v/>
      </c>
      <c r="F16" s="69">
        <f>IF($E$21=0,0,E16/$E$21)</f>
        <v/>
      </c>
    </row>
    <row r="17" ht="20" customHeight="1">
      <c r="B17" s="67" t="inlineStr">
        <is>
          <t>Aprobado</t>
        </is>
      </c>
      <c r="D17" s="68">
        <f>COUNTIFS(HISTORIAL!$G$8:$G$107,B17,HISTORIAL!$C$8:$C$107,"&gt;="&amp;DATE(AnioCtl,1,1),HISTORIAL!$C$8:$C$107,"&lt;"&amp;DATE(AnioCtl+1,1,1))</f>
        <v/>
      </c>
      <c r="E17" s="22">
        <f>SUMIFS(HISTORIAL!$F$8:$F$107,HISTORIAL!$G$8:$G$107,B17,HISTORIAL!$C$8:$C$107,"&gt;="&amp;DATE(AnioCtl,1,1),HISTORIAL!$C$8:$C$107,"&lt;"&amp;DATE(AnioCtl+1,1,1))</f>
        <v/>
      </c>
      <c r="F17" s="69">
        <f>IF($E$21=0,0,E17/$E$21)</f>
        <v/>
      </c>
    </row>
    <row r="18" ht="20" customHeight="1">
      <c r="B18" s="67" t="inlineStr">
        <is>
          <t>Cobrado</t>
        </is>
      </c>
      <c r="D18" s="68">
        <f>COUNTIFS(HISTORIAL!$G$8:$G$107,B18,HISTORIAL!$C$8:$C$107,"&gt;="&amp;DATE(AnioCtl,1,1),HISTORIAL!$C$8:$C$107,"&lt;"&amp;DATE(AnioCtl+1,1,1))</f>
        <v/>
      </c>
      <c r="E18" s="22">
        <f>SUMIFS(HISTORIAL!$F$8:$F$107,HISTORIAL!$G$8:$G$107,B18,HISTORIAL!$C$8:$C$107,"&gt;="&amp;DATE(AnioCtl,1,1),HISTORIAL!$C$8:$C$107,"&lt;"&amp;DATE(AnioCtl+1,1,1))</f>
        <v/>
      </c>
      <c r="F18" s="69">
        <f>IF($E$21=0,0,E18/$E$21)</f>
        <v/>
      </c>
    </row>
    <row r="19" ht="20" customHeight="1">
      <c r="B19" s="67" t="inlineStr">
        <is>
          <t>Rechazado</t>
        </is>
      </c>
      <c r="D19" s="68">
        <f>COUNTIFS(HISTORIAL!$G$8:$G$107,B19,HISTORIAL!$C$8:$C$107,"&gt;="&amp;DATE(AnioCtl,1,1),HISTORIAL!$C$8:$C$107,"&lt;"&amp;DATE(AnioCtl+1,1,1))</f>
        <v/>
      </c>
      <c r="E19" s="22">
        <f>SUMIFS(HISTORIAL!$F$8:$F$107,HISTORIAL!$G$8:$G$107,B19,HISTORIAL!$C$8:$C$107,"&gt;="&amp;DATE(AnioCtl,1,1),HISTORIAL!$C$8:$C$107,"&lt;"&amp;DATE(AnioCtl+1,1,1))</f>
        <v/>
      </c>
      <c r="F19" s="69">
        <f>IF($E$21=0,0,E19/$E$21)</f>
        <v/>
      </c>
    </row>
    <row r="20" ht="6" customHeight="1"/>
    <row r="21" ht="22" customHeight="1">
      <c r="B21" s="70" t="inlineStr">
        <is>
          <t>TOTAL</t>
        </is>
      </c>
      <c r="D21" s="71">
        <f>SUM(D16:D19)</f>
        <v/>
      </c>
      <c r="E21" s="72">
        <f>SUM(E16:E19)</f>
        <v/>
      </c>
      <c r="F21" s="73">
        <f>SUM(F16:F19)</f>
        <v/>
      </c>
    </row>
    <row r="23">
      <c r="B23" s="41" t="inlineStr">
        <is>
          <t>MES A MES</t>
        </is>
      </c>
    </row>
    <row r="24" ht="28" customHeight="1">
      <c r="B24" s="74" t="inlineStr">
        <is>
          <t>Mes</t>
        </is>
      </c>
      <c r="C24" s="74" t="inlineStr">
        <is>
          <t>Cant.</t>
        </is>
      </c>
      <c r="D24" s="74" t="inlineStr">
        <is>
          <t>Presup.</t>
        </is>
      </c>
      <c r="E24" s="74" t="inlineStr">
        <is>
          <t>Cobrado</t>
        </is>
      </c>
    </row>
    <row r="25" ht="18" customHeight="1">
      <c r="B25" s="67" t="inlineStr">
        <is>
          <t>Enero</t>
        </is>
      </c>
      <c r="C25" s="75">
        <f>COUNTIFS(HISTORIAL!$C$8:$C$107,"&gt;="&amp;DATE(AnioCtl,1,1),HISTORIAL!$C$8:$C$107,"&lt;"&amp;DATE(AnioCtl,2,1))</f>
        <v/>
      </c>
      <c r="D25" s="76">
        <f>SUMIFS(HISTORIAL!$F$8:$F$107,HISTORIAL!$C$8:$C$107,"&gt;="&amp;DATE(AnioCtl,1,1),HISTORIAL!$C$8:$C$107,"&lt;"&amp;DATE(AnioCtl,2,1))</f>
        <v/>
      </c>
      <c r="E25" s="76">
        <f>SUMIFS(HISTORIAL!$F$8:$F$107,HISTORIAL!$G$8:$G$107,"Cobrado",HISTORIAL!$C$8:$C$107,"&gt;="&amp;DATE(AnioCtl,1,1),HISTORIAL!$C$8:$C$107,"&lt;"&amp;DATE(AnioCtl,2,1))</f>
        <v/>
      </c>
    </row>
    <row r="26" ht="18" customHeight="1">
      <c r="B26" s="77" t="inlineStr">
        <is>
          <t>Febrero</t>
        </is>
      </c>
      <c r="C26" s="78">
        <f>COUNTIFS(HISTORIAL!$C$8:$C$107,"&gt;="&amp;DATE(AnioCtl,2,1),HISTORIAL!$C$8:$C$107,"&lt;"&amp;DATE(AnioCtl,3,1))</f>
        <v/>
      </c>
      <c r="D26" s="79">
        <f>SUMIFS(HISTORIAL!$F$8:$F$107,HISTORIAL!$C$8:$C$107,"&gt;="&amp;DATE(AnioCtl,2,1),HISTORIAL!$C$8:$C$107,"&lt;"&amp;DATE(AnioCtl,3,1))</f>
        <v/>
      </c>
      <c r="E26" s="79">
        <f>SUMIFS(HISTORIAL!$F$8:$F$107,HISTORIAL!$G$8:$G$107,"Cobrado",HISTORIAL!$C$8:$C$107,"&gt;="&amp;DATE(AnioCtl,2,1),HISTORIAL!$C$8:$C$107,"&lt;"&amp;DATE(AnioCtl,3,1))</f>
        <v/>
      </c>
    </row>
    <row r="27" ht="18" customHeight="1">
      <c r="B27" s="67" t="inlineStr">
        <is>
          <t>Marzo</t>
        </is>
      </c>
      <c r="C27" s="75">
        <f>COUNTIFS(HISTORIAL!$C$8:$C$107,"&gt;="&amp;DATE(AnioCtl,3,1),HISTORIAL!$C$8:$C$107,"&lt;"&amp;DATE(AnioCtl,4,1))</f>
        <v/>
      </c>
      <c r="D27" s="76">
        <f>SUMIFS(HISTORIAL!$F$8:$F$107,HISTORIAL!$C$8:$C$107,"&gt;="&amp;DATE(AnioCtl,3,1),HISTORIAL!$C$8:$C$107,"&lt;"&amp;DATE(AnioCtl,4,1))</f>
        <v/>
      </c>
      <c r="E27" s="76">
        <f>SUMIFS(HISTORIAL!$F$8:$F$107,HISTORIAL!$G$8:$G$107,"Cobrado",HISTORIAL!$C$8:$C$107,"&gt;="&amp;DATE(AnioCtl,3,1),HISTORIAL!$C$8:$C$107,"&lt;"&amp;DATE(AnioCtl,4,1))</f>
        <v/>
      </c>
    </row>
    <row r="28" ht="18" customHeight="1">
      <c r="B28" s="77" t="inlineStr">
        <is>
          <t>Abril</t>
        </is>
      </c>
      <c r="C28" s="78">
        <f>COUNTIFS(HISTORIAL!$C$8:$C$107,"&gt;="&amp;DATE(AnioCtl,4,1),HISTORIAL!$C$8:$C$107,"&lt;"&amp;DATE(AnioCtl,5,1))</f>
        <v/>
      </c>
      <c r="D28" s="79">
        <f>SUMIFS(HISTORIAL!$F$8:$F$107,HISTORIAL!$C$8:$C$107,"&gt;="&amp;DATE(AnioCtl,4,1),HISTORIAL!$C$8:$C$107,"&lt;"&amp;DATE(AnioCtl,5,1))</f>
        <v/>
      </c>
      <c r="E28" s="79">
        <f>SUMIFS(HISTORIAL!$F$8:$F$107,HISTORIAL!$G$8:$G$107,"Cobrado",HISTORIAL!$C$8:$C$107,"&gt;="&amp;DATE(AnioCtl,4,1),HISTORIAL!$C$8:$C$107,"&lt;"&amp;DATE(AnioCtl,5,1))</f>
        <v/>
      </c>
    </row>
    <row r="29" ht="18" customHeight="1">
      <c r="B29" s="67" t="inlineStr">
        <is>
          <t>Mayo</t>
        </is>
      </c>
      <c r="C29" s="75">
        <f>COUNTIFS(HISTORIAL!$C$8:$C$107,"&gt;="&amp;DATE(AnioCtl,5,1),HISTORIAL!$C$8:$C$107,"&lt;"&amp;DATE(AnioCtl,6,1))</f>
        <v/>
      </c>
      <c r="D29" s="76">
        <f>SUMIFS(HISTORIAL!$F$8:$F$107,HISTORIAL!$C$8:$C$107,"&gt;="&amp;DATE(AnioCtl,5,1),HISTORIAL!$C$8:$C$107,"&lt;"&amp;DATE(AnioCtl,6,1))</f>
        <v/>
      </c>
      <c r="E29" s="76">
        <f>SUMIFS(HISTORIAL!$F$8:$F$107,HISTORIAL!$G$8:$G$107,"Cobrado",HISTORIAL!$C$8:$C$107,"&gt;="&amp;DATE(AnioCtl,5,1),HISTORIAL!$C$8:$C$107,"&lt;"&amp;DATE(AnioCtl,6,1))</f>
        <v/>
      </c>
    </row>
    <row r="30" ht="18" customHeight="1">
      <c r="B30" s="77" t="inlineStr">
        <is>
          <t>Junio</t>
        </is>
      </c>
      <c r="C30" s="78">
        <f>COUNTIFS(HISTORIAL!$C$8:$C$107,"&gt;="&amp;DATE(AnioCtl,6,1),HISTORIAL!$C$8:$C$107,"&lt;"&amp;DATE(AnioCtl,7,1))</f>
        <v/>
      </c>
      <c r="D30" s="79">
        <f>SUMIFS(HISTORIAL!$F$8:$F$107,HISTORIAL!$C$8:$C$107,"&gt;="&amp;DATE(AnioCtl,6,1),HISTORIAL!$C$8:$C$107,"&lt;"&amp;DATE(AnioCtl,7,1))</f>
        <v/>
      </c>
      <c r="E30" s="79">
        <f>SUMIFS(HISTORIAL!$F$8:$F$107,HISTORIAL!$G$8:$G$107,"Cobrado",HISTORIAL!$C$8:$C$107,"&gt;="&amp;DATE(AnioCtl,6,1),HISTORIAL!$C$8:$C$107,"&lt;"&amp;DATE(AnioCtl,7,1))</f>
        <v/>
      </c>
    </row>
    <row r="31" ht="18" customHeight="1">
      <c r="B31" s="67" t="inlineStr">
        <is>
          <t>Julio</t>
        </is>
      </c>
      <c r="C31" s="75">
        <f>COUNTIFS(HISTORIAL!$C$8:$C$107,"&gt;="&amp;DATE(AnioCtl,7,1),HISTORIAL!$C$8:$C$107,"&lt;"&amp;DATE(AnioCtl,8,1))</f>
        <v/>
      </c>
      <c r="D31" s="76">
        <f>SUMIFS(HISTORIAL!$F$8:$F$107,HISTORIAL!$C$8:$C$107,"&gt;="&amp;DATE(AnioCtl,7,1),HISTORIAL!$C$8:$C$107,"&lt;"&amp;DATE(AnioCtl,8,1))</f>
        <v/>
      </c>
      <c r="E31" s="76">
        <f>SUMIFS(HISTORIAL!$F$8:$F$107,HISTORIAL!$G$8:$G$107,"Cobrado",HISTORIAL!$C$8:$C$107,"&gt;="&amp;DATE(AnioCtl,7,1),HISTORIAL!$C$8:$C$107,"&lt;"&amp;DATE(AnioCtl,8,1))</f>
        <v/>
      </c>
    </row>
    <row r="32" ht="18" customHeight="1">
      <c r="B32" s="77" t="inlineStr">
        <is>
          <t>Agosto</t>
        </is>
      </c>
      <c r="C32" s="78">
        <f>COUNTIFS(HISTORIAL!$C$8:$C$107,"&gt;="&amp;DATE(AnioCtl,8,1),HISTORIAL!$C$8:$C$107,"&lt;"&amp;DATE(AnioCtl,9,1))</f>
        <v/>
      </c>
      <c r="D32" s="79">
        <f>SUMIFS(HISTORIAL!$F$8:$F$107,HISTORIAL!$C$8:$C$107,"&gt;="&amp;DATE(AnioCtl,8,1),HISTORIAL!$C$8:$C$107,"&lt;"&amp;DATE(AnioCtl,9,1))</f>
        <v/>
      </c>
      <c r="E32" s="79">
        <f>SUMIFS(HISTORIAL!$F$8:$F$107,HISTORIAL!$G$8:$G$107,"Cobrado",HISTORIAL!$C$8:$C$107,"&gt;="&amp;DATE(AnioCtl,8,1),HISTORIAL!$C$8:$C$107,"&lt;"&amp;DATE(AnioCtl,9,1))</f>
        <v/>
      </c>
    </row>
    <row r="33" ht="18" customHeight="1">
      <c r="B33" s="67" t="inlineStr">
        <is>
          <t>Septiembre</t>
        </is>
      </c>
      <c r="C33" s="75">
        <f>COUNTIFS(HISTORIAL!$C$8:$C$107,"&gt;="&amp;DATE(AnioCtl,9,1),HISTORIAL!$C$8:$C$107,"&lt;"&amp;DATE(AnioCtl,10,1))</f>
        <v/>
      </c>
      <c r="D33" s="76">
        <f>SUMIFS(HISTORIAL!$F$8:$F$107,HISTORIAL!$C$8:$C$107,"&gt;="&amp;DATE(AnioCtl,9,1),HISTORIAL!$C$8:$C$107,"&lt;"&amp;DATE(AnioCtl,10,1))</f>
        <v/>
      </c>
      <c r="E33" s="76">
        <f>SUMIFS(HISTORIAL!$F$8:$F$107,HISTORIAL!$G$8:$G$107,"Cobrado",HISTORIAL!$C$8:$C$107,"&gt;="&amp;DATE(AnioCtl,9,1),HISTORIAL!$C$8:$C$107,"&lt;"&amp;DATE(AnioCtl,10,1))</f>
        <v/>
      </c>
    </row>
    <row r="34" ht="18" customHeight="1">
      <c r="B34" s="77" t="inlineStr">
        <is>
          <t>Octubre</t>
        </is>
      </c>
      <c r="C34" s="78">
        <f>COUNTIFS(HISTORIAL!$C$8:$C$107,"&gt;="&amp;DATE(AnioCtl,10,1),HISTORIAL!$C$8:$C$107,"&lt;"&amp;DATE(AnioCtl,11,1))</f>
        <v/>
      </c>
      <c r="D34" s="79">
        <f>SUMIFS(HISTORIAL!$F$8:$F$107,HISTORIAL!$C$8:$C$107,"&gt;="&amp;DATE(AnioCtl,10,1),HISTORIAL!$C$8:$C$107,"&lt;"&amp;DATE(AnioCtl,11,1))</f>
        <v/>
      </c>
      <c r="E34" s="79">
        <f>SUMIFS(HISTORIAL!$F$8:$F$107,HISTORIAL!$G$8:$G$107,"Cobrado",HISTORIAL!$C$8:$C$107,"&gt;="&amp;DATE(AnioCtl,10,1),HISTORIAL!$C$8:$C$107,"&lt;"&amp;DATE(AnioCtl,11,1))</f>
        <v/>
      </c>
    </row>
    <row r="35" ht="18" customHeight="1">
      <c r="B35" s="67" t="inlineStr">
        <is>
          <t>Noviembre</t>
        </is>
      </c>
      <c r="C35" s="75">
        <f>COUNTIFS(HISTORIAL!$C$8:$C$107,"&gt;="&amp;DATE(AnioCtl,11,1),HISTORIAL!$C$8:$C$107,"&lt;"&amp;DATE(AnioCtl,12,1))</f>
        <v/>
      </c>
      <c r="D35" s="76">
        <f>SUMIFS(HISTORIAL!$F$8:$F$107,HISTORIAL!$C$8:$C$107,"&gt;="&amp;DATE(AnioCtl,11,1),HISTORIAL!$C$8:$C$107,"&lt;"&amp;DATE(AnioCtl,12,1))</f>
        <v/>
      </c>
      <c r="E35" s="76">
        <f>SUMIFS(HISTORIAL!$F$8:$F$107,HISTORIAL!$G$8:$G$107,"Cobrado",HISTORIAL!$C$8:$C$107,"&gt;="&amp;DATE(AnioCtl,11,1),HISTORIAL!$C$8:$C$107,"&lt;"&amp;DATE(AnioCtl,12,1))</f>
        <v/>
      </c>
    </row>
    <row r="36" ht="18" customHeight="1">
      <c r="B36" s="77" t="inlineStr">
        <is>
          <t>Diciembre</t>
        </is>
      </c>
      <c r="C36" s="78">
        <f>COUNTIFS(HISTORIAL!$C$8:$C$107,"&gt;="&amp;DATE(AnioCtl,12,1),HISTORIAL!$C$8:$C$107,"&lt;"&amp;DATE(AnioCtl,13,1))</f>
        <v/>
      </c>
      <c r="D36" s="79">
        <f>SUMIFS(HISTORIAL!$F$8:$F$107,HISTORIAL!$C$8:$C$107,"&gt;="&amp;DATE(AnioCtl,12,1),HISTORIAL!$C$8:$C$107,"&lt;"&amp;DATE(AnioCtl,13,1))</f>
        <v/>
      </c>
      <c r="E36" s="79">
        <f>SUMIFS(HISTORIAL!$F$8:$F$107,HISTORIAL!$G$8:$G$107,"Cobrado",HISTORIAL!$C$8:$C$107,"&gt;="&amp;DATE(AnioCtl,12,1),HISTORIAL!$C$8:$C$107,"&lt;"&amp;DATE(AnioCtl,13,1))</f>
        <v/>
      </c>
    </row>
    <row r="37" ht="22" customHeight="1">
      <c r="B37" s="80" t="inlineStr">
        <is>
          <t>TOTAL</t>
        </is>
      </c>
      <c r="C37" s="81">
        <f>SUM(C25:C36)</f>
        <v/>
      </c>
      <c r="D37" s="82">
        <f>SUM(D25:D36)</f>
        <v/>
      </c>
      <c r="E37" s="82">
        <f>SUM(E25:E36)</f>
        <v/>
      </c>
    </row>
    <row r="47" ht="8" customHeight="1">
      <c r="B47" s="34" t="n"/>
    </row>
    <row r="48" ht="16" customHeight="1">
      <c r="B48" s="35" t="inlineStr">
        <is>
          <t>MIX SHOP DIGITAL  ·  Herramientas inteligentes que simplifican tu vida.</t>
        </is>
      </c>
    </row>
    <row r="49" ht="16" customHeight="1">
      <c r="B49"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35">
    <mergeCell ref="E10:G10"/>
    <mergeCell ref="B48:M48"/>
    <mergeCell ref="B16:C16"/>
    <mergeCell ref="B8:D8"/>
    <mergeCell ref="E5:F5"/>
    <mergeCell ref="E9:G9"/>
    <mergeCell ref="B18:C18"/>
    <mergeCell ref="B10:D10"/>
    <mergeCell ref="K8:M8"/>
    <mergeCell ref="B21:C21"/>
    <mergeCell ref="C4:M4"/>
    <mergeCell ref="B9:D9"/>
    <mergeCell ref="B23:F23"/>
    <mergeCell ref="B14:F14"/>
    <mergeCell ref="B17:C17"/>
    <mergeCell ref="B49:M49"/>
    <mergeCell ref="B6:M6"/>
    <mergeCell ref="F2:M2"/>
    <mergeCell ref="B5:D5"/>
    <mergeCell ref="K10:M10"/>
    <mergeCell ref="B19:C19"/>
    <mergeCell ref="G5:H5"/>
    <mergeCell ref="H8:J8"/>
    <mergeCell ref="I5:J5"/>
    <mergeCell ref="B2:E2"/>
    <mergeCell ref="B47:M47"/>
    <mergeCell ref="B1:E1"/>
    <mergeCell ref="H10:J10"/>
    <mergeCell ref="B15:C15"/>
    <mergeCell ref="B3:M3"/>
    <mergeCell ref="K9:M9"/>
    <mergeCell ref="E8:G8"/>
    <mergeCell ref="H9:J9"/>
    <mergeCell ref="F1:M1"/>
    <mergeCell ref="B12:M12"/>
  </mergeCells>
  <conditionalFormatting sqref="B12:M12">
    <cfRule type="expression" priority="1" dxfId="2" stopIfTrue="1">
      <formula>ISNUMBER(SEARCH("érdida",$B$12))+ISNUMBER(SEARCH("NO conviene",$B$12))+ISNUMBER(SEARCH("por debajo",$B$12))&gt;0</formula>
    </cfRule>
    <cfRule type="expression" priority="2" dxfId="5" stopIfTrue="1">
      <formula>LEFT($B$12,1)="⚠"</formula>
    </cfRule>
    <cfRule type="expression" priority="3" dxfId="0">
      <formula>LEFT($B$12,1)="✔"</formula>
    </cfRule>
  </conditionalFormatting>
  <conditionalFormatting sqref="D25:D36">
    <cfRule type="dataBar" priority="4">
      <dataBar showValue="1">
        <cfvo type="num" val="0"/>
        <cfvo type="max"/>
        <color rgb="00E7A3B5"/>
      </dataBar>
    </cfRule>
  </conditionalFormatting>
  <conditionalFormatting sqref="E25:E36">
    <cfRule type="dataBar" priority="5">
      <dataBar showValue="1">
        <cfvo type="num" val="0"/>
        <cfvo type="max"/>
        <color rgb="008FD3C8"/>
      </dataBar>
    </cfRule>
  </conditionalFormatting>
  <hyperlinks>
    <hyperlink ref="B4" location="'PRESUPUESTO'!A1" display="← VOLVER"/>
    <hyperlink ref="B5" location="'HISTORIAL'!A1" display="+ Anotar presupuesto"/>
    <hyperlink ref="E5" location="'PRESUPUESTO'!A1" display="Presupuesto"/>
    <hyperlink ref="G5" location="'AJUSTES'!A1" display="Ajustes"/>
    <hyperlink ref="I5" location="'AYUDA'!A1" display="Ayuda"/>
    <hyperlink xmlns:r="http://schemas.openxmlformats.org/officeDocument/2006/relationships" ref="B49" r:id="rId1"/>
  </hyperlinks>
  <printOptions horizontalCentered="1"/>
  <pageMargins left="0.75" right="0.75" top="1" bottom="1" header="0.5" footer="0.5"/>
  <pageSetup orientation="portrait" paperSize="9" fitToHeight="0" fitToWidth="1"/>
  <headerFooter>
    <oddHeader>&amp;C&amp;"Arial,Bold"&amp;14 &amp;K6B2D5CMIX SHOP DIGITAL</oddHeader>
    <oddFooter>&amp;L&amp;8 MIX SHOP DIGITAL — Herramientas inteligentes que simplifican tu vida.&amp;C&amp;8 &amp;R&amp;8 Pág. &amp;P de &amp;N</oddFooter>
    <evenHeader/>
    <evenFooter/>
    <firstHeader/>
    <firstFooter/>
  </headerFooter>
  <drawing xmlns:r="http://schemas.openxmlformats.org/officeDocument/2006/relationships" r:id="rId2"/>
</worksheet>
</file>

<file path=xl/worksheets/sheet5.xml><?xml version="1.0" encoding="utf-8"?>
<worksheet xmlns="http://schemas.openxmlformats.org/spreadsheetml/2006/main">
  <sheetPr>
    <tabColor rgb="00D1495B"/>
    <outlinePr summaryBelow="1" summaryRight="1"/>
    <pageSetUpPr fitToPage="1"/>
  </sheetPr>
  <dimension ref="B1:D23"/>
  <sheetViews>
    <sheetView showGridLines="0" workbookViewId="0">
      <selection activeCell="A1" sqref="A1"/>
    </sheetView>
  </sheetViews>
  <sheetFormatPr baseColWidth="8" defaultRowHeight="15"/>
  <cols>
    <col width="2" customWidth="1" min="1" max="1"/>
    <col width="38" customWidth="1" min="2" max="2"/>
    <col width="38" customWidth="1" min="3" max="3"/>
    <col width="56" customWidth="1" min="4" max="4"/>
  </cols>
  <sheetData>
    <row r="1" ht="30" customHeight="1">
      <c r="B1" s="1" t="inlineStr">
        <is>
          <t>MIX SHOP DIGITAL</t>
        </is>
      </c>
      <c r="C1" s="2" t="inlineStr">
        <is>
          <t>AJUSTES</t>
        </is>
      </c>
    </row>
    <row r="2" ht="18" customHeight="1">
      <c r="B2" s="3" t="inlineStr">
        <is>
          <t>Herramientas inteligentes que simplifican tu vida.</t>
        </is>
      </c>
      <c r="C2" s="4" t="inlineStr">
        <is>
          <t>Cargalos una sola vez</t>
        </is>
      </c>
    </row>
    <row r="3" ht="4" customHeight="1">
      <c r="B3" s="5" t="n"/>
    </row>
    <row r="4" ht="20" customHeight="1">
      <c r="B4" s="37" t="inlineStr">
        <is>
          <t>← VOLVER</t>
        </is>
      </c>
      <c r="C4" s="6" t="inlineStr">
        <is>
          <t>Completá solamente las celdas amarillas. Estos datos aparecen en tus presupuestos y recibos.</t>
        </is>
      </c>
    </row>
    <row r="6">
      <c r="B6" s="38" t="inlineStr">
        <is>
          <t>1. TU NEGOCIO</t>
        </is>
      </c>
    </row>
    <row r="7" ht="24" customHeight="1">
      <c r="B7" s="83" t="inlineStr">
        <is>
          <t>Nombre del negocio</t>
        </is>
      </c>
      <c r="C7" s="14" t="inlineStr">
        <is>
          <t>Mi negocio</t>
        </is>
      </c>
      <c r="D7" s="84" t="inlineStr">
        <is>
          <t>Aparece arriba en el presupuesto y el recibo.</t>
        </is>
      </c>
    </row>
    <row r="8" ht="24" customHeight="1">
      <c r="B8" s="83" t="inlineStr">
        <is>
          <t>RUC o C.I.</t>
        </is>
      </c>
      <c r="C8" s="14" t="n"/>
      <c r="D8" s="84" t="inlineStr">
        <is>
          <t>Opcional.</t>
        </is>
      </c>
    </row>
    <row r="9" ht="24" customHeight="1">
      <c r="B9" s="83" t="inlineStr">
        <is>
          <t>Teléfono</t>
        </is>
      </c>
      <c r="C9" s="14" t="n"/>
      <c r="D9" s="84" t="inlineStr">
        <is>
          <t>Opcional.</t>
        </is>
      </c>
    </row>
    <row r="10" ht="24" customHeight="1">
      <c r="B10" s="83" t="inlineStr">
        <is>
          <t>Dirección o ciudad</t>
        </is>
      </c>
      <c r="C10" s="14" t="n"/>
      <c r="D10" s="84" t="inlineStr">
        <is>
          <t>Opcional.</t>
        </is>
      </c>
    </row>
    <row r="11" ht="24" customHeight="1">
      <c r="B11" s="83" t="inlineStr">
        <is>
          <t>Moneda</t>
        </is>
      </c>
      <c r="C11" s="14" t="inlineStr">
        <is>
          <t>Gs.</t>
        </is>
      </c>
      <c r="D11" s="84" t="inlineStr">
        <is>
          <t>Símbolo que se muestra en las hojas.</t>
        </is>
      </c>
    </row>
    <row r="12" ht="24" customHeight="1">
      <c r="B12" s="83" t="inlineStr">
        <is>
          <t>Año a controlar</t>
        </is>
      </c>
      <c r="C12" s="85" t="n">
        <v>2026</v>
      </c>
      <c r="D12" s="84" t="inlineStr">
        <is>
          <t>El PANEL muestra los 12 meses de este año.</t>
        </is>
      </c>
    </row>
    <row r="13" ht="24" customHeight="1">
      <c r="B13" s="83" t="inlineStr">
        <is>
          <t>Validez del presupuesto (días)</t>
        </is>
      </c>
      <c r="C13" s="85" t="n">
        <v>15</v>
      </c>
      <c r="D13" s="84" t="inlineStr">
        <is>
          <t>Se usa para calcular la fecha «Válido hasta».</t>
        </is>
      </c>
    </row>
    <row r="14">
      <c r="B14" s="83" t="inlineStr">
        <is>
          <t>Decimales (automático)</t>
        </is>
      </c>
      <c r="C14" s="86">
        <f>IF(Moneda="Gs.",0,2)</f>
        <v/>
      </c>
      <c r="D14" s="6" t="inlineStr">
        <is>
          <t>El guaraní no usa decimales; otras monedas usan 2.</t>
        </is>
      </c>
    </row>
    <row r="16">
      <c r="B16" s="41" t="inlineStr">
        <is>
          <t>2. TASAS DE IVA (fijadas por ley)</t>
        </is>
      </c>
    </row>
    <row r="17">
      <c r="B17" s="83" t="inlineStr">
        <is>
          <t>Tasa general</t>
        </is>
      </c>
      <c r="C17" s="87" t="n">
        <v>0.1</v>
      </c>
      <c r="D17" s="6" t="inlineStr">
        <is>
          <t>10 % — Ley 125/91, modificada por la Ley 6380/2019.</t>
        </is>
      </c>
    </row>
    <row r="18">
      <c r="B18" s="83" t="inlineStr">
        <is>
          <t>Tasa reducida</t>
        </is>
      </c>
      <c r="C18" s="87" t="n">
        <v>0.05</v>
      </c>
      <c r="D18" s="6" t="inlineStr">
        <is>
          <t>5 % — productos y servicios con tasa reducida.</t>
        </is>
      </c>
    </row>
    <row r="21" ht="8" customHeight="1">
      <c r="B21" s="34" t="n"/>
    </row>
    <row r="22" ht="16" customHeight="1">
      <c r="B22" s="35" t="inlineStr">
        <is>
          <t>MIX SHOP DIGITAL  ·  Herramientas inteligentes que simplifican tu vida.</t>
        </is>
      </c>
    </row>
    <row r="23" ht="16" customHeight="1">
      <c r="B23"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9">
    <mergeCell ref="B3:D3"/>
    <mergeCell ref="C2:D2"/>
    <mergeCell ref="C1:D1"/>
    <mergeCell ref="B23:D23"/>
    <mergeCell ref="B22:D22"/>
    <mergeCell ref="B21:D21"/>
    <mergeCell ref="B6:D6"/>
    <mergeCell ref="B16:D16"/>
    <mergeCell ref="C4:D4"/>
  </mergeCells>
  <dataValidations count="3">
    <dataValidation sqref="C11" showDropDown="0" showInputMessage="1" showErrorMessage="1" allowBlank="1" errorTitle="Valor no válido" error="Elegí un valor de la lista desplegable." promptTitle="Moneda" prompt="Elegí la moneda que usás." type="list" errorStyle="stop">
      <formula1>"Gs.,US$,R$,ARS $,€"</formula1>
    </dataValidation>
    <dataValidation sqref="C12" showDropDown="0" showInputMessage="1" showErrorMessage="1" allowBlank="1" errorTitle="Dato no válido" error="Escribí un año entre 2000 y 2100." promptTitle="Año" prompt="Escribí el año que querés controlar. Ej.: 2026" type="whole" operator="between">
      <formula1>2000</formula1>
      <formula2>2100</formula2>
    </dataValidation>
    <dataValidation sqref="C13" showDropDown="0" showInputMessage="1" showErrorMessage="1" allowBlank="1" errorTitle="Dato no válido" error="Escribí un número de días entre 1 y 365." promptTitle="Validez" prompt="Cantidad de días que vale el presupuesto. Ej.: 15" type="whole" operator="between">
      <formula1>1</formula1>
      <formula2>365</formula2>
    </dataValidation>
  </dataValidations>
  <hyperlinks>
    <hyperlink ref="B4" location="'PRESUPUESTO'!A1" display="← VOLVER"/>
    <hyperlink xmlns:r="http://schemas.openxmlformats.org/officeDocument/2006/relationships" ref="B23" r:id="rId1"/>
  </hyperlinks>
  <printOptions horizontalCentered="1"/>
  <pageMargins left="0.75" right="0.75" top="1" bottom="1" header="0.5" footer="0.5"/>
  <pageSetup orientation="landscape" paperSize="9" fitToHeight="1" fitToWidth="1"/>
  <headerFooter>
    <oddHeader>&amp;C&amp;"Arial,Bold"&amp;14 &amp;K6B2D5CMIX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6.xml><?xml version="1.0" encoding="utf-8"?>
<worksheet xmlns="http://schemas.openxmlformats.org/spreadsheetml/2006/main">
  <sheetPr>
    <tabColor rgb="006B2D5C"/>
    <outlinePr summaryBelow="1" summaryRight="1"/>
    <pageSetUpPr fitToPage="1"/>
  </sheetPr>
  <dimension ref="B1:H35"/>
  <sheetViews>
    <sheetView showGridLines="0" workbookViewId="0">
      <selection activeCell="A1" sqref="A1"/>
    </sheetView>
  </sheetViews>
  <sheetFormatPr baseColWidth="8" defaultRowHeight="15"/>
  <cols>
    <col width="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B1" s="1" t="inlineStr">
        <is>
          <t>MIX SHOP DIGITAL</t>
        </is>
      </c>
      <c r="D1" s="2" t="inlineStr">
        <is>
          <t>AYUDA</t>
        </is>
      </c>
    </row>
    <row r="2" ht="18" customHeight="1">
      <c r="B2" s="3" t="inlineStr">
        <is>
          <t>Herramientas inteligentes que simplifican tu vida.</t>
        </is>
      </c>
      <c r="D2" s="4" t="inlineStr">
        <is>
          <t>Se aprende en 2 minutos</t>
        </is>
      </c>
    </row>
    <row r="3" ht="4" customHeight="1">
      <c r="B3" s="5" t="n"/>
    </row>
    <row r="4" ht="20" customHeight="1">
      <c r="B4" s="37" t="inlineStr">
        <is>
          <t>← VOLVER</t>
        </is>
      </c>
      <c r="C4" s="6" t="inlineStr">
        <is>
          <t>Leé esta hoja una vez. Después ya no la vas a necesitar.</t>
        </is>
      </c>
    </row>
    <row r="6">
      <c r="B6" s="38" t="inlineStr">
        <is>
          <t>¿PARA QUÉ SIRVE?</t>
        </is>
      </c>
    </row>
    <row r="7" ht="33" customHeight="1">
      <c r="B7" s="88" t="inlineStr">
        <is>
          <t>Para armar un presupuesto prolijo, darle un recibo a tu cliente y saber cuánto tenés enviado, aprobado y cobrado. Sin fórmulas y sin Internet.</t>
        </is>
      </c>
    </row>
    <row r="9">
      <c r="B9" s="41" t="inlineStr">
        <is>
          <t>EMPEZÁ EN 4 PASOS</t>
        </is>
      </c>
    </row>
    <row r="10" ht="18.5" customHeight="1">
      <c r="B10" s="88" t="inlineStr">
        <is>
          <t>1) En AJUSTES poné el nombre de tu negocio, tus datos y la validez de tus presupuestos.</t>
        </is>
      </c>
    </row>
    <row r="11" ht="33" customHeight="1">
      <c r="B11" s="88" t="inlineStr">
        <is>
          <t>2) En PRESUPUESTO completá los datos del cliente y los ítems. El IVA y el total se calculan solos. Después imprimilo o guardalo en PDF (Archivo &gt; Imprimir).</t>
        </is>
      </c>
    </row>
    <row r="12" ht="18.5" customHeight="1">
      <c r="B12" s="88" t="inlineStr">
        <is>
          <t>3) Anotá el presupuesto en HISTORIAL y cambiá su estado cuando lo aprueben o lo cobren.</t>
        </is>
      </c>
    </row>
    <row r="13" ht="33" customHeight="1">
      <c r="B13" s="88" t="inlineStr">
        <is>
          <t>4) Cuando te paguen, completá el RECIBO. Si dejás celdas vacías, usa el cliente y el total del presupuesto.</t>
        </is>
      </c>
    </row>
    <row r="15">
      <c r="B15" s="41" t="inlineStr">
        <is>
          <t>COLORES</t>
        </is>
      </c>
    </row>
    <row r="16" ht="33" customHeight="1">
      <c r="B16" s="88" t="inlineStr">
        <is>
          <t>Rosado claro: celdas que completás vos.   Gris o blanco: se calcula solo (bloqueado).   Vino: títulos y totales.   Verde: cobrado.</t>
        </is>
      </c>
    </row>
    <row r="18">
      <c r="B18" s="38" t="inlineStr">
        <is>
          <t>PREGUNTAS FRECUENTES</t>
        </is>
      </c>
    </row>
    <row r="19" ht="18.5" customHeight="1">
      <c r="B19" s="88" t="inlineStr">
        <is>
          <t>• Veo todo en cero: hacé clic en «Habilitar edición» en la barra amarilla de Excel.</t>
        </is>
      </c>
    </row>
    <row r="20" ht="33" customHeight="1">
      <c r="B20" s="88" t="inlineStr">
        <is>
          <t>• ¿Cómo hago otro presupuesto? Guardá una copia del archivo y borrá los ítems y datos del cliente (celdas rosadas), o escribí encima.</t>
        </is>
      </c>
    </row>
    <row r="21" ht="18.5" customHeight="1">
      <c r="B21" s="88" t="inlineStr">
        <is>
          <t>• ¿Puedo cobrar en partes? Sí: en el RECIBO escribí el monto recibido y mirá el saldo pendiente.</t>
        </is>
      </c>
    </row>
    <row r="22" ht="33" customHeight="1">
      <c r="B22" s="88" t="inlineStr">
        <is>
          <t>• ¿Los precios llevan IVA? Elegí «Ya incluyen el IVA» o «No incluyen el IVA (se suma)». La planilla muestra el IVA discriminado.</t>
        </is>
      </c>
    </row>
    <row r="23" ht="33" customHeight="1">
      <c r="B23" s="88" t="inlineStr">
        <is>
          <t>• ¿Cuántos ítems entran? 12 por presupuesto y 100 presupuestos en el HISTORIAL. Cuando se llene, duplicá el archivo y usá otro por año.</t>
        </is>
      </c>
    </row>
    <row r="24" ht="33" customHeight="1">
      <c r="B24" s="88" t="inlineStr">
        <is>
          <t>• Solo se editan las celdas rosadas: el resto está protegido para que no se rompan las fórmulas por accidente.</t>
        </is>
      </c>
    </row>
    <row r="26">
      <c r="B26" s="38" t="inlineStr">
        <is>
          <t>SOBRE LA PROTECCIÓN</t>
        </is>
      </c>
    </row>
    <row r="27" ht="47.5" customHeight="1">
      <c r="B27" s="88" t="inlineStr">
        <is>
          <t>La protección de Excel evita borrados accidentales, pero no es un sistema de seguridad criptográfico. Es una herramienta orientativa: los comprobantes con validez tributaria se emiten con tu timbrado, según corresponda.</t>
        </is>
      </c>
    </row>
    <row r="29">
      <c r="B29" s="89" t="inlineStr">
        <is>
          <t>MIX SHOP DIGITAL Y MI NEGOCIO PY</t>
        </is>
      </c>
    </row>
    <row r="30" ht="33" customHeight="1">
      <c r="B30" s="88" t="inlineStr">
        <is>
          <t>Esta planilla es una herramienta gratuita de Mix Shop Digital. Si querés gestionar todo tu negocio en un solo lugar, conocé Mi Negocio PY, el sistema de gestión para pequeños negocios de Paraguay.</t>
        </is>
      </c>
    </row>
    <row r="31">
      <c r="B31" s="90" t="inlineStr">
        <is>
          <t>→ mixshopdigital.com.py</t>
        </is>
      </c>
    </row>
    <row r="33" ht="8" customHeight="1">
      <c r="B33" s="34" t="n"/>
    </row>
    <row r="34" ht="16" customHeight="1">
      <c r="B34" s="35" t="inlineStr">
        <is>
          <t>MIX SHOP DIGITAL  ·  Herramientas inteligentes que simplifican tu vida.</t>
        </is>
      </c>
    </row>
    <row r="35" ht="16" customHeight="1">
      <c r="B35" s="36"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CA3"/>
  <mergeCells count="30">
    <mergeCell ref="B9:H9"/>
    <mergeCell ref="D1:H1"/>
    <mergeCell ref="B6:H6"/>
    <mergeCell ref="B24:H24"/>
    <mergeCell ref="B30:H30"/>
    <mergeCell ref="B15:H15"/>
    <mergeCell ref="B33:H33"/>
    <mergeCell ref="B20:H20"/>
    <mergeCell ref="B2:C2"/>
    <mergeCell ref="B26:H26"/>
    <mergeCell ref="B35:H35"/>
    <mergeCell ref="D2:H2"/>
    <mergeCell ref="B16:H16"/>
    <mergeCell ref="B7:H7"/>
    <mergeCell ref="B1:C1"/>
    <mergeCell ref="B3:H3"/>
    <mergeCell ref="B31:H31"/>
    <mergeCell ref="B22:H22"/>
    <mergeCell ref="B18:H18"/>
    <mergeCell ref="B27:H27"/>
    <mergeCell ref="B21:H21"/>
    <mergeCell ref="B12:H12"/>
    <mergeCell ref="B11:H11"/>
    <mergeCell ref="B23:H23"/>
    <mergeCell ref="B13:H13"/>
    <mergeCell ref="C4:H4"/>
    <mergeCell ref="B10:H10"/>
    <mergeCell ref="B29:H29"/>
    <mergeCell ref="B19:H19"/>
    <mergeCell ref="B34:H34"/>
  </mergeCells>
  <hyperlinks>
    <hyperlink ref="B4" location="'PRESUPUESTO'!A1" display="← VOLVER"/>
    <hyperlink xmlns:r="http://schemas.openxmlformats.org/officeDocument/2006/relationships" ref="B31" r:id="rId1"/>
    <hyperlink xmlns:r="http://schemas.openxmlformats.org/officeDocument/2006/relationships" ref="B35" r:id="rId2"/>
  </hyperlinks>
  <printOptions horizontalCentered="1"/>
  <pageMargins left="0.75" right="0.75" top="1" bottom="1" header="0.5" footer="0.5"/>
  <pageSetup orientation="landscape" paperSize="9" fitToHeight="1" fitToWidth="1"/>
  <headerFooter>
    <oddHeader>&amp;C&amp;"Arial,Bold"&amp;14 &amp;K6B2D5CMIX SHOP DIGITAL</oddHeader>
    <oddFooter>&amp;L&amp;8 MIX SHOP DIGITAL — Herramientas inteligentes que simplifican tu vida.&amp;C&amp;8 Versión gratuita · mixshopdigital.com.py&amp;R&amp;8 Pág.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MIX SHOP DIGITAL</dc:creator>
  <dc:title xmlns:dc="http://purl.org/dc/elements/1.1/">Presupuestos y Recibos – Mix Shop Digital</dc:title>
  <dc:subject xmlns:dc="http://purl.org/dc/elements/1.1/">Versión gratuita</dc:subject>
  <dcterms:created xmlns:dcterms="http://purl.org/dc/terms/" xmlns:xsi="http://www.w3.org/2001/XMLSchema-instance" xsi:type="dcterms:W3CDTF">2026-10-30T13:23:02Z</dcterms:created>
  <dcterms:modified xmlns:dcterms="http://purl.org/dc/terms/" xmlns:xsi="http://www.w3.org/2001/XMLSchema-instance" xsi:type="dcterms:W3CDTF">2026-10-30T13:23:02Z</dcterms:modified>
</cp:coreProperties>
</file>